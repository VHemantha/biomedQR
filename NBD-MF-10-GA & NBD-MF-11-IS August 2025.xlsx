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CBSL\Script\working\NBD_MF_10_GA_NBD_MF_11_IS\31-07-2025\"/>
    </mc:Choice>
  </mc:AlternateContent>
  <xr:revisionPtr revIDLastSave="0" documentId="13_ncr:1_{1A672DB6-108E-4E4E-A24B-4A5B9A9DFC3A}" xr6:coauthVersionLast="47" xr6:coauthVersionMax="47" xr10:uidLastSave="{00000000-0000-0000-0000-000000000000}"/>
  <bookViews>
    <workbookView xWindow="-108" yWindow="-108" windowWidth="23256" windowHeight="12576" tabRatio="851" firstSheet="7" activeTab="7" xr2:uid="{00000000-000D-0000-FFFF-FFFF00000000}"/>
  </bookViews>
  <sheets>
    <sheet name="NBD-MF-01-SOFP" sheetId="1" r:id="rId1"/>
    <sheet name="NBD-MF-11-IS" sheetId="2" r:id="rId2"/>
    <sheet name="NBD-MF-10-GA" sheetId="3" r:id="rId3"/>
    <sheet name="Upload" sheetId="4" state="hidden" r:id="rId4"/>
    <sheet name="Investments" sheetId="5" r:id="rId5"/>
    <sheet name="Other Assets" sheetId="6" r:id="rId6"/>
    <sheet name="Borrowings" sheetId="7" r:id="rId7"/>
    <sheet name="Portfolio" sheetId="8" r:id="rId8"/>
    <sheet name="Other Liabilities" sheetId="9" r:id="rId9"/>
    <sheet name="System TB" sheetId="10" r:id="rId10"/>
    <sheet name="T" sheetId="11" r:id="rId11"/>
    <sheet name="Sheet1" sheetId="12" state="hidden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____DAT10" localSheetId="0">#REF!</definedName>
    <definedName name="____DAT10" localSheetId="9">#REF!</definedName>
    <definedName name="____DAT10">#REF!</definedName>
    <definedName name="____DAT11" localSheetId="9">#REF!</definedName>
    <definedName name="____DAT11">#REF!</definedName>
    <definedName name="____DAT12" localSheetId="9">[1]Sheet1!#REF!</definedName>
    <definedName name="____DAT12">[1]Sheet1!#REF!</definedName>
    <definedName name="____DAT13" localSheetId="9">[1]Sheet1!#REF!</definedName>
    <definedName name="____DAT13">[1]Sheet1!#REF!</definedName>
    <definedName name="____DAT14" localSheetId="0">#REF!</definedName>
    <definedName name="____DAT14" localSheetId="9">#REF!</definedName>
    <definedName name="____DAT14">#REF!</definedName>
    <definedName name="____DAT2" localSheetId="9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DAT1">#REF!</definedName>
    <definedName name="___DAT10">#REF!</definedName>
    <definedName name="___DAT11">#REF!</definedName>
    <definedName name="___DAT12">[1]Sheet1!#REF!</definedName>
    <definedName name="___DAT13">[1]Sheet1!#REF!</definedName>
    <definedName name="___DAT14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123Graph_A" hidden="1">[2]FR!#REF!</definedName>
    <definedName name="__123Graph_B" hidden="1">[2]FR!#REF!</definedName>
    <definedName name="__123Graph_C" hidden="1">[2]FR!#REF!</definedName>
    <definedName name="__123Graph_D" hidden="1">[2]FR!#REF!</definedName>
    <definedName name="__123Graph_E" hidden="1">[2]FR!#REF!</definedName>
    <definedName name="__123Graph_F" hidden="1">[2]FR!#REF!</definedName>
    <definedName name="__123Graph_X" hidden="1">[3]FR!#REF!</definedName>
    <definedName name="__DAT1" localSheetId="0">#REF!</definedName>
    <definedName name="__DAT1">#REF!</definedName>
    <definedName name="__DAT10">#REF!</definedName>
    <definedName name="__DAT11">#REF!</definedName>
    <definedName name="__DAT12">[1]Sheet1!#REF!</definedName>
    <definedName name="__DAT13">[1]Sheet1!#REF!</definedName>
    <definedName name="__DAT14" localSheetId="0">#REF!</definedName>
    <definedName name="__DAT14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gcc2" hidden="1">{"YEAR99",#N/A,FALSE,"Sheet 1"}</definedName>
    <definedName name="__IntlFixup" hidden="1">TRUE</definedName>
    <definedName name="__shared_11_0_0">NA()</definedName>
    <definedName name="__shared_11_0_1">NA()</definedName>
    <definedName name="__shared_11_0_2">NA()</definedName>
    <definedName name="__shared_11_0_3">NA()</definedName>
    <definedName name="__shared_13_0_0">NA()</definedName>
    <definedName name="__shared_13_0_1">NA()</definedName>
    <definedName name="__shared_13_0_10">NA()</definedName>
    <definedName name="__shared_13_0_11">NA()</definedName>
    <definedName name="__shared_13_0_12">NA()</definedName>
    <definedName name="__shared_13_0_13">NA()</definedName>
    <definedName name="__shared_13_0_14">NA()</definedName>
    <definedName name="__shared_13_0_15">NA()</definedName>
    <definedName name="__shared_13_0_16">NA()</definedName>
    <definedName name="__shared_13_0_17">NA()</definedName>
    <definedName name="__shared_13_0_18">NA()</definedName>
    <definedName name="__shared_13_0_19">NA()</definedName>
    <definedName name="__shared_13_0_2">NA()</definedName>
    <definedName name="__shared_13_0_20">NA()</definedName>
    <definedName name="__shared_13_0_21">NA()</definedName>
    <definedName name="__shared_13_0_22">NA()</definedName>
    <definedName name="__shared_13_0_23">NA()</definedName>
    <definedName name="__shared_13_0_24">NA()</definedName>
    <definedName name="__shared_13_0_25">NA()</definedName>
    <definedName name="__shared_13_0_26">NA()</definedName>
    <definedName name="__shared_13_0_27">NA()</definedName>
    <definedName name="__shared_13_0_28">NA()</definedName>
    <definedName name="__shared_13_0_29">NA()</definedName>
    <definedName name="__shared_13_0_3">NA()</definedName>
    <definedName name="__shared_13_0_30">NA()</definedName>
    <definedName name="__shared_13_0_31">NA()</definedName>
    <definedName name="__shared_13_0_32">NA()</definedName>
    <definedName name="__shared_13_0_33">NA()</definedName>
    <definedName name="__shared_13_0_34">NA()</definedName>
    <definedName name="__shared_13_0_35">NA()</definedName>
    <definedName name="__shared_13_0_36">NA()</definedName>
    <definedName name="__shared_13_0_37">NA()</definedName>
    <definedName name="__shared_13_0_38">NA()</definedName>
    <definedName name="__shared_13_0_39">NA()</definedName>
    <definedName name="__shared_13_0_4">NA()</definedName>
    <definedName name="__shared_13_0_40">NA()</definedName>
    <definedName name="__shared_13_0_41">NA()</definedName>
    <definedName name="__shared_13_0_5">NA()</definedName>
    <definedName name="__shared_13_0_6">NA()</definedName>
    <definedName name="__shared_13_0_7">NA()</definedName>
    <definedName name="__shared_13_0_8">NA()</definedName>
    <definedName name="__shared_13_0_9">NA()</definedName>
    <definedName name="__shared_15_0_0">NA()</definedName>
    <definedName name="__shared_17_0_0">NA()</definedName>
    <definedName name="__shared_17_0_1">NA()</definedName>
    <definedName name="__shared_17_0_2">NA()</definedName>
    <definedName name="__shared_18_0_0">NA()</definedName>
    <definedName name="__shared_18_0_1">NA()</definedName>
    <definedName name="__shared_18_0_2">NA()</definedName>
    <definedName name="__shared_18_0_3">NA()</definedName>
    <definedName name="__shared_19_0_0">NA()</definedName>
    <definedName name="__shared_19_0_1">NA()</definedName>
    <definedName name="__shared_19_0_2">NA()</definedName>
    <definedName name="__shared_2_0_0">NA()</definedName>
    <definedName name="__shared_2_0_1">NA()</definedName>
    <definedName name="__shared_2_0_2">NA()</definedName>
    <definedName name="__shared_2_0_3">NA()</definedName>
    <definedName name="__shared_21_0_0">NA()</definedName>
    <definedName name="__shared_21_0_1">NA()</definedName>
    <definedName name="__shared_21_0_10">NA()</definedName>
    <definedName name="__shared_21_0_11">NA()</definedName>
    <definedName name="__shared_21_0_12">NA()</definedName>
    <definedName name="__shared_21_0_13">NA()</definedName>
    <definedName name="__shared_21_0_14">NA()</definedName>
    <definedName name="__shared_21_0_15">NA()</definedName>
    <definedName name="__shared_21_0_16">NA()</definedName>
    <definedName name="__shared_21_0_17">NA()</definedName>
    <definedName name="__shared_21_0_18">NA()</definedName>
    <definedName name="__shared_21_0_19">NA()</definedName>
    <definedName name="__shared_21_0_2">NA()</definedName>
    <definedName name="__shared_21_0_20">NA()</definedName>
    <definedName name="__shared_21_0_21">NA()</definedName>
    <definedName name="__shared_21_0_22">NA()</definedName>
    <definedName name="__shared_21_0_23">NA()</definedName>
    <definedName name="__shared_21_0_24">NA()</definedName>
    <definedName name="__shared_21_0_25">NA()</definedName>
    <definedName name="__shared_21_0_26">NA()</definedName>
    <definedName name="__shared_21_0_27">NA()</definedName>
    <definedName name="__shared_21_0_28">NA()</definedName>
    <definedName name="__shared_21_0_29">NA()</definedName>
    <definedName name="__shared_21_0_3">NA()</definedName>
    <definedName name="__shared_21_0_30">NA()</definedName>
    <definedName name="__shared_21_0_31">NA()</definedName>
    <definedName name="__shared_21_0_32">NA()</definedName>
    <definedName name="__shared_21_0_33">NA()</definedName>
    <definedName name="__shared_21_0_34">NA()</definedName>
    <definedName name="__shared_21_0_35">NA()</definedName>
    <definedName name="__shared_21_0_36">NA()</definedName>
    <definedName name="__shared_21_0_37">NA()</definedName>
    <definedName name="__shared_21_0_38">NA()</definedName>
    <definedName name="__shared_21_0_39">NA()</definedName>
    <definedName name="__shared_21_0_4">NA()</definedName>
    <definedName name="__shared_21_0_40">NA()</definedName>
    <definedName name="__shared_21_0_41">NA()</definedName>
    <definedName name="__shared_21_0_42">NA()</definedName>
    <definedName name="__shared_21_0_43">NA()</definedName>
    <definedName name="__shared_21_0_44">NA()</definedName>
    <definedName name="__shared_21_0_45">NA()</definedName>
    <definedName name="__shared_21_0_46">NA()</definedName>
    <definedName name="__shared_21_0_47">NA()</definedName>
    <definedName name="__shared_21_0_48">NA()</definedName>
    <definedName name="__shared_21_0_49">NA()</definedName>
    <definedName name="__shared_21_0_5">NA()</definedName>
    <definedName name="__shared_21_0_50">NA()</definedName>
    <definedName name="__shared_21_0_51">NA()</definedName>
    <definedName name="__shared_21_0_52">NA()</definedName>
    <definedName name="__shared_21_0_53">NA()</definedName>
    <definedName name="__shared_21_0_54">NA()</definedName>
    <definedName name="__shared_21_0_55">NA()</definedName>
    <definedName name="__shared_21_0_56">NA()</definedName>
    <definedName name="__shared_21_0_57">NA()</definedName>
    <definedName name="__shared_21_0_58">NA()</definedName>
    <definedName name="__shared_21_0_59">NA()</definedName>
    <definedName name="__shared_21_0_6">NA()</definedName>
    <definedName name="__shared_21_0_60">NA()</definedName>
    <definedName name="__shared_21_0_61">NA()</definedName>
    <definedName name="__shared_21_0_62">NA()</definedName>
    <definedName name="__shared_21_0_63">NA()</definedName>
    <definedName name="__shared_21_0_64">NA()</definedName>
    <definedName name="__shared_21_0_65">NA()</definedName>
    <definedName name="__shared_21_0_66">NA()</definedName>
    <definedName name="__shared_21_0_67">NA()</definedName>
    <definedName name="__shared_21_0_68">NA()</definedName>
    <definedName name="__shared_21_0_69">NA()</definedName>
    <definedName name="__shared_21_0_7">NA()</definedName>
    <definedName name="__shared_21_0_70">NA()</definedName>
    <definedName name="__shared_21_0_71">NA()</definedName>
    <definedName name="__shared_21_0_72">NA()</definedName>
    <definedName name="__shared_21_0_8">NA()</definedName>
    <definedName name="__shared_21_0_9">NA()</definedName>
    <definedName name="__shared_24_0_0">NA()</definedName>
    <definedName name="__shared_3_0_0">NA()</definedName>
    <definedName name="__shared_3_0_1">NA()</definedName>
    <definedName name="__shared_3_0_10">NA()</definedName>
    <definedName name="__shared_3_0_100">NA()</definedName>
    <definedName name="__shared_3_0_101">NA()</definedName>
    <definedName name="__shared_3_0_102">NA()</definedName>
    <definedName name="__shared_3_0_103">NA()</definedName>
    <definedName name="__shared_3_0_104">NA()</definedName>
    <definedName name="__shared_3_0_105">NA()</definedName>
    <definedName name="__shared_3_0_106">NA()</definedName>
    <definedName name="__shared_3_0_107">NA()</definedName>
    <definedName name="__shared_3_0_108">NA()</definedName>
    <definedName name="__shared_3_0_109">NA()</definedName>
    <definedName name="__shared_3_0_11">NA()</definedName>
    <definedName name="__shared_3_0_110">NA()</definedName>
    <definedName name="__shared_3_0_111">NA()</definedName>
    <definedName name="__shared_3_0_12">NA()</definedName>
    <definedName name="__shared_3_0_13">NA()</definedName>
    <definedName name="__shared_3_0_14">NA()</definedName>
    <definedName name="__shared_3_0_15">NA()</definedName>
    <definedName name="__shared_3_0_16">NA()</definedName>
    <definedName name="__shared_3_0_17">NA()</definedName>
    <definedName name="__shared_3_0_18">NA()</definedName>
    <definedName name="__shared_3_0_19">NA()</definedName>
    <definedName name="__shared_3_0_2">NA()</definedName>
    <definedName name="__shared_3_0_20">NA()</definedName>
    <definedName name="__shared_3_0_21">NA()</definedName>
    <definedName name="__shared_3_0_22">NA()</definedName>
    <definedName name="__shared_3_0_23">NA()</definedName>
    <definedName name="__shared_3_0_24">NA()</definedName>
    <definedName name="__shared_3_0_25">NA()</definedName>
    <definedName name="__shared_3_0_26">NA()</definedName>
    <definedName name="__shared_3_0_27">NA()</definedName>
    <definedName name="__shared_3_0_28">NA()</definedName>
    <definedName name="__shared_3_0_29">NA()</definedName>
    <definedName name="__shared_3_0_3">NA()</definedName>
    <definedName name="__shared_3_0_30">NA()</definedName>
    <definedName name="__shared_3_0_31">NA()</definedName>
    <definedName name="__shared_3_0_32">NA()</definedName>
    <definedName name="__shared_3_0_33">NA()</definedName>
    <definedName name="__shared_3_0_34">NA()</definedName>
    <definedName name="__shared_3_0_35">NA()</definedName>
    <definedName name="__shared_3_0_36">NA()</definedName>
    <definedName name="__shared_3_0_37">NA()</definedName>
    <definedName name="__shared_3_0_38">NA()</definedName>
    <definedName name="__shared_3_0_39">NA()</definedName>
    <definedName name="__shared_3_0_4">NA()</definedName>
    <definedName name="__shared_3_0_40">NA()</definedName>
    <definedName name="__shared_3_0_41">NA()</definedName>
    <definedName name="__shared_3_0_42">NA()</definedName>
    <definedName name="__shared_3_0_43">NA()</definedName>
    <definedName name="__shared_3_0_44">NA()</definedName>
    <definedName name="__shared_3_0_45">NA()</definedName>
    <definedName name="__shared_3_0_46">NA()</definedName>
    <definedName name="__shared_3_0_47">NA()</definedName>
    <definedName name="__shared_3_0_48">NA()</definedName>
    <definedName name="__shared_3_0_49">NA()</definedName>
    <definedName name="__shared_3_0_5">NA()</definedName>
    <definedName name="__shared_3_0_50">NA()</definedName>
    <definedName name="__shared_3_0_51">NA()</definedName>
    <definedName name="__shared_3_0_52">NA()</definedName>
    <definedName name="__shared_3_0_53">NA()</definedName>
    <definedName name="__shared_3_0_54">NA()</definedName>
    <definedName name="__shared_3_0_55">NA()</definedName>
    <definedName name="__shared_3_0_56">NA()</definedName>
    <definedName name="__shared_3_0_57">NA()</definedName>
    <definedName name="__shared_3_0_58">NA()</definedName>
    <definedName name="__shared_3_0_59">NA()</definedName>
    <definedName name="__shared_3_0_6">NA()</definedName>
    <definedName name="__shared_3_0_60">NA()</definedName>
    <definedName name="__shared_3_0_61">NA()</definedName>
    <definedName name="__shared_3_0_62">NA()</definedName>
    <definedName name="__shared_3_0_63">NA()</definedName>
    <definedName name="__shared_3_0_64">NA()</definedName>
    <definedName name="__shared_3_0_65">NA()</definedName>
    <definedName name="__shared_3_0_66">NA()</definedName>
    <definedName name="__shared_3_0_67">NA()</definedName>
    <definedName name="__shared_3_0_68">NA()</definedName>
    <definedName name="__shared_3_0_69">NA()</definedName>
    <definedName name="__shared_3_0_7">NA()</definedName>
    <definedName name="__shared_3_0_70">NA()</definedName>
    <definedName name="__shared_3_0_71">NA()</definedName>
    <definedName name="__shared_3_0_72">NA()</definedName>
    <definedName name="__shared_3_0_73">NA()</definedName>
    <definedName name="__shared_3_0_74">NA()</definedName>
    <definedName name="__shared_3_0_75">NA()</definedName>
    <definedName name="__shared_3_0_76">NA()</definedName>
    <definedName name="__shared_3_0_77">NA()</definedName>
    <definedName name="__shared_3_0_78">NA()</definedName>
    <definedName name="__shared_3_0_79">NA()</definedName>
    <definedName name="__shared_3_0_8">NA()</definedName>
    <definedName name="__shared_3_0_80">NA()</definedName>
    <definedName name="__shared_3_0_81">NA()</definedName>
    <definedName name="__shared_3_0_82">NA()</definedName>
    <definedName name="__shared_3_0_83">NA()</definedName>
    <definedName name="__shared_3_0_84">NA()</definedName>
    <definedName name="__shared_3_0_85">NA()</definedName>
    <definedName name="__shared_3_0_86">NA()</definedName>
    <definedName name="__shared_3_0_87">NA()</definedName>
    <definedName name="__shared_3_0_88">NA()</definedName>
    <definedName name="__shared_3_0_89">NA()</definedName>
    <definedName name="__shared_3_0_9">NA()</definedName>
    <definedName name="__shared_3_0_90">NA()</definedName>
    <definedName name="__shared_3_0_91">NA()</definedName>
    <definedName name="__shared_3_0_92">NA()</definedName>
    <definedName name="__shared_3_0_93">NA()</definedName>
    <definedName name="__shared_3_0_94">NA()</definedName>
    <definedName name="__shared_3_0_95">NA()</definedName>
    <definedName name="__shared_3_0_96">NA()</definedName>
    <definedName name="__shared_3_0_97">NA()</definedName>
    <definedName name="__shared_3_0_98">NA()</definedName>
    <definedName name="__shared_3_0_99">NA()</definedName>
    <definedName name="__shared_4_0_0">NA()</definedName>
    <definedName name="__shared_4_0_1">NA()</definedName>
    <definedName name="__shared_4_0_10">NA()</definedName>
    <definedName name="__shared_4_0_11">NA()</definedName>
    <definedName name="__shared_4_0_12">NA()</definedName>
    <definedName name="__shared_4_0_13">NA()</definedName>
    <definedName name="__shared_4_0_14">NA()</definedName>
    <definedName name="__shared_4_0_15">NA()</definedName>
    <definedName name="__shared_4_0_16">NA()</definedName>
    <definedName name="__shared_4_0_17">NA()</definedName>
    <definedName name="__shared_4_0_18">NA()</definedName>
    <definedName name="__shared_4_0_19">NA()</definedName>
    <definedName name="__shared_4_0_2">NA()</definedName>
    <definedName name="__shared_4_0_20">NA()</definedName>
    <definedName name="__shared_4_0_21">NA()</definedName>
    <definedName name="__shared_4_0_22">NA()</definedName>
    <definedName name="__shared_4_0_23">NA()</definedName>
    <definedName name="__shared_4_0_24">NA()</definedName>
    <definedName name="__shared_4_0_25">NA()</definedName>
    <definedName name="__shared_4_0_26">NA()</definedName>
    <definedName name="__shared_4_0_27">NA()</definedName>
    <definedName name="__shared_4_0_28">NA()</definedName>
    <definedName name="__shared_4_0_29">NA()</definedName>
    <definedName name="__shared_4_0_3">NA()</definedName>
    <definedName name="__shared_4_0_30">NA()</definedName>
    <definedName name="__shared_4_0_31">NA()</definedName>
    <definedName name="__shared_4_0_32">NA()</definedName>
    <definedName name="__shared_4_0_33">NA()</definedName>
    <definedName name="__shared_4_0_34">NA()</definedName>
    <definedName name="__shared_4_0_35">NA()</definedName>
    <definedName name="__shared_4_0_36">NA()</definedName>
    <definedName name="__shared_4_0_37">NA()</definedName>
    <definedName name="__shared_4_0_38">NA()</definedName>
    <definedName name="__shared_4_0_39">NA()</definedName>
    <definedName name="__shared_4_0_4">NA()</definedName>
    <definedName name="__shared_4_0_40">NA()</definedName>
    <definedName name="__shared_4_0_41">NA()</definedName>
    <definedName name="__shared_4_0_42">NA()</definedName>
    <definedName name="__shared_4_0_43">NA()</definedName>
    <definedName name="__shared_4_0_44">NA()</definedName>
    <definedName name="__shared_4_0_45">NA()</definedName>
    <definedName name="__shared_4_0_46">NA()</definedName>
    <definedName name="__shared_4_0_47">NA()</definedName>
    <definedName name="__shared_4_0_5">NA()</definedName>
    <definedName name="__shared_4_0_6">NA()</definedName>
    <definedName name="__shared_4_0_7">NA()</definedName>
    <definedName name="__shared_4_0_8">NA()</definedName>
    <definedName name="__shared_4_0_9">NA()</definedName>
    <definedName name="__shared_5_0_0">NA()</definedName>
    <definedName name="__shared_5_0_1">NA()</definedName>
    <definedName name="__shared_5_0_10">NA()</definedName>
    <definedName name="__shared_5_0_11">NA()</definedName>
    <definedName name="__shared_5_0_12">NA()</definedName>
    <definedName name="__shared_5_0_13">NA()</definedName>
    <definedName name="__shared_5_0_14">NA()</definedName>
    <definedName name="__shared_5_0_15" localSheetId="0">(#REF!/365)*(#REF!-#REF!)*#REF!</definedName>
    <definedName name="__shared_5_0_15" localSheetId="9">(#REF!/365)*(#REF!-#REF!)*#REF!</definedName>
    <definedName name="__shared_5_0_15">(#REF!/365)*(#REF!-#REF!)*#REF!</definedName>
    <definedName name="__shared_5_0_16">NA()</definedName>
    <definedName name="__shared_5_0_17">NA()</definedName>
    <definedName name="__shared_5_0_18">NA()</definedName>
    <definedName name="__shared_5_0_19">NA()</definedName>
    <definedName name="__shared_5_0_2">NA()</definedName>
    <definedName name="__shared_5_0_20">NA()</definedName>
    <definedName name="__shared_5_0_21">NA()</definedName>
    <definedName name="__shared_5_0_22">NA()</definedName>
    <definedName name="__shared_5_0_23">NA()</definedName>
    <definedName name="__shared_5_0_24">NA()</definedName>
    <definedName name="__shared_5_0_25">NA()</definedName>
    <definedName name="__shared_5_0_26">NA()</definedName>
    <definedName name="__shared_5_0_27">NA()</definedName>
    <definedName name="__shared_5_0_28">NA()</definedName>
    <definedName name="__shared_5_0_29" localSheetId="0">(#REF!/365)*(#REF!-#REF!)*#REF!</definedName>
    <definedName name="__shared_5_0_29" localSheetId="9">(#REF!/365)*(#REF!-#REF!)*#REF!</definedName>
    <definedName name="__shared_5_0_29">(#REF!/365)*(#REF!-#REF!)*#REF!</definedName>
    <definedName name="__shared_5_0_3">NA()</definedName>
    <definedName name="__shared_5_0_30">NA()</definedName>
    <definedName name="__shared_5_0_31">NA()</definedName>
    <definedName name="__shared_5_0_32">NA()</definedName>
    <definedName name="__shared_5_0_33">NA()</definedName>
    <definedName name="__shared_5_0_34">NA()</definedName>
    <definedName name="__shared_5_0_35">NA()</definedName>
    <definedName name="__shared_5_0_36">NA()</definedName>
    <definedName name="__shared_5_0_37">NA()</definedName>
    <definedName name="__shared_5_0_38">NA()</definedName>
    <definedName name="__shared_5_0_39">NA()</definedName>
    <definedName name="__shared_5_0_4">NA()</definedName>
    <definedName name="__shared_5_0_40">NA()</definedName>
    <definedName name="__shared_5_0_41">NA()</definedName>
    <definedName name="__shared_5_0_42">NA()</definedName>
    <definedName name="__shared_5_0_43">NA()</definedName>
    <definedName name="__shared_5_0_44">NA()</definedName>
    <definedName name="__shared_5_0_45">NA()</definedName>
    <definedName name="__shared_5_0_46">NA()</definedName>
    <definedName name="__shared_5_0_47">NA()</definedName>
    <definedName name="__shared_5_0_48">NA()</definedName>
    <definedName name="__shared_5_0_49">NA()</definedName>
    <definedName name="__shared_5_0_5">NA()</definedName>
    <definedName name="__shared_5_0_50">NA()</definedName>
    <definedName name="__shared_5_0_51">NA()</definedName>
    <definedName name="__shared_5_0_52">NA()</definedName>
    <definedName name="__shared_5_0_53">NA()</definedName>
    <definedName name="__shared_5_0_54">NA()</definedName>
    <definedName name="__shared_5_0_55">NA()</definedName>
    <definedName name="__shared_5_0_56">NA()</definedName>
    <definedName name="__shared_5_0_57">NA()</definedName>
    <definedName name="__shared_5_0_58">NA()</definedName>
    <definedName name="__shared_5_0_59">NA()</definedName>
    <definedName name="__shared_5_0_6">NA()</definedName>
    <definedName name="__shared_5_0_7">NA()</definedName>
    <definedName name="__shared_5_0_8">NA()</definedName>
    <definedName name="__shared_5_0_9">NA()</definedName>
    <definedName name="__shared_6_0_0">NA()</definedName>
    <definedName name="__shared_6_0_1">NA()</definedName>
    <definedName name="__shared_6_0_10">NA()</definedName>
    <definedName name="__shared_6_0_11">NA()</definedName>
    <definedName name="__shared_6_0_12">NA()</definedName>
    <definedName name="__shared_6_0_13">NA()</definedName>
    <definedName name="__shared_6_0_14">NA()</definedName>
    <definedName name="__shared_6_0_15">NA()</definedName>
    <definedName name="__shared_6_0_16">NA()</definedName>
    <definedName name="__shared_6_0_17">NA()</definedName>
    <definedName name="__shared_6_0_18">NA()</definedName>
    <definedName name="__shared_6_0_19">NA()</definedName>
    <definedName name="__shared_6_0_2">NA()</definedName>
    <definedName name="__shared_6_0_20">NA()</definedName>
    <definedName name="__shared_6_0_3">NA()</definedName>
    <definedName name="__shared_6_0_4">NA()</definedName>
    <definedName name="__shared_6_0_5">NA()</definedName>
    <definedName name="__shared_6_0_6">NA()</definedName>
    <definedName name="__shared_6_0_7">NA()</definedName>
    <definedName name="__shared_6_0_8">NA()</definedName>
    <definedName name="__shared_6_0_9">NA()</definedName>
    <definedName name="__shared_7_0_0">NA()</definedName>
    <definedName name="__shared_7_0_1">NA()</definedName>
    <definedName name="__shared_7_0_10">NA()</definedName>
    <definedName name="__shared_7_0_2" localSheetId="0">#REF!</definedName>
    <definedName name="__shared_7_0_2">#REF!</definedName>
    <definedName name="__shared_7_0_3">NA()</definedName>
    <definedName name="__shared_7_0_4">NA()</definedName>
    <definedName name="__shared_7_0_5">NA()</definedName>
    <definedName name="__shared_7_0_6">NA()</definedName>
    <definedName name="__shared_7_0_7">NA()</definedName>
    <definedName name="__shared_7_0_8">NA()</definedName>
    <definedName name="__shared_7_0_9">NA()</definedName>
    <definedName name="__shared_8_0_0">NA()</definedName>
    <definedName name="__shared_8_0_1">NA()</definedName>
    <definedName name="__shared_8_0_2">NA()</definedName>
    <definedName name="__shared_8_0_3">NA()</definedName>
    <definedName name="__shared_8_0_4">NA()</definedName>
    <definedName name="__shared_8_0_5">#REF!</definedName>
    <definedName name="__shared_8_0_6">NA()</definedName>
    <definedName name="__shared_8_0_7">NA()</definedName>
    <definedName name="__shared_8_0_8">NA()</definedName>
    <definedName name="__shared_8_0_9">NA()</definedName>
    <definedName name="__shared_9_0_0">NA()</definedName>
    <definedName name="__shared_9_0_1">NA()</definedName>
    <definedName name="__shared_9_0_10">NA()</definedName>
    <definedName name="__shared_9_0_11">NA()</definedName>
    <definedName name="__shared_9_0_12">NA()</definedName>
    <definedName name="__shared_9_0_13">NA()</definedName>
    <definedName name="__shared_9_0_14">NA()</definedName>
    <definedName name="__shared_9_0_15">NA()</definedName>
    <definedName name="__shared_9_0_16">NA()</definedName>
    <definedName name="__shared_9_0_17">NA()</definedName>
    <definedName name="__shared_9_0_18">NA()</definedName>
    <definedName name="__shared_9_0_19">NA()</definedName>
    <definedName name="__shared_9_0_2">NA()</definedName>
    <definedName name="__shared_9_0_20">NA()</definedName>
    <definedName name="__shared_9_0_21">NA()</definedName>
    <definedName name="__shared_9_0_22">NA()</definedName>
    <definedName name="__shared_9_0_23">NA()</definedName>
    <definedName name="__shared_9_0_24">NA()</definedName>
    <definedName name="__shared_9_0_25">NA()</definedName>
    <definedName name="__shared_9_0_26">NA()</definedName>
    <definedName name="__shared_9_0_27">NA()</definedName>
    <definedName name="__shared_9_0_28">NA()</definedName>
    <definedName name="__shared_9_0_29">NA()</definedName>
    <definedName name="__shared_9_0_3">NA()</definedName>
    <definedName name="__shared_9_0_30">NA()</definedName>
    <definedName name="__shared_9_0_31">NA()</definedName>
    <definedName name="__shared_9_0_32">NA()</definedName>
    <definedName name="__shared_9_0_33">NA()</definedName>
    <definedName name="__shared_9_0_34">NA()</definedName>
    <definedName name="__shared_9_0_35">NA()</definedName>
    <definedName name="__shared_9_0_36">NA()</definedName>
    <definedName name="__shared_9_0_37">NA()</definedName>
    <definedName name="__shared_9_0_38">NA()</definedName>
    <definedName name="__shared_9_0_39">NA()</definedName>
    <definedName name="__shared_9_0_4">NA()</definedName>
    <definedName name="__shared_9_0_40">NA()</definedName>
    <definedName name="__shared_9_0_41">NA()</definedName>
    <definedName name="__shared_9_0_42">NA()</definedName>
    <definedName name="__shared_9_0_43">NA()</definedName>
    <definedName name="__shared_9_0_44">NA()</definedName>
    <definedName name="__shared_9_0_45">NA()</definedName>
    <definedName name="__shared_9_0_46">NA()</definedName>
    <definedName name="__shared_9_0_47">NA()</definedName>
    <definedName name="__shared_9_0_48">NA()</definedName>
    <definedName name="__shared_9_0_49">NA()</definedName>
    <definedName name="__shared_9_0_5">NA()</definedName>
    <definedName name="__shared_9_0_50">NA()</definedName>
    <definedName name="__shared_9_0_51">NA()</definedName>
    <definedName name="__shared_9_0_52">NA()</definedName>
    <definedName name="__shared_9_0_53">NA()</definedName>
    <definedName name="__shared_9_0_54">NA()</definedName>
    <definedName name="__shared_9_0_55">NA()</definedName>
    <definedName name="__shared_9_0_56">NA()</definedName>
    <definedName name="__shared_9_0_57">NA()</definedName>
    <definedName name="__shared_9_0_58">NA()</definedName>
    <definedName name="__shared_9_0_59">NA()</definedName>
    <definedName name="__shared_9_0_6">NA()</definedName>
    <definedName name="__shared_9_0_60">NA()</definedName>
    <definedName name="__shared_9_0_61">NA()</definedName>
    <definedName name="__shared_9_0_62">NA()</definedName>
    <definedName name="__shared_9_0_63">NA()</definedName>
    <definedName name="__shared_9_0_64">NA()</definedName>
    <definedName name="__shared_9_0_65">NA()</definedName>
    <definedName name="__shared_9_0_66">NA()</definedName>
    <definedName name="__shared_9_0_67">NA()</definedName>
    <definedName name="__shared_9_0_68">NA()</definedName>
    <definedName name="__shared_9_0_7">NA()</definedName>
    <definedName name="__shared_9_0_8">NA()</definedName>
    <definedName name="__shared_9_0_9">NA()</definedName>
    <definedName name="_1">#REF!</definedName>
    <definedName name="_1234Graph_c" hidden="1">[4]FR!#REF!</definedName>
    <definedName name="_bb" localSheetId="0">#REF!</definedName>
    <definedName name="_bb">#REF!</definedName>
    <definedName name="_DAT1" localSheetId="0">#REF!</definedName>
    <definedName name="_DAT1">#REF!</definedName>
    <definedName name="_DAT10">#REF!</definedName>
    <definedName name="_DAT11">#REF!</definedName>
    <definedName name="_DAT12">[1]Sheet1!#REF!</definedName>
    <definedName name="_DAT13">[1]Sheet1!#REF!</definedName>
    <definedName name="_DAT14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ill" hidden="1">[5]DATA!#REF!</definedName>
    <definedName name="_xlnm._FilterDatabase" localSheetId="6" hidden="1">Borrowings!$A$2:$G$712</definedName>
    <definedName name="_xlnm._FilterDatabase" localSheetId="4" hidden="1">Investments!$A$2:$X$47</definedName>
    <definedName name="_xlnm._FilterDatabase" localSheetId="5" hidden="1">'Other Assets'!$A$1:$P$117</definedName>
    <definedName name="_xlnm._FilterDatabase" localSheetId="8" hidden="1">'Other Liabilities'!$A$1:$Q$157</definedName>
    <definedName name="_xlnm._FilterDatabase" localSheetId="11" hidden="1">Sheet1!$J$1:$J$75</definedName>
    <definedName name="_xlnm._FilterDatabase" localSheetId="9" hidden="1">'System TB'!$A$1:$D$2522</definedName>
    <definedName name="_Key1" hidden="1">#REF!</definedName>
    <definedName name="_Order1" hidden="1">255</definedName>
    <definedName name="_Regression_Out" hidden="1">#REF!</definedName>
    <definedName name="_Regression_X" hidden="1">#REF!</definedName>
    <definedName name="_Regression_Y" hidden="1">#REF!</definedName>
    <definedName name="_Sort" hidden="1">#REF!</definedName>
    <definedName name="_xlnm_Database">NA()</definedName>
    <definedName name="a">#REF!</definedName>
    <definedName name="aa">#REF!</definedName>
    <definedName name="aaa">#REF!</definedName>
    <definedName name="ab" hidden="1">[2]FR!#REF!</definedName>
    <definedName name="ABC" localSheetId="0">#REF!</definedName>
    <definedName name="ABC">#REF!</definedName>
    <definedName name="ABCd">#REF!</definedName>
    <definedName name="abcde">#REF!</definedName>
    <definedName name="AC_CDE" localSheetId="0">[6]DownLoad!$G$72:$G$88</definedName>
    <definedName name="AC_CDE">[7]DownLoad!$G$72:$G$88</definedName>
    <definedName name="AC_DTA" localSheetId="0">[6]DownLoad!$C$72:$G$88</definedName>
    <definedName name="AC_DTA">[7]DownLoad!$C$72:$G$88</definedName>
    <definedName name="acxda">#REF!</definedName>
    <definedName name="adad">#REF!</definedName>
    <definedName name="Adjustment" localSheetId="0">#REF!</definedName>
    <definedName name="Adjustment" localSheetId="9">#REF!</definedName>
    <definedName name="Adjustment">#REF!</definedName>
    <definedName name="as" localSheetId="9">#REF!</definedName>
    <definedName name="as">#REF!</definedName>
    <definedName name="asasa">#REF!</definedName>
    <definedName name="ass">#REF!</definedName>
    <definedName name="AuraStyleDefaultsReset" hidden="1">#N/A</definedName>
    <definedName name="b" localSheetId="0">#REF!</definedName>
    <definedName name="b" localSheetId="9">#REF!</definedName>
    <definedName name="b">#REF!</definedName>
    <definedName name="B_TB">[8]B_TB!$A$1:$IV$65536</definedName>
    <definedName name="BANK" localSheetId="0">NA()</definedName>
    <definedName name="BANK">'[9]Bank _Inst_Master'!$A$2:$A$50</definedName>
    <definedName name="Beg_Bal" localSheetId="0">#REF!</definedName>
    <definedName name="Beg_Bal" localSheetId="9">#REF!</definedName>
    <definedName name="Beg_Bal">#REF!</definedName>
    <definedName name="begin">#REF!</definedName>
    <definedName name="BGD" localSheetId="9">#REF!</definedName>
    <definedName name="BGD">#REF!</definedName>
    <definedName name="Branch_Code" localSheetId="9">#REF!</definedName>
    <definedName name="Branch_Code">#REF!</definedName>
    <definedName name="BS">#REF!</definedName>
    <definedName name="BS_BRN">#REF!</definedName>
    <definedName name="bucket">OFFSET([10]Sheet1!$E$3,,,,(COUNTA([10]Sheet1!$E$3:$G$3)-COUNTIF([10]Sheet1!$E$3:$G$3,"")))</definedName>
    <definedName name="CAP_01">[11]Summery!$A$128:$A$131</definedName>
    <definedName name="Cash">'[12]Consol CF'!$E$69:$G$71,'[12]Consol CF'!$E$64,'[12]Consol CF'!$E$62</definedName>
    <definedName name="CAT">#REF!</definedName>
    <definedName name="CBSL" localSheetId="0">#REF!</definedName>
    <definedName name="CBSL" localSheetId="9">#REF!</definedName>
    <definedName name="CBSL">#REF!</definedName>
    <definedName name="CC">'[13]Customize Your Invoice'!$G$22:$G$25</definedName>
    <definedName name="CD" localSheetId="0">#REF!</definedName>
    <definedName name="CD" localSheetId="9">#REF!</definedName>
    <definedName name="CD">#REF!</definedName>
    <definedName name="cdd">#REF!</definedName>
    <definedName name="cddsvwsv">#REF!</definedName>
    <definedName name="CIQWBGuid" hidden="1">"Al_Meerav5.xlsx"</definedName>
    <definedName name="COF_AC" localSheetId="0">[14]Ld_Lcy!$G$1:$G$550</definedName>
    <definedName name="COF_AC">[15]Ld_Lcy!$G$1:$G$550</definedName>
    <definedName name="COF_LD" localSheetId="0">[14]Ld_Lcy!$A$1:$U$550</definedName>
    <definedName name="COF_LD">[15]Ld_Lcy!$A$1:$U$550</definedName>
    <definedName name="Company_List">[16]Sheet3!$I$3:$I$6</definedName>
    <definedName name="Coupon_Table">OFFSET(#REF!,0,0,COUNTA(#REF!),2)</definedName>
    <definedName name="Cum_Int" localSheetId="0">#REF!</definedName>
    <definedName name="Cum_Int" localSheetId="9">#REF!</definedName>
    <definedName name="Cum_Int">#REF!</definedName>
    <definedName name="cvd" localSheetId="9">#REF!</definedName>
    <definedName name="cvd">#REF!</definedName>
    <definedName name="d" localSheetId="9">#REF!</definedName>
    <definedName name="d">#REF!</definedName>
    <definedName name="Daily_Summary">OFFSET('[17]Daily Summary - BOND'!$C$1,0,0,COUNTA('[17]Daily Summary - BOND'!$C$1:$C$4755),300)</definedName>
    <definedName name="dasjkl" localSheetId="0">#REF!</definedName>
    <definedName name="dasjkl">#REF!</definedName>
    <definedName name="Data">#REF!</definedName>
    <definedName name="_xlnm.Database">#REF!</definedName>
    <definedName name="Database1">#REF!</definedName>
    <definedName name="date">#REF!</definedName>
    <definedName name="DC">#REF!</definedName>
    <definedName name="ddd">#REF!</definedName>
    <definedName name="de">#REF!</definedName>
    <definedName name="df">#REF!</definedName>
    <definedName name="dflt2">'[13]Customize Your Invoice'!$E$23</definedName>
    <definedName name="dflt3">'[13]Customize Your Invoice'!$D$24</definedName>
    <definedName name="dflt4">'[13]Customize Your Invoice'!$E$26</definedName>
    <definedName name="dflt5">'[13]Customize Your Invoice'!$E$27</definedName>
    <definedName name="dflt6">'[13]Customize Your Invoice'!$D$28</definedName>
    <definedName name="dflt7">'[13]Customize Your Invoice'!$G$27</definedName>
    <definedName name="dftl8">'[13]Customize Your Invoice'!$G$27</definedName>
    <definedName name="did" localSheetId="0">#REF!</definedName>
    <definedName name="did">#REF!</definedName>
    <definedName name="DiscRate">'[18]Expected Loss'!#REF!</definedName>
    <definedName name="Division" localSheetId="0">#REF!</definedName>
    <definedName name="Division">#REF!</definedName>
    <definedName name="division_List">[16]Sheet3!$A$2:$A$37</definedName>
    <definedName name="djnd" localSheetId="0">#REF!</definedName>
    <definedName name="djnd" localSheetId="9">#REF!</definedName>
    <definedName name="djnd">#REF!</definedName>
    <definedName name="DPA_Total">[11]Summery!$AR$121</definedName>
    <definedName name="DPMC_Total">[11]Summery!$P$121</definedName>
    <definedName name="DPMCL_Total">[11]Summery!$AD$121</definedName>
    <definedName name="Drate">#REF!</definedName>
    <definedName name="ds">#REF!</definedName>
    <definedName name="dt">'[13]Customize Your Invoice'!$D$24</definedName>
    <definedName name="EIR_Trading">OFFSET(#REF!,0,0,COUNTA(#REF!),15)</definedName>
    <definedName name="Employee_Cat">[16]Sheet3!$H$3:$H$28</definedName>
    <definedName name="End_Bal" localSheetId="0">#REF!</definedName>
    <definedName name="End_Bal" localSheetId="9">#REF!</definedName>
    <definedName name="End_Bal">#REF!</definedName>
    <definedName name="Extra_Pay" localSheetId="9">#REF!</definedName>
    <definedName name="Extra_Pay">#REF!</definedName>
    <definedName name="fgs">#REF!</definedName>
    <definedName name="fpdate">[19]Lease!$D$8</definedName>
    <definedName name="frequency" localSheetId="0">{"Annually";"Semi-Annually";"Quarterly";"Bi-Monthly";"Monthly";"Semi-Monthly";"Bi-Weekly";"Weekly"}</definedName>
    <definedName name="frequency" localSheetId="9">{"Annually";"Semi-Annually";"Quarterly";"Bi-Monthly";"Monthly";"Semi-Monthly";"Bi-Weekly";"Weekly"}</definedName>
    <definedName name="frequency">{"Annually";"Semi-Annually";"Quarterly";"Bi-Monthly";"Monthly";"Semi-Monthly";"Bi-Weekly";"Weekly"}</definedName>
    <definedName name="Full_Print" localSheetId="0">#REF!</definedName>
    <definedName name="Full_Print" localSheetId="9">#REF!</definedName>
    <definedName name="Full_Print">#REF!</definedName>
    <definedName name="hdddbj" localSheetId="9">#REF!</definedName>
    <definedName name="hdddbj">#REF!</definedName>
    <definedName name="hdkdclkjdjf">#REF!</definedName>
    <definedName name="hdlasjl">#REF!</definedName>
    <definedName name="Header_Row">ROW(#REF!)</definedName>
    <definedName name="hjhkj">#REF!</definedName>
    <definedName name="hjj">#REF!</definedName>
    <definedName name="i">#REF!</definedName>
    <definedName name="i78.54">'[20]Cash flow'!#REF!</definedName>
    <definedName name="ID">#REF!</definedName>
    <definedName name="Int">#REF!</definedName>
    <definedName name="Inter_Br">#REF!</definedName>
    <definedName name="Interest_Rate">#REF!</definedName>
    <definedName name="IRR">OFFSET(#REF!,0,0,COUNTA(#REF!),1)</definedName>
    <definedName name="jadljal">#REF!</definedName>
    <definedName name="jhh">#REF!</definedName>
    <definedName name="jljk">#REF!</definedName>
    <definedName name="kkd">#REF!</definedName>
    <definedName name="Last_Row" localSheetId="0">IF([0]!Values_Entered,Header_Row+[0]!Number_of_Payments,Header_Row)</definedName>
    <definedName name="Last_Row" localSheetId="9">IF([0]!Values_Entered,Header_Row+[0]!Number_of_Payments,Header_Row)</definedName>
    <definedName name="Last_Row">IF(Values_Entered,Header_Row+Number_of_Payments,Header_Row)</definedName>
    <definedName name="LGD">#REF!</definedName>
    <definedName name="LGD_C">'[18]Expected Loss'!$B$6</definedName>
    <definedName name="LGD_NC">'[18]Expected Loss'!#REF!</definedName>
    <definedName name="LGDD">#REF!</definedName>
    <definedName name="loan_amount" localSheetId="0">[19]Lease!$D$5</definedName>
    <definedName name="Loan_Amount" localSheetId="9">#REF!</definedName>
    <definedName name="Loan_Amount">#REF!</definedName>
    <definedName name="Loan_Start" localSheetId="9">#REF!</definedName>
    <definedName name="Loan_Start">#REF!</definedName>
    <definedName name="Loan_Years" localSheetId="9">#REF!</definedName>
    <definedName name="Loan_Years">#REF!</definedName>
    <definedName name="Locations_List">[16]Sheet3!$J$3:$J$66</definedName>
    <definedName name="Market_valuation">OFFSET('[17]Market Valuation'!#REF!,'[17]Market Valuation'!$P$579,0,COUNTA('[17]Market Valuation'!$B$36:$B$95),16)</definedName>
    <definedName name="months_per_period" localSheetId="0">INDEX({12,6,3,2,1,0.5,0.5,0.25},MATCH([19]Lease!$D$9,'NBD-MF-01-SOFP'!frequency,0))</definedName>
    <definedName name="months_per_period" localSheetId="9">INDEX({12,6,3,2,1,0.5,0.5,0.25},MATCH([19]Lease!$D$9,'System TB'!frequency,0))</definedName>
    <definedName name="months_per_period">INDEX({12,6,3,2,1,0.5,0.5,0.25},MATCH([19]Lease!$D$9,frequency,0))</definedName>
    <definedName name="n">#REF!</definedName>
    <definedName name="NetIncome" localSheetId="0">#REF!</definedName>
    <definedName name="NetIncome">#REF!</definedName>
    <definedName name="NetWorth">[21]calculations!$C$23</definedName>
    <definedName name="Next_Rating">#REF!</definedName>
    <definedName name="nper">#N/A</definedName>
    <definedName name="Num_Pmt_Per_Year" localSheetId="0">#REF!</definedName>
    <definedName name="Num_Pmt_Per_Year" localSheetId="9">#REF!</definedName>
    <definedName name="Num_Pmt_Per_Year">#REF!</definedName>
    <definedName name="Number_of_Payments" localSheetId="0">MATCH(0.01,'NBD-MF-01-SOFP'!End_Bal,-1)+1</definedName>
    <definedName name="Number_of_Payments" localSheetId="9">MATCH(0.01,'System TB'!End_Bal,-1)+1</definedName>
    <definedName name="Number_of_Payments">MATCH(0.01,End_Bal,-1)+1</definedName>
    <definedName name="Ohbch">#REF!</definedName>
    <definedName name="ohjo">#REF!</definedName>
    <definedName name="osdwe">#REF!</definedName>
    <definedName name="Pay_Date" localSheetId="0">#REF!</definedName>
    <definedName name="Pay_Date" localSheetId="9">#REF!</definedName>
    <definedName name="Pay_Date">#REF!</definedName>
    <definedName name="Pay_Num" localSheetId="9">#REF!</definedName>
    <definedName name="Pay_Num">#REF!</definedName>
    <definedName name="payment">[19]Lease!$D$11</definedName>
    <definedName name="Payment_Date" localSheetId="0">DATE(YEAR(Loan_Start),MONTH(Loan_Start)+Payment_Number,DAY(Loan_Start))</definedName>
    <definedName name="Payment_Date" localSheetId="8">DATE(YEAR([0]!Loan_Start),MONTH([0]!Loan_Start)+Payment_Number,DAY([0]!Loan_Start))</definedName>
    <definedName name="Payment_Date" localSheetId="9">DATE(YEAR('System TB'!Loan_Start),MONTH('System TB'!Loan_Start)+Payment_Number,DAY('System TB'!Loan_Start))</definedName>
    <definedName name="Payment_Date">DATE(YEAR(Loan_Start),MONTH(Loan_Start)+Payment_Number,DAY(Loan_Start))</definedName>
    <definedName name="periods_per_year" localSheetId="0">INDEX({1,2,4,6,12,24,26,52},MATCH([19]Lease!$D$9,'NBD-MF-01-SOFP'!frequency,0))</definedName>
    <definedName name="periods_per_year" localSheetId="9">INDEX({1,2,4,6,12,24,26,52},MATCH([19]Lease!$D$9,'System TB'!frequency,0))</definedName>
    <definedName name="periods_per_year">INDEX({1,2,4,6,12,24,26,52},MATCH([19]Lease!$D$9,frequency,0))</definedName>
    <definedName name="Posting">#REF!</definedName>
    <definedName name="pp">#REF!</definedName>
    <definedName name="Prasad">#REF!</definedName>
    <definedName name="Princ">#REF!</definedName>
    <definedName name="_xlnm.Print_Area" localSheetId="0">'NBD-MF-01-SOFP'!$A$1:$D$144</definedName>
    <definedName name="_xlnm.Print_Area" localSheetId="2">'NBD-MF-10-GA'!$A$1:$L$21</definedName>
    <definedName name="PRINT_AREA_MI" localSheetId="9">#REF!</definedName>
    <definedName name="PRINT_AREA_MI">#REF!</definedName>
    <definedName name="Print_Area_Reset" localSheetId="0">#N/A</definedName>
    <definedName name="Print_Area_Reset" localSheetId="9">OFFSET('System TB'!Full_Print,0,0,'System TB'!Last_Row)</definedName>
    <definedName name="Print_Area_Reset">OFFSET(Full_Print,0,0,Last_Row)</definedName>
    <definedName name="q">#REF!</definedName>
    <definedName name="qdqfca" localSheetId="0">#REF!</definedName>
    <definedName name="qdqfca" localSheetId="9">#REF!</definedName>
    <definedName name="qdqfca">#REF!</definedName>
    <definedName name="qqqqqqqqqq">#REF!</definedName>
    <definedName name="Query2" localSheetId="0">#REF!</definedName>
    <definedName name="Query2">#REF!</definedName>
    <definedName name="rate">[19]Lease!$H$5</definedName>
    <definedName name="RF">#REF!</definedName>
    <definedName name="s">#REF!</definedName>
    <definedName name="sadsa" hidden="1">[2]FR!#REF!</definedName>
    <definedName name="SAPBEXrevision" hidden="1">406</definedName>
    <definedName name="SAPBEXsysID" hidden="1">"BWP"</definedName>
    <definedName name="SAPBEXwbID" hidden="1">"403L6HVXI3CVPSOCIMJIUWWEC"</definedName>
    <definedName name="Sched_Pay">#REF!</definedName>
    <definedName name="Scheduled_Extra_Payments" localSheetId="0">#REF!</definedName>
    <definedName name="Scheduled_Extra_Payments" localSheetId="9">#REF!</definedName>
    <definedName name="Scheduled_Extra_Payments">#REF!</definedName>
    <definedName name="Scheduled_Interest_Rate" localSheetId="9">#REF!</definedName>
    <definedName name="Scheduled_Interest_Rate">#REF!</definedName>
    <definedName name="Scheduled_Monthly_Payment">#REF!</definedName>
    <definedName name="sd">#REF!</definedName>
    <definedName name="sdsd">#REF!</definedName>
    <definedName name="Segmentdata">OFFSET([10]Sheet1!$E$4,,,,(COUNTA([10]Sheet1!$E$3:$G$3)-COUNTIF([10]Sheet1!$E$3:$G$3,"")))</definedName>
    <definedName name="skkgsfkfks" localSheetId="0">#REF!</definedName>
    <definedName name="skkgsfkfks">#REF!</definedName>
    <definedName name="Spell">#REF!</definedName>
    <definedName name="SS">#REF!</definedName>
    <definedName name="sss">#REF!</definedName>
    <definedName name="ssss">#REF!</definedName>
    <definedName name="sssss" localSheetId="0">[1]Sheet1!#REF!</definedName>
    <definedName name="sssss">[1]Sheet1!#REF!</definedName>
    <definedName name="ssws">#REF!</definedName>
    <definedName name="summery">NA()</definedName>
    <definedName name="t">#REF!</definedName>
    <definedName name="TB">[22]TB!$A:$IV</definedName>
    <definedName name="TBPL">'[23]TB-PL'!$A:$IV</definedName>
    <definedName name="term">[19]Lease!$D$7</definedName>
    <definedName name="TEST0" localSheetId="0">#REF!</definedName>
    <definedName name="TEST0" localSheetId="9">#REF!</definedName>
    <definedName name="TEST0">#REF!</definedName>
    <definedName name="TESTHKEY" localSheetId="9">#REF!</definedName>
    <definedName name="TESTHKEY">#REF!</definedName>
    <definedName name="TESTKEYS" localSheetId="9">#REF!</definedName>
    <definedName name="TESTKEYS">#REF!</definedName>
    <definedName name="TESTVKEY">#REF!</definedName>
    <definedName name="Total_Interest">#REF!</definedName>
    <definedName name="Total_Pay">#REF!</definedName>
    <definedName name="TotalAssets">[21]calculations!$C$15</definedName>
    <definedName name="TotalLiabilites">[21]calculations!$C$20</definedName>
    <definedName name="Type" localSheetId="0">'[24]Bank _Inst_Master'!$B$51:$B$62</definedName>
    <definedName name="Type">'[9]Bank _Inst_Master'!$B$51:$B$62</definedName>
    <definedName name="v" localSheetId="0">#REF!</definedName>
    <definedName name="v" localSheetId="9">#REF!</definedName>
    <definedName name="v">#REF!</definedName>
    <definedName name="Values_Entered" localSheetId="0">IF('NBD-MF-01-SOFP'!loan_amount*Interest_Rate*Loan_Years*Loan_Start&gt;0,1,0)</definedName>
    <definedName name="Values_Entered" localSheetId="9">IF('System TB'!Loan_Amount*Interest_Rate*'System TB'!Loan_Years*'System TB'!Loan_Start&gt;0,1,0)</definedName>
    <definedName name="Values_Entered">IF(Loan_Amount*Interest_Rate*Loan_Years*Loan_Start&gt;0,1,0)</definedName>
    <definedName name="vital5">'[13]Customize Your Invoice'!$E$15</definedName>
    <definedName name="VS_Regions">[25]VS!$E$73:$E$79</definedName>
    <definedName name="wfw">#REF!</definedName>
    <definedName name="WITH" localSheetId="0">#REF!</definedName>
    <definedName name="WITH" localSheetId="9">#REF!</definedName>
    <definedName name="WITH">#REF!</definedName>
    <definedName name="wrn.1997." hidden="1">{"YEAR97",#N/A,FALSE,"Sheet 1";"YEAR97_ASSUMP",#N/A,FALSE,"Sheet 1"}</definedName>
    <definedName name="wrn.1997.1" hidden="1">{"YEAR97",#N/A,FALSE,"Sheet 1";"YEAR97_ASSUMP",#N/A,FALSE,"Sheet 1"}</definedName>
    <definedName name="wrn.1998." hidden="1">{"YEAR98",#N/A,FALSE,"Sheet 1";"YEAR98_ASSUMP",#N/A,FALSE,"Sheet 1";"YEAR98_PERCENT",#N/A,FALSE,"Sheet 1"}</definedName>
    <definedName name="wrn.1999." hidden="1">{"YEAR99",#N/A,FALSE,"Sheet 1"}</definedName>
    <definedName name="wrn.2000." hidden="1">{"YEAR00",#N/A,FALSE,"Sheet 1"}</definedName>
    <definedName name="wrn.2001." hidden="1">{"YEAR01",#N/A,FALSE,"Sheet 1"}</definedName>
    <definedName name="wrn.2002." hidden="1">{"YEAR02",#N/A,FALSE,"Sheet 1"}</definedName>
    <definedName name="wrn.2004" hidden="1">{"YEAR01",#N/A,FALSE,"Sheet 1"}</definedName>
    <definedName name="wrn.ALL_REPORTS." hidden="1">{"YEAR98",#N/A,FALSE,"Sheet 1";"YEAR99",#N/A,FALSE,"Sheet 1";"YEAR00",#N/A,FALSE,"Sheet 1";"YEAR01",#N/A,FALSE,"Sheet 1";"YEAR02",#N/A,FALSE,"Sheet 1";"YEARLY_SUM",#N/A,FALSE,"Sheet 1"}</definedName>
    <definedName name="wrn.ALL_REPORTS2" hidden="1">{"YEAR98",#N/A,FALSE,"Sheet 1";"YEAR99",#N/A,FALSE,"Sheet 1";"YEAR00",#N/A,FALSE,"Sheet 1";"YEAR01",#N/A,FALSE,"Sheet 1";"YEAR02",#N/A,FALSE,"Sheet 1";"YEARLY_SUM",#N/A,FALSE,"Sheet 1"}</definedName>
    <definedName name="wrn.YEARLY_SUM." hidden="1">{"YEARLY_SUM",#N/A,FALSE,"Sheet 1"}</definedName>
    <definedName name="wvqvqv" localSheetId="0">#REF!</definedName>
    <definedName name="wvqvqv" localSheetId="9">#REF!</definedName>
    <definedName name="wvqvqv">#REF!</definedName>
    <definedName name="WWWW" localSheetId="9">#REF!</definedName>
    <definedName name="WWWW">#REF!</definedName>
    <definedName name="X" hidden="1">#REF!</definedName>
    <definedName name="Year_numbers">{12;24;36;48;60}</definedName>
    <definedName name="Year_ratingscale">{"Year 1";"Year 2";"Year 3";"Year 4";"Year 5"}</definedName>
    <definedName name="yu" hidden="1">{"YEAR98",#N/A,FALSE,"Sheet 1";"YEAR99",#N/A,FALSE,"Sheet 1";"YEAR00",#N/A,FALSE,"Sheet 1";"YEAR01",#N/A,FALSE,"Sheet 1";"YEAR02",#N/A,FALSE,"Sheet 1";"YEARLY_SUM",#N/A,FALSE,"Sheet 1"}</definedName>
    <definedName name="z">#REF!</definedName>
  </definedNames>
  <calcPr calcId="191029"/>
  <pivotCaches>
    <pivotCache cacheId="5" r:id="rId3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4" i="12" l="1"/>
  <c r="J73" i="12"/>
  <c r="J72" i="12"/>
  <c r="J71" i="12"/>
  <c r="J70" i="12"/>
  <c r="J69" i="12"/>
  <c r="J68" i="12"/>
  <c r="J67" i="12"/>
  <c r="J66" i="12"/>
  <c r="J65" i="12"/>
  <c r="J64" i="12"/>
  <c r="J63" i="12"/>
  <c r="J62" i="12"/>
  <c r="J61" i="12"/>
  <c r="J60" i="12"/>
  <c r="J59" i="12"/>
  <c r="J58" i="12"/>
  <c r="J57" i="12"/>
  <c r="J56" i="12"/>
  <c r="J55" i="12"/>
  <c r="J54" i="12"/>
  <c r="J53" i="12"/>
  <c r="J52" i="12"/>
  <c r="J51" i="12"/>
  <c r="J50" i="12"/>
  <c r="J49" i="12"/>
  <c r="J48" i="12"/>
  <c r="J47" i="12"/>
  <c r="J46" i="12"/>
  <c r="J45" i="12"/>
  <c r="J44" i="12"/>
  <c r="J43" i="12"/>
  <c r="J42" i="12"/>
  <c r="J41" i="12"/>
  <c r="J40" i="12"/>
  <c r="J39" i="12"/>
  <c r="J38" i="12"/>
  <c r="J37" i="12"/>
  <c r="J36" i="12"/>
  <c r="J35" i="12"/>
  <c r="J34" i="12"/>
  <c r="J33" i="12"/>
  <c r="J32" i="12"/>
  <c r="J31" i="12"/>
  <c r="J30" i="12"/>
  <c r="J29" i="12"/>
  <c r="J28" i="12"/>
  <c r="J27" i="12"/>
  <c r="J26" i="12"/>
  <c r="J25" i="12"/>
  <c r="J24" i="12"/>
  <c r="J23" i="12"/>
  <c r="J22" i="12"/>
  <c r="J21" i="12"/>
  <c r="J20" i="12"/>
  <c r="J19" i="12"/>
  <c r="J18" i="12"/>
  <c r="J17" i="12"/>
  <c r="J16" i="12"/>
  <c r="J15" i="12"/>
  <c r="J14" i="12"/>
  <c r="J13" i="12"/>
  <c r="J12" i="12"/>
  <c r="J11" i="12"/>
  <c r="J10" i="12"/>
  <c r="J9" i="12"/>
  <c r="J8" i="12"/>
  <c r="J7" i="12"/>
  <c r="J6" i="12"/>
  <c r="J5" i="12"/>
  <c r="J4" i="12"/>
  <c r="J3" i="12"/>
  <c r="J2" i="12"/>
  <c r="B18" i="11"/>
  <c r="B17" i="11"/>
  <c r="B8" i="11"/>
  <c r="B7" i="11"/>
  <c r="F171" i="9"/>
  <c r="F170" i="9"/>
  <c r="F169" i="9"/>
  <c r="F168" i="9"/>
  <c r="D168" i="9"/>
  <c r="G168" i="9" s="1"/>
  <c r="F167" i="9"/>
  <c r="F166" i="9"/>
  <c r="N163" i="9"/>
  <c r="F163" i="9"/>
  <c r="N162" i="9"/>
  <c r="J162" i="9"/>
  <c r="J163" i="9" s="1"/>
  <c r="F162" i="9"/>
  <c r="G160" i="9"/>
  <c r="O160" i="9" s="1"/>
  <c r="P160" i="9" s="1"/>
  <c r="D160" i="9"/>
  <c r="P159" i="9"/>
  <c r="G159" i="9"/>
  <c r="O159" i="9" s="1"/>
  <c r="D159" i="9"/>
  <c r="G158" i="9"/>
  <c r="O158" i="9" s="1"/>
  <c r="P158" i="9" s="1"/>
  <c r="D158" i="9"/>
  <c r="P157" i="9"/>
  <c r="L157" i="9"/>
  <c r="O157" i="9" s="1"/>
  <c r="D157" i="9"/>
  <c r="G156" i="9"/>
  <c r="O156" i="9" s="1"/>
  <c r="P156" i="9" s="1"/>
  <c r="D156" i="9"/>
  <c r="P155" i="9"/>
  <c r="G155" i="9"/>
  <c r="O155" i="9" s="1"/>
  <c r="D155" i="9"/>
  <c r="H154" i="9"/>
  <c r="O154" i="9" s="1"/>
  <c r="P154" i="9" s="1"/>
  <c r="D154" i="9"/>
  <c r="P153" i="9"/>
  <c r="G153" i="9"/>
  <c r="O153" i="9" s="1"/>
  <c r="D153" i="9"/>
  <c r="H152" i="9"/>
  <c r="O152" i="9" s="1"/>
  <c r="P152" i="9" s="1"/>
  <c r="D152" i="9"/>
  <c r="P151" i="9"/>
  <c r="H151" i="9"/>
  <c r="O151" i="9" s="1"/>
  <c r="D151" i="9"/>
  <c r="K150" i="9"/>
  <c r="O150" i="9" s="1"/>
  <c r="P150" i="9" s="1"/>
  <c r="D150" i="9"/>
  <c r="P149" i="9"/>
  <c r="G149" i="9"/>
  <c r="O149" i="9" s="1"/>
  <c r="D149" i="9"/>
  <c r="G148" i="9"/>
  <c r="O148" i="9" s="1"/>
  <c r="P148" i="9" s="1"/>
  <c r="D148" i="9"/>
  <c r="P147" i="9"/>
  <c r="G147" i="9"/>
  <c r="O147" i="9" s="1"/>
  <c r="D147" i="9"/>
  <c r="G146" i="9"/>
  <c r="O146" i="9" s="1"/>
  <c r="P146" i="9" s="1"/>
  <c r="D146" i="9"/>
  <c r="P145" i="9"/>
  <c r="G145" i="9"/>
  <c r="O145" i="9" s="1"/>
  <c r="D145" i="9"/>
  <c r="G144" i="9"/>
  <c r="O144" i="9" s="1"/>
  <c r="P144" i="9" s="1"/>
  <c r="D144" i="9"/>
  <c r="P143" i="9"/>
  <c r="G143" i="9"/>
  <c r="O143" i="9" s="1"/>
  <c r="D143" i="9"/>
  <c r="L142" i="9"/>
  <c r="O142" i="9" s="1"/>
  <c r="P142" i="9" s="1"/>
  <c r="D142" i="9"/>
  <c r="P141" i="9"/>
  <c r="G141" i="9"/>
  <c r="O141" i="9" s="1"/>
  <c r="D141" i="9"/>
  <c r="G140" i="9"/>
  <c r="O140" i="9" s="1"/>
  <c r="P140" i="9" s="1"/>
  <c r="D140" i="9"/>
  <c r="P139" i="9"/>
  <c r="G139" i="9"/>
  <c r="O139" i="9" s="1"/>
  <c r="D139" i="9"/>
  <c r="G138" i="9"/>
  <c r="O138" i="9" s="1"/>
  <c r="P138" i="9" s="1"/>
  <c r="D138" i="9"/>
  <c r="P137" i="9"/>
  <c r="G137" i="9"/>
  <c r="O137" i="9" s="1"/>
  <c r="D137" i="9"/>
  <c r="G136" i="9"/>
  <c r="O136" i="9" s="1"/>
  <c r="P136" i="9" s="1"/>
  <c r="D136" i="9"/>
  <c r="P135" i="9"/>
  <c r="G135" i="9"/>
  <c r="O135" i="9" s="1"/>
  <c r="D135" i="9"/>
  <c r="G134" i="9"/>
  <c r="O134" i="9" s="1"/>
  <c r="P134" i="9" s="1"/>
  <c r="D134" i="9"/>
  <c r="P133" i="9"/>
  <c r="G133" i="9"/>
  <c r="O133" i="9" s="1"/>
  <c r="D133" i="9"/>
  <c r="G132" i="9"/>
  <c r="O132" i="9" s="1"/>
  <c r="P132" i="9" s="1"/>
  <c r="D132" i="9"/>
  <c r="P131" i="9"/>
  <c r="M131" i="9"/>
  <c r="O131" i="9" s="1"/>
  <c r="D131" i="9"/>
  <c r="G130" i="9"/>
  <c r="O130" i="9" s="1"/>
  <c r="P130" i="9" s="1"/>
  <c r="D130" i="9"/>
  <c r="P129" i="9"/>
  <c r="G129" i="9"/>
  <c r="O129" i="9" s="1"/>
  <c r="D129" i="9"/>
  <c r="K128" i="9"/>
  <c r="O128" i="9" s="1"/>
  <c r="P128" i="9" s="1"/>
  <c r="D128" i="9"/>
  <c r="P127" i="9"/>
  <c r="G127" i="9"/>
  <c r="O127" i="9" s="1"/>
  <c r="D127" i="9"/>
  <c r="G126" i="9"/>
  <c r="O126" i="9" s="1"/>
  <c r="P126" i="9" s="1"/>
  <c r="D126" i="9"/>
  <c r="P125" i="9"/>
  <c r="G125" i="9"/>
  <c r="O125" i="9" s="1"/>
  <c r="D125" i="9"/>
  <c r="G124" i="9"/>
  <c r="O124" i="9" s="1"/>
  <c r="P124" i="9" s="1"/>
  <c r="D124" i="9"/>
  <c r="P123" i="9"/>
  <c r="G123" i="9"/>
  <c r="O123" i="9" s="1"/>
  <c r="D123" i="9"/>
  <c r="G122" i="9"/>
  <c r="O122" i="9" s="1"/>
  <c r="P122" i="9" s="1"/>
  <c r="D122" i="9"/>
  <c r="P121" i="9"/>
  <c r="G121" i="9"/>
  <c r="O121" i="9" s="1"/>
  <c r="D121" i="9"/>
  <c r="G120" i="9"/>
  <c r="O120" i="9" s="1"/>
  <c r="P120" i="9" s="1"/>
  <c r="D120" i="9"/>
  <c r="P119" i="9"/>
  <c r="G119" i="9"/>
  <c r="O119" i="9" s="1"/>
  <c r="D119" i="9"/>
  <c r="G118" i="9"/>
  <c r="O118" i="9" s="1"/>
  <c r="P118" i="9" s="1"/>
  <c r="D118" i="9"/>
  <c r="P117" i="9"/>
  <c r="G117" i="9"/>
  <c r="O117" i="9" s="1"/>
  <c r="D117" i="9"/>
  <c r="G116" i="9"/>
  <c r="O116" i="9" s="1"/>
  <c r="P116" i="9" s="1"/>
  <c r="D116" i="9"/>
  <c r="P115" i="9"/>
  <c r="G115" i="9"/>
  <c r="O115" i="9" s="1"/>
  <c r="D115" i="9"/>
  <c r="G114" i="9"/>
  <c r="O114" i="9" s="1"/>
  <c r="P114" i="9" s="1"/>
  <c r="D114" i="9"/>
  <c r="P113" i="9"/>
  <c r="G113" i="9"/>
  <c r="O113" i="9" s="1"/>
  <c r="D113" i="9"/>
  <c r="G112" i="9"/>
  <c r="O112" i="9" s="1"/>
  <c r="P112" i="9" s="1"/>
  <c r="D112" i="9"/>
  <c r="P111" i="9"/>
  <c r="K111" i="9"/>
  <c r="O111" i="9" s="1"/>
  <c r="D111" i="9"/>
  <c r="G110" i="9"/>
  <c r="O110" i="9" s="1"/>
  <c r="P110" i="9" s="1"/>
  <c r="D110" i="9"/>
  <c r="P109" i="9"/>
  <c r="G109" i="9"/>
  <c r="O109" i="9" s="1"/>
  <c r="D109" i="9"/>
  <c r="H108" i="9"/>
  <c r="O108" i="9" s="1"/>
  <c r="P108" i="9" s="1"/>
  <c r="D108" i="9"/>
  <c r="P107" i="9"/>
  <c r="G107" i="9"/>
  <c r="O107" i="9" s="1"/>
  <c r="D107" i="9"/>
  <c r="G106" i="9"/>
  <c r="O106" i="9" s="1"/>
  <c r="P106" i="9" s="1"/>
  <c r="D106" i="9"/>
  <c r="P105" i="9"/>
  <c r="G105" i="9"/>
  <c r="O105" i="9" s="1"/>
  <c r="D105" i="9"/>
  <c r="G104" i="9"/>
  <c r="O104" i="9" s="1"/>
  <c r="P104" i="9" s="1"/>
  <c r="D104" i="9"/>
  <c r="P103" i="9"/>
  <c r="G103" i="9"/>
  <c r="O103" i="9" s="1"/>
  <c r="D103" i="9"/>
  <c r="K102" i="9"/>
  <c r="O102" i="9" s="1"/>
  <c r="P102" i="9" s="1"/>
  <c r="D102" i="9"/>
  <c r="P101" i="9"/>
  <c r="G101" i="9"/>
  <c r="O101" i="9" s="1"/>
  <c r="D101" i="9"/>
  <c r="G100" i="9"/>
  <c r="O100" i="9" s="1"/>
  <c r="P100" i="9" s="1"/>
  <c r="D100" i="9"/>
  <c r="P99" i="9"/>
  <c r="G99" i="9"/>
  <c r="O99" i="9" s="1"/>
  <c r="D99" i="9"/>
  <c r="G98" i="9"/>
  <c r="O98" i="9" s="1"/>
  <c r="P98" i="9" s="1"/>
  <c r="D98" i="9"/>
  <c r="P97" i="9"/>
  <c r="G97" i="9"/>
  <c r="O97" i="9" s="1"/>
  <c r="D97" i="9"/>
  <c r="G96" i="9"/>
  <c r="O96" i="9" s="1"/>
  <c r="P96" i="9" s="1"/>
  <c r="D96" i="9"/>
  <c r="P95" i="9"/>
  <c r="D95" i="9"/>
  <c r="G95" i="9" s="1"/>
  <c r="O95" i="9" s="1"/>
  <c r="O94" i="9"/>
  <c r="P94" i="9" s="1"/>
  <c r="D94" i="9"/>
  <c r="G94" i="9" s="1"/>
  <c r="O93" i="9"/>
  <c r="P93" i="9" s="1"/>
  <c r="D93" i="9"/>
  <c r="G93" i="9" s="1"/>
  <c r="O92" i="9"/>
  <c r="P92" i="9" s="1"/>
  <c r="D92" i="9"/>
  <c r="G92" i="9" s="1"/>
  <c r="O91" i="9"/>
  <c r="P91" i="9" s="1"/>
  <c r="D91" i="9"/>
  <c r="G91" i="9" s="1"/>
  <c r="O90" i="9"/>
  <c r="P90" i="9" s="1"/>
  <c r="D90" i="9"/>
  <c r="G90" i="9" s="1"/>
  <c r="D89" i="9"/>
  <c r="O88" i="9"/>
  <c r="P88" i="9" s="1"/>
  <c r="D88" i="9"/>
  <c r="G88" i="9" s="1"/>
  <c r="O87" i="9"/>
  <c r="P87" i="9" s="1"/>
  <c r="D87" i="9"/>
  <c r="G87" i="9" s="1"/>
  <c r="O86" i="9"/>
  <c r="P86" i="9" s="1"/>
  <c r="D86" i="9"/>
  <c r="G86" i="9" s="1"/>
  <c r="O85" i="9"/>
  <c r="P85" i="9" s="1"/>
  <c r="D85" i="9"/>
  <c r="K85" i="9" s="1"/>
  <c r="D84" i="9"/>
  <c r="O83" i="9"/>
  <c r="P83" i="9" s="1"/>
  <c r="D83" i="9"/>
  <c r="K83" i="9" s="1"/>
  <c r="O82" i="9"/>
  <c r="P82" i="9" s="1"/>
  <c r="D82" i="9"/>
  <c r="G82" i="9" s="1"/>
  <c r="O81" i="9"/>
  <c r="P81" i="9" s="1"/>
  <c r="D81" i="9"/>
  <c r="G81" i="9" s="1"/>
  <c r="O80" i="9"/>
  <c r="P80" i="9" s="1"/>
  <c r="D80" i="9"/>
  <c r="G80" i="9" s="1"/>
  <c r="O79" i="9"/>
  <c r="P79" i="9" s="1"/>
  <c r="D79" i="9"/>
  <c r="K79" i="9" s="1"/>
  <c r="O78" i="9"/>
  <c r="P78" i="9" s="1"/>
  <c r="D78" i="9"/>
  <c r="K78" i="9" s="1"/>
  <c r="O77" i="9"/>
  <c r="P77" i="9" s="1"/>
  <c r="D77" i="9"/>
  <c r="K77" i="9" s="1"/>
  <c r="O76" i="9"/>
  <c r="P76" i="9" s="1"/>
  <c r="D76" i="9"/>
  <c r="K76" i="9" s="1"/>
  <c r="O75" i="9"/>
  <c r="P75" i="9" s="1"/>
  <c r="D75" i="9"/>
  <c r="G75" i="9" s="1"/>
  <c r="O74" i="9"/>
  <c r="P74" i="9" s="1"/>
  <c r="D74" i="9"/>
  <c r="G74" i="9" s="1"/>
  <c r="O73" i="9"/>
  <c r="P73" i="9" s="1"/>
  <c r="D73" i="9"/>
  <c r="K73" i="9" s="1"/>
  <c r="O72" i="9"/>
  <c r="P72" i="9" s="1"/>
  <c r="D72" i="9"/>
  <c r="G72" i="9" s="1"/>
  <c r="O71" i="9"/>
  <c r="P71" i="9" s="1"/>
  <c r="D71" i="9"/>
  <c r="G71" i="9" s="1"/>
  <c r="O70" i="9"/>
  <c r="P70" i="9" s="1"/>
  <c r="D70" i="9"/>
  <c r="K70" i="9" s="1"/>
  <c r="O69" i="9"/>
  <c r="P69" i="9" s="1"/>
  <c r="D69" i="9"/>
  <c r="K69" i="9" s="1"/>
  <c r="O68" i="9"/>
  <c r="P68" i="9" s="1"/>
  <c r="D68" i="9"/>
  <c r="K68" i="9" s="1"/>
  <c r="O67" i="9"/>
  <c r="P67" i="9" s="1"/>
  <c r="D67" i="9"/>
  <c r="G67" i="9" s="1"/>
  <c r="O66" i="9"/>
  <c r="P66" i="9" s="1"/>
  <c r="D66" i="9"/>
  <c r="G66" i="9" s="1"/>
  <c r="O65" i="9"/>
  <c r="P65" i="9" s="1"/>
  <c r="D65" i="9"/>
  <c r="G65" i="9" s="1"/>
  <c r="O64" i="9"/>
  <c r="P64" i="9" s="1"/>
  <c r="D64" i="9"/>
  <c r="G64" i="9" s="1"/>
  <c r="O63" i="9"/>
  <c r="P63" i="9" s="1"/>
  <c r="D63" i="9"/>
  <c r="G63" i="9" s="1"/>
  <c r="O62" i="9"/>
  <c r="P62" i="9" s="1"/>
  <c r="D62" i="9"/>
  <c r="G62" i="9" s="1"/>
  <c r="O61" i="9"/>
  <c r="P61" i="9" s="1"/>
  <c r="D61" i="9"/>
  <c r="G61" i="9" s="1"/>
  <c r="O60" i="9"/>
  <c r="P60" i="9" s="1"/>
  <c r="D60" i="9"/>
  <c r="H60" i="9" s="1"/>
  <c r="O59" i="9"/>
  <c r="P59" i="9" s="1"/>
  <c r="D59" i="9"/>
  <c r="G59" i="9" s="1"/>
  <c r="O58" i="9"/>
  <c r="P58" i="9" s="1"/>
  <c r="D58" i="9"/>
  <c r="G58" i="9" s="1"/>
  <c r="O57" i="9"/>
  <c r="P57" i="9" s="1"/>
  <c r="D57" i="9"/>
  <c r="I57" i="9" s="1"/>
  <c r="O56" i="9"/>
  <c r="P56" i="9" s="1"/>
  <c r="D56" i="9"/>
  <c r="G56" i="9" s="1"/>
  <c r="O55" i="9"/>
  <c r="P55" i="9" s="1"/>
  <c r="D55" i="9"/>
  <c r="G55" i="9" s="1"/>
  <c r="O54" i="9"/>
  <c r="P54" i="9" s="1"/>
  <c r="D54" i="9"/>
  <c r="G54" i="9" s="1"/>
  <c r="O53" i="9"/>
  <c r="P53" i="9" s="1"/>
  <c r="D53" i="9"/>
  <c r="G53" i="9" s="1"/>
  <c r="O52" i="9"/>
  <c r="P52" i="9" s="1"/>
  <c r="D52" i="9"/>
  <c r="K52" i="9" s="1"/>
  <c r="O51" i="9"/>
  <c r="P51" i="9" s="1"/>
  <c r="D51" i="9"/>
  <c r="G51" i="9" s="1"/>
  <c r="O50" i="9"/>
  <c r="P50" i="9" s="1"/>
  <c r="D50" i="9"/>
  <c r="G50" i="9" s="1"/>
  <c r="O49" i="9"/>
  <c r="P49" i="9" s="1"/>
  <c r="D49" i="9"/>
  <c r="G49" i="9" s="1"/>
  <c r="O48" i="9"/>
  <c r="P48" i="9" s="1"/>
  <c r="D48" i="9"/>
  <c r="G48" i="9" s="1"/>
  <c r="O47" i="9"/>
  <c r="P47" i="9" s="1"/>
  <c r="D47" i="9"/>
  <c r="G47" i="9" s="1"/>
  <c r="O46" i="9"/>
  <c r="P46" i="9" s="1"/>
  <c r="D46" i="9"/>
  <c r="G46" i="9" s="1"/>
  <c r="O45" i="9"/>
  <c r="P45" i="9" s="1"/>
  <c r="D45" i="9"/>
  <c r="G45" i="9" s="1"/>
  <c r="O44" i="9"/>
  <c r="P44" i="9" s="1"/>
  <c r="D44" i="9"/>
  <c r="G44" i="9" s="1"/>
  <c r="O43" i="9"/>
  <c r="P43" i="9" s="1"/>
  <c r="D43" i="9"/>
  <c r="G43" i="9" s="1"/>
  <c r="O42" i="9"/>
  <c r="P42" i="9" s="1"/>
  <c r="D42" i="9"/>
  <c r="G42" i="9" s="1"/>
  <c r="O41" i="9"/>
  <c r="P41" i="9" s="1"/>
  <c r="D41" i="9"/>
  <c r="G41" i="9" s="1"/>
  <c r="O40" i="9"/>
  <c r="P40" i="9" s="1"/>
  <c r="D40" i="9"/>
  <c r="G40" i="9" s="1"/>
  <c r="O39" i="9"/>
  <c r="P39" i="9" s="1"/>
  <c r="D39" i="9"/>
  <c r="K39" i="9" s="1"/>
  <c r="O38" i="9"/>
  <c r="P38" i="9" s="1"/>
  <c r="D38" i="9"/>
  <c r="G38" i="9" s="1"/>
  <c r="O37" i="9"/>
  <c r="P37" i="9" s="1"/>
  <c r="D37" i="9"/>
  <c r="G37" i="9" s="1"/>
  <c r="O36" i="9"/>
  <c r="P36" i="9" s="1"/>
  <c r="D36" i="9"/>
  <c r="G36" i="9" s="1"/>
  <c r="O35" i="9"/>
  <c r="P35" i="9" s="1"/>
  <c r="D35" i="9"/>
  <c r="G35" i="9" s="1"/>
  <c r="O34" i="9"/>
  <c r="P34" i="9" s="1"/>
  <c r="D34" i="9"/>
  <c r="G34" i="9" s="1"/>
  <c r="O33" i="9"/>
  <c r="P33" i="9" s="1"/>
  <c r="D33" i="9"/>
  <c r="G33" i="9" s="1"/>
  <c r="D32" i="9"/>
  <c r="G32" i="9" s="1"/>
  <c r="O32" i="9" s="1"/>
  <c r="P32" i="9" s="1"/>
  <c r="D31" i="9"/>
  <c r="G31" i="9" s="1"/>
  <c r="O31" i="9" s="1"/>
  <c r="P31" i="9" s="1"/>
  <c r="D30" i="9"/>
  <c r="G30" i="9" s="1"/>
  <c r="O30" i="9" s="1"/>
  <c r="P30" i="9" s="1"/>
  <c r="D29" i="9"/>
  <c r="L29" i="9" s="1"/>
  <c r="O29" i="9" s="1"/>
  <c r="P29" i="9" s="1"/>
  <c r="D28" i="9"/>
  <c r="G28" i="9" s="1"/>
  <c r="O28" i="9" s="1"/>
  <c r="P28" i="9" s="1"/>
  <c r="D27" i="9"/>
  <c r="G27" i="9" s="1"/>
  <c r="O27" i="9" s="1"/>
  <c r="P27" i="9" s="1"/>
  <c r="D26" i="9"/>
  <c r="D25" i="9"/>
  <c r="G25" i="9" s="1"/>
  <c r="O25" i="9" s="1"/>
  <c r="P25" i="9" s="1"/>
  <c r="D24" i="9"/>
  <c r="G24" i="9" s="1"/>
  <c r="O24" i="9" s="1"/>
  <c r="P24" i="9" s="1"/>
  <c r="D23" i="9"/>
  <c r="L23" i="9" s="1"/>
  <c r="O23" i="9" s="1"/>
  <c r="P23" i="9" s="1"/>
  <c r="D22" i="9"/>
  <c r="L22" i="9" s="1"/>
  <c r="D21" i="9"/>
  <c r="G21" i="9" s="1"/>
  <c r="O21" i="9" s="1"/>
  <c r="P21" i="9" s="1"/>
  <c r="D20" i="9"/>
  <c r="G20" i="9" s="1"/>
  <c r="O20" i="9" s="1"/>
  <c r="P20" i="9" s="1"/>
  <c r="D19" i="9"/>
  <c r="G19" i="9" s="1"/>
  <c r="O19" i="9" s="1"/>
  <c r="P19" i="9" s="1"/>
  <c r="D18" i="9"/>
  <c r="H18" i="9" s="1"/>
  <c r="D17" i="9"/>
  <c r="G17" i="9" s="1"/>
  <c r="O17" i="9" s="1"/>
  <c r="P17" i="9" s="1"/>
  <c r="D16" i="9"/>
  <c r="G16" i="9" s="1"/>
  <c r="O16" i="9" s="1"/>
  <c r="P16" i="9" s="1"/>
  <c r="D15" i="9"/>
  <c r="G15" i="9" s="1"/>
  <c r="O15" i="9" s="1"/>
  <c r="P15" i="9" s="1"/>
  <c r="D14" i="9"/>
  <c r="G14" i="9" s="1"/>
  <c r="O14" i="9" s="1"/>
  <c r="P14" i="9" s="1"/>
  <c r="D13" i="9"/>
  <c r="G13" i="9" s="1"/>
  <c r="O13" i="9" s="1"/>
  <c r="P13" i="9" s="1"/>
  <c r="D12" i="9"/>
  <c r="G12" i="9" s="1"/>
  <c r="O12" i="9" s="1"/>
  <c r="P12" i="9" s="1"/>
  <c r="D11" i="9"/>
  <c r="D10" i="9"/>
  <c r="D9" i="9"/>
  <c r="G9" i="9" s="1"/>
  <c r="O9" i="9" s="1"/>
  <c r="P9" i="9" s="1"/>
  <c r="D8" i="9"/>
  <c r="G8" i="9" s="1"/>
  <c r="O8" i="9" s="1"/>
  <c r="P8" i="9" s="1"/>
  <c r="D7" i="9"/>
  <c r="G7" i="9" s="1"/>
  <c r="O7" i="9" s="1"/>
  <c r="P7" i="9" s="1"/>
  <c r="D6" i="9"/>
  <c r="G6" i="9" s="1"/>
  <c r="O6" i="9" s="1"/>
  <c r="P6" i="9" s="1"/>
  <c r="D5" i="9"/>
  <c r="G5" i="9" s="1"/>
  <c r="O5" i="9" s="1"/>
  <c r="P5" i="9" s="1"/>
  <c r="D4" i="9"/>
  <c r="G4" i="9" s="1"/>
  <c r="O4" i="9" s="1"/>
  <c r="P4" i="9" s="1"/>
  <c r="D3" i="9"/>
  <c r="G3" i="9" s="1"/>
  <c r="O3" i="9" s="1"/>
  <c r="P3" i="9" s="1"/>
  <c r="D2" i="9"/>
  <c r="K40" i="8"/>
  <c r="P39" i="8"/>
  <c r="P40" i="8" s="1"/>
  <c r="P38" i="8"/>
  <c r="K33" i="8"/>
  <c r="P41" i="8" s="1"/>
  <c r="O32" i="8"/>
  <c r="N32" i="8"/>
  <c r="O31" i="8"/>
  <c r="P31" i="8" s="1"/>
  <c r="O29" i="8"/>
  <c r="N29" i="8"/>
  <c r="P29" i="8" s="1"/>
  <c r="O28" i="8"/>
  <c r="P28" i="8" s="1"/>
  <c r="O27" i="8"/>
  <c r="P27" i="8" s="1"/>
  <c r="N25" i="8"/>
  <c r="P25" i="8" s="1"/>
  <c r="J16" i="8"/>
  <c r="J29" i="8" s="1"/>
  <c r="K15" i="8"/>
  <c r="G15" i="8"/>
  <c r="G28" i="8" s="1"/>
  <c r="C15" i="8"/>
  <c r="C28" i="8" s="1"/>
  <c r="H14" i="8"/>
  <c r="H27" i="8" s="1"/>
  <c r="D14" i="8"/>
  <c r="D27" i="8" s="1"/>
  <c r="K10" i="8"/>
  <c r="O9" i="8"/>
  <c r="K9" i="8"/>
  <c r="J15" i="8" s="1"/>
  <c r="N8" i="8"/>
  <c r="P8" i="8" s="1"/>
  <c r="K8" i="8"/>
  <c r="I13" i="8" s="1"/>
  <c r="N7" i="8"/>
  <c r="P7" i="8" s="1"/>
  <c r="K7" i="8"/>
  <c r="N26" i="8" s="1"/>
  <c r="K6" i="8"/>
  <c r="F16" i="8" s="1"/>
  <c r="N5" i="8"/>
  <c r="P5" i="8" s="1"/>
  <c r="K5" i="8"/>
  <c r="J14" i="8" s="1"/>
  <c r="J27" i="8" s="1"/>
  <c r="N4" i="8"/>
  <c r="P4" i="8" s="1"/>
  <c r="K4" i="8"/>
  <c r="O26" i="8" s="1"/>
  <c r="F1143" i="7"/>
  <c r="G1143" i="7" s="1"/>
  <c r="F1139" i="7"/>
  <c r="G1139" i="7" s="1"/>
  <c r="F1135" i="7"/>
  <c r="G1135" i="7" s="1"/>
  <c r="F1131" i="7"/>
  <c r="G1131" i="7" s="1"/>
  <c r="F1127" i="7"/>
  <c r="G1127" i="7" s="1"/>
  <c r="F1123" i="7"/>
  <c r="G1123" i="7" s="1"/>
  <c r="F1119" i="7"/>
  <c r="G1119" i="7" s="1"/>
  <c r="F1115" i="7"/>
  <c r="G1115" i="7" s="1"/>
  <c r="F1111" i="7"/>
  <c r="G1111" i="7" s="1"/>
  <c r="F1107" i="7"/>
  <c r="G1107" i="7" s="1"/>
  <c r="F1103" i="7"/>
  <c r="G1103" i="7" s="1"/>
  <c r="F1099" i="7"/>
  <c r="G1099" i="7" s="1"/>
  <c r="F1095" i="7"/>
  <c r="G1095" i="7" s="1"/>
  <c r="F1091" i="7"/>
  <c r="G1091" i="7" s="1"/>
  <c r="F1087" i="7"/>
  <c r="G1087" i="7" s="1"/>
  <c r="F1083" i="7"/>
  <c r="G1083" i="7" s="1"/>
  <c r="F1079" i="7"/>
  <c r="G1079" i="7" s="1"/>
  <c r="F1075" i="7"/>
  <c r="G1075" i="7" s="1"/>
  <c r="F1071" i="7"/>
  <c r="G1071" i="7" s="1"/>
  <c r="F1067" i="7"/>
  <c r="G1067" i="7" s="1"/>
  <c r="F1063" i="7"/>
  <c r="G1063" i="7" s="1"/>
  <c r="F1059" i="7"/>
  <c r="G1059" i="7" s="1"/>
  <c r="F1055" i="7"/>
  <c r="G1055" i="7" s="1"/>
  <c r="F1051" i="7"/>
  <c r="G1051" i="7" s="1"/>
  <c r="F1047" i="7"/>
  <c r="G1047" i="7" s="1"/>
  <c r="F1043" i="7"/>
  <c r="G1043" i="7" s="1"/>
  <c r="F1039" i="7"/>
  <c r="G1039" i="7" s="1"/>
  <c r="F1035" i="7"/>
  <c r="G1035" i="7" s="1"/>
  <c r="F1031" i="7"/>
  <c r="G1031" i="7" s="1"/>
  <c r="F1027" i="7"/>
  <c r="G1027" i="7" s="1"/>
  <c r="F1023" i="7"/>
  <c r="G1023" i="7" s="1"/>
  <c r="F1019" i="7"/>
  <c r="G1019" i="7" s="1"/>
  <c r="F1015" i="7"/>
  <c r="G1015" i="7" s="1"/>
  <c r="F1011" i="7"/>
  <c r="G1011" i="7" s="1"/>
  <c r="F1007" i="7"/>
  <c r="G1007" i="7" s="1"/>
  <c r="F1003" i="7"/>
  <c r="G1003" i="7" s="1"/>
  <c r="F999" i="7"/>
  <c r="G999" i="7" s="1"/>
  <c r="F995" i="7"/>
  <c r="G995" i="7" s="1"/>
  <c r="F991" i="7"/>
  <c r="G991" i="7" s="1"/>
  <c r="F987" i="7"/>
  <c r="G987" i="7" s="1"/>
  <c r="F983" i="7"/>
  <c r="G983" i="7" s="1"/>
  <c r="F979" i="7"/>
  <c r="G979" i="7" s="1"/>
  <c r="F975" i="7"/>
  <c r="G975" i="7" s="1"/>
  <c r="F971" i="7"/>
  <c r="G971" i="7" s="1"/>
  <c r="F967" i="7"/>
  <c r="G967" i="7" s="1"/>
  <c r="F963" i="7"/>
  <c r="G963" i="7" s="1"/>
  <c r="F959" i="7"/>
  <c r="G959" i="7" s="1"/>
  <c r="F957" i="7"/>
  <c r="G957" i="7" s="1"/>
  <c r="F955" i="7"/>
  <c r="G955" i="7" s="1"/>
  <c r="F953" i="7"/>
  <c r="G953" i="7" s="1"/>
  <c r="F951" i="7"/>
  <c r="G951" i="7" s="1"/>
  <c r="F949" i="7"/>
  <c r="G949" i="7" s="1"/>
  <c r="F947" i="7"/>
  <c r="G947" i="7" s="1"/>
  <c r="F945" i="7"/>
  <c r="G945" i="7" s="1"/>
  <c r="F943" i="7"/>
  <c r="G943" i="7" s="1"/>
  <c r="F941" i="7"/>
  <c r="G941" i="7" s="1"/>
  <c r="F939" i="7"/>
  <c r="G939" i="7" s="1"/>
  <c r="F937" i="7"/>
  <c r="G937" i="7" s="1"/>
  <c r="F935" i="7"/>
  <c r="G935" i="7" s="1"/>
  <c r="F933" i="7"/>
  <c r="G933" i="7" s="1"/>
  <c r="F931" i="7"/>
  <c r="G931" i="7" s="1"/>
  <c r="F929" i="7"/>
  <c r="G929" i="7" s="1"/>
  <c r="F927" i="7"/>
  <c r="G927" i="7" s="1"/>
  <c r="F925" i="7"/>
  <c r="G925" i="7" s="1"/>
  <c r="F923" i="7"/>
  <c r="G923" i="7" s="1"/>
  <c r="F921" i="7"/>
  <c r="G921" i="7" s="1"/>
  <c r="F919" i="7"/>
  <c r="G919" i="7" s="1"/>
  <c r="F917" i="7"/>
  <c r="G917" i="7" s="1"/>
  <c r="F915" i="7"/>
  <c r="G915" i="7" s="1"/>
  <c r="F913" i="7"/>
  <c r="G913" i="7" s="1"/>
  <c r="F911" i="7"/>
  <c r="G911" i="7" s="1"/>
  <c r="F909" i="7"/>
  <c r="G909" i="7" s="1"/>
  <c r="F907" i="7"/>
  <c r="G907" i="7" s="1"/>
  <c r="F905" i="7"/>
  <c r="G905" i="7" s="1"/>
  <c r="F903" i="7"/>
  <c r="G903" i="7" s="1"/>
  <c r="F901" i="7"/>
  <c r="G901" i="7" s="1"/>
  <c r="F899" i="7"/>
  <c r="G899" i="7" s="1"/>
  <c r="F897" i="7"/>
  <c r="G897" i="7" s="1"/>
  <c r="F895" i="7"/>
  <c r="G895" i="7" s="1"/>
  <c r="F893" i="7"/>
  <c r="G893" i="7" s="1"/>
  <c r="F891" i="7"/>
  <c r="G891" i="7" s="1"/>
  <c r="F889" i="7"/>
  <c r="G889" i="7" s="1"/>
  <c r="F887" i="7"/>
  <c r="G887" i="7" s="1"/>
  <c r="F885" i="7"/>
  <c r="G885" i="7" s="1"/>
  <c r="F883" i="7"/>
  <c r="G883" i="7" s="1"/>
  <c r="F881" i="7"/>
  <c r="G881" i="7" s="1"/>
  <c r="F879" i="7"/>
  <c r="G879" i="7" s="1"/>
  <c r="F877" i="7"/>
  <c r="G877" i="7" s="1"/>
  <c r="F875" i="7"/>
  <c r="G875" i="7" s="1"/>
  <c r="F873" i="7"/>
  <c r="G873" i="7" s="1"/>
  <c r="F871" i="7"/>
  <c r="G871" i="7" s="1"/>
  <c r="F869" i="7"/>
  <c r="G869" i="7" s="1"/>
  <c r="F867" i="7"/>
  <c r="G867" i="7" s="1"/>
  <c r="F865" i="7"/>
  <c r="G865" i="7" s="1"/>
  <c r="F863" i="7"/>
  <c r="G863" i="7" s="1"/>
  <c r="F861" i="7"/>
  <c r="G861" i="7" s="1"/>
  <c r="F859" i="7"/>
  <c r="G859" i="7" s="1"/>
  <c r="F857" i="7"/>
  <c r="G857" i="7" s="1"/>
  <c r="F855" i="7"/>
  <c r="G855" i="7" s="1"/>
  <c r="F853" i="7"/>
  <c r="G853" i="7" s="1"/>
  <c r="F851" i="7"/>
  <c r="G851" i="7" s="1"/>
  <c r="F849" i="7"/>
  <c r="G849" i="7" s="1"/>
  <c r="F847" i="7"/>
  <c r="G847" i="7" s="1"/>
  <c r="F845" i="7"/>
  <c r="G845" i="7" s="1"/>
  <c r="F843" i="7"/>
  <c r="G843" i="7" s="1"/>
  <c r="F841" i="7"/>
  <c r="G841" i="7" s="1"/>
  <c r="F839" i="7"/>
  <c r="G839" i="7" s="1"/>
  <c r="F837" i="7"/>
  <c r="G837" i="7" s="1"/>
  <c r="F835" i="7"/>
  <c r="G835" i="7" s="1"/>
  <c r="F833" i="7"/>
  <c r="G833" i="7" s="1"/>
  <c r="F831" i="7"/>
  <c r="G831" i="7" s="1"/>
  <c r="F829" i="7"/>
  <c r="G829" i="7" s="1"/>
  <c r="F827" i="7"/>
  <c r="G827" i="7" s="1"/>
  <c r="F825" i="7"/>
  <c r="G825" i="7" s="1"/>
  <c r="F823" i="7"/>
  <c r="G823" i="7" s="1"/>
  <c r="F821" i="7"/>
  <c r="G821" i="7" s="1"/>
  <c r="F819" i="7"/>
  <c r="G819" i="7" s="1"/>
  <c r="F817" i="7"/>
  <c r="G817" i="7" s="1"/>
  <c r="F815" i="7"/>
  <c r="G815" i="7" s="1"/>
  <c r="F813" i="7"/>
  <c r="G813" i="7" s="1"/>
  <c r="F811" i="7"/>
  <c r="G811" i="7" s="1"/>
  <c r="F809" i="7"/>
  <c r="G809" i="7" s="1"/>
  <c r="F807" i="7"/>
  <c r="G807" i="7" s="1"/>
  <c r="F805" i="7"/>
  <c r="G805" i="7" s="1"/>
  <c r="F803" i="7"/>
  <c r="G803" i="7" s="1"/>
  <c r="F801" i="7"/>
  <c r="G801" i="7" s="1"/>
  <c r="F799" i="7"/>
  <c r="G799" i="7" s="1"/>
  <c r="F797" i="7"/>
  <c r="G797" i="7" s="1"/>
  <c r="F795" i="7"/>
  <c r="G795" i="7" s="1"/>
  <c r="F793" i="7"/>
  <c r="G793" i="7" s="1"/>
  <c r="F791" i="7"/>
  <c r="G791" i="7" s="1"/>
  <c r="F789" i="7"/>
  <c r="G789" i="7" s="1"/>
  <c r="F787" i="7"/>
  <c r="G787" i="7" s="1"/>
  <c r="F785" i="7"/>
  <c r="G785" i="7" s="1"/>
  <c r="F783" i="7"/>
  <c r="G783" i="7" s="1"/>
  <c r="F781" i="7"/>
  <c r="G781" i="7" s="1"/>
  <c r="F779" i="7"/>
  <c r="G779" i="7" s="1"/>
  <c r="F777" i="7"/>
  <c r="G777" i="7" s="1"/>
  <c r="F775" i="7"/>
  <c r="G775" i="7" s="1"/>
  <c r="F773" i="7"/>
  <c r="G773" i="7" s="1"/>
  <c r="F771" i="7"/>
  <c r="G771" i="7" s="1"/>
  <c r="F769" i="7"/>
  <c r="G769" i="7" s="1"/>
  <c r="F767" i="7"/>
  <c r="G767" i="7" s="1"/>
  <c r="F765" i="7"/>
  <c r="G765" i="7" s="1"/>
  <c r="F763" i="7"/>
  <c r="G763" i="7" s="1"/>
  <c r="F761" i="7"/>
  <c r="G761" i="7" s="1"/>
  <c r="F759" i="7"/>
  <c r="G759" i="7" s="1"/>
  <c r="F757" i="7"/>
  <c r="G757" i="7" s="1"/>
  <c r="F755" i="7"/>
  <c r="G755" i="7" s="1"/>
  <c r="F753" i="7"/>
  <c r="G753" i="7" s="1"/>
  <c r="F751" i="7"/>
  <c r="G751" i="7" s="1"/>
  <c r="F749" i="7"/>
  <c r="G749" i="7" s="1"/>
  <c r="F747" i="7"/>
  <c r="G747" i="7" s="1"/>
  <c r="F745" i="7"/>
  <c r="G745" i="7" s="1"/>
  <c r="F743" i="7"/>
  <c r="G743" i="7" s="1"/>
  <c r="F741" i="7"/>
  <c r="G741" i="7" s="1"/>
  <c r="F739" i="7"/>
  <c r="G739" i="7" s="1"/>
  <c r="F737" i="7"/>
  <c r="G737" i="7" s="1"/>
  <c r="F735" i="7"/>
  <c r="G735" i="7" s="1"/>
  <c r="F733" i="7"/>
  <c r="G733" i="7" s="1"/>
  <c r="F731" i="7"/>
  <c r="G731" i="7" s="1"/>
  <c r="F729" i="7"/>
  <c r="G729" i="7" s="1"/>
  <c r="F727" i="7"/>
  <c r="G727" i="7" s="1"/>
  <c r="F725" i="7"/>
  <c r="G725" i="7" s="1"/>
  <c r="F723" i="7"/>
  <c r="G723" i="7" s="1"/>
  <c r="F721" i="7"/>
  <c r="G721" i="7" s="1"/>
  <c r="F719" i="7"/>
  <c r="G719" i="7" s="1"/>
  <c r="F717" i="7"/>
  <c r="G717" i="7" s="1"/>
  <c r="F715" i="7"/>
  <c r="G715" i="7" s="1"/>
  <c r="F713" i="7"/>
  <c r="G713" i="7" s="1"/>
  <c r="F711" i="7"/>
  <c r="G711" i="7" s="1"/>
  <c r="F709" i="7"/>
  <c r="G709" i="7" s="1"/>
  <c r="F707" i="7"/>
  <c r="G707" i="7" s="1"/>
  <c r="F705" i="7"/>
  <c r="G705" i="7" s="1"/>
  <c r="F703" i="7"/>
  <c r="G703" i="7" s="1"/>
  <c r="F701" i="7"/>
  <c r="G701" i="7" s="1"/>
  <c r="F699" i="7"/>
  <c r="G699" i="7" s="1"/>
  <c r="F697" i="7"/>
  <c r="G697" i="7" s="1"/>
  <c r="F695" i="7"/>
  <c r="G695" i="7" s="1"/>
  <c r="F693" i="7"/>
  <c r="G693" i="7" s="1"/>
  <c r="F691" i="7"/>
  <c r="G691" i="7" s="1"/>
  <c r="F689" i="7"/>
  <c r="G689" i="7" s="1"/>
  <c r="F687" i="7"/>
  <c r="G687" i="7" s="1"/>
  <c r="F685" i="7"/>
  <c r="G685" i="7" s="1"/>
  <c r="F683" i="7"/>
  <c r="G683" i="7" s="1"/>
  <c r="F681" i="7"/>
  <c r="G681" i="7" s="1"/>
  <c r="F679" i="7"/>
  <c r="G679" i="7" s="1"/>
  <c r="F677" i="7"/>
  <c r="G677" i="7" s="1"/>
  <c r="F675" i="7"/>
  <c r="G675" i="7" s="1"/>
  <c r="F673" i="7"/>
  <c r="G673" i="7" s="1"/>
  <c r="F671" i="7"/>
  <c r="G671" i="7" s="1"/>
  <c r="F669" i="7"/>
  <c r="G669" i="7" s="1"/>
  <c r="F667" i="7"/>
  <c r="G667" i="7" s="1"/>
  <c r="F665" i="7"/>
  <c r="G665" i="7" s="1"/>
  <c r="F663" i="7"/>
  <c r="G663" i="7" s="1"/>
  <c r="F661" i="7"/>
  <c r="G661" i="7" s="1"/>
  <c r="F659" i="7"/>
  <c r="G659" i="7" s="1"/>
  <c r="F657" i="7"/>
  <c r="G657" i="7" s="1"/>
  <c r="F655" i="7"/>
  <c r="G655" i="7" s="1"/>
  <c r="F653" i="7"/>
  <c r="G653" i="7" s="1"/>
  <c r="F651" i="7"/>
  <c r="G651" i="7" s="1"/>
  <c r="F649" i="7"/>
  <c r="G649" i="7" s="1"/>
  <c r="F647" i="7"/>
  <c r="G647" i="7" s="1"/>
  <c r="F645" i="7"/>
  <c r="G645" i="7" s="1"/>
  <c r="F643" i="7"/>
  <c r="G643" i="7" s="1"/>
  <c r="F641" i="7"/>
  <c r="G641" i="7" s="1"/>
  <c r="F639" i="7"/>
  <c r="G639" i="7" s="1"/>
  <c r="F637" i="7"/>
  <c r="G637" i="7" s="1"/>
  <c r="F635" i="7"/>
  <c r="G635" i="7" s="1"/>
  <c r="F633" i="7"/>
  <c r="G633" i="7" s="1"/>
  <c r="F631" i="7"/>
  <c r="G631" i="7" s="1"/>
  <c r="F629" i="7"/>
  <c r="G629" i="7" s="1"/>
  <c r="F627" i="7"/>
  <c r="G627" i="7" s="1"/>
  <c r="F625" i="7"/>
  <c r="G625" i="7" s="1"/>
  <c r="F623" i="7"/>
  <c r="G623" i="7" s="1"/>
  <c r="F621" i="7"/>
  <c r="G621" i="7" s="1"/>
  <c r="F619" i="7"/>
  <c r="G619" i="7" s="1"/>
  <c r="F617" i="7"/>
  <c r="G617" i="7" s="1"/>
  <c r="F615" i="7"/>
  <c r="G615" i="7" s="1"/>
  <c r="F613" i="7"/>
  <c r="G613" i="7" s="1"/>
  <c r="F611" i="7"/>
  <c r="G611" i="7" s="1"/>
  <c r="F609" i="7"/>
  <c r="G609" i="7" s="1"/>
  <c r="F607" i="7"/>
  <c r="G607" i="7" s="1"/>
  <c r="F605" i="7"/>
  <c r="G605" i="7" s="1"/>
  <c r="F603" i="7"/>
  <c r="G603" i="7" s="1"/>
  <c r="F601" i="7"/>
  <c r="G601" i="7" s="1"/>
  <c r="F599" i="7"/>
  <c r="G599" i="7" s="1"/>
  <c r="F597" i="7"/>
  <c r="G597" i="7" s="1"/>
  <c r="F595" i="7"/>
  <c r="G595" i="7" s="1"/>
  <c r="F593" i="7"/>
  <c r="G593" i="7" s="1"/>
  <c r="F591" i="7"/>
  <c r="G591" i="7" s="1"/>
  <c r="F589" i="7"/>
  <c r="G589" i="7" s="1"/>
  <c r="F587" i="7"/>
  <c r="G587" i="7" s="1"/>
  <c r="F585" i="7"/>
  <c r="G585" i="7" s="1"/>
  <c r="F583" i="7"/>
  <c r="G583" i="7" s="1"/>
  <c r="F581" i="7"/>
  <c r="G581" i="7" s="1"/>
  <c r="F579" i="7"/>
  <c r="G579" i="7" s="1"/>
  <c r="F577" i="7"/>
  <c r="G577" i="7" s="1"/>
  <c r="F575" i="7"/>
  <c r="G575" i="7" s="1"/>
  <c r="F573" i="7"/>
  <c r="G573" i="7" s="1"/>
  <c r="F571" i="7"/>
  <c r="G571" i="7" s="1"/>
  <c r="F569" i="7"/>
  <c r="G569" i="7" s="1"/>
  <c r="F567" i="7"/>
  <c r="G567" i="7" s="1"/>
  <c r="F565" i="7"/>
  <c r="G565" i="7" s="1"/>
  <c r="F563" i="7"/>
  <c r="G563" i="7" s="1"/>
  <c r="F561" i="7"/>
  <c r="G561" i="7" s="1"/>
  <c r="F559" i="7"/>
  <c r="G559" i="7" s="1"/>
  <c r="F557" i="7"/>
  <c r="G557" i="7" s="1"/>
  <c r="F555" i="7"/>
  <c r="G555" i="7" s="1"/>
  <c r="F553" i="7"/>
  <c r="G553" i="7" s="1"/>
  <c r="F551" i="7"/>
  <c r="G551" i="7" s="1"/>
  <c r="F549" i="7"/>
  <c r="G549" i="7" s="1"/>
  <c r="F547" i="7"/>
  <c r="G547" i="7" s="1"/>
  <c r="F545" i="7"/>
  <c r="G545" i="7" s="1"/>
  <c r="F543" i="7"/>
  <c r="G543" i="7" s="1"/>
  <c r="F541" i="7"/>
  <c r="G541" i="7" s="1"/>
  <c r="F539" i="7"/>
  <c r="G539" i="7" s="1"/>
  <c r="F537" i="7"/>
  <c r="G537" i="7" s="1"/>
  <c r="F535" i="7"/>
  <c r="G535" i="7" s="1"/>
  <c r="F533" i="7"/>
  <c r="G533" i="7" s="1"/>
  <c r="F531" i="7"/>
  <c r="G531" i="7" s="1"/>
  <c r="F529" i="7"/>
  <c r="G529" i="7" s="1"/>
  <c r="F527" i="7"/>
  <c r="G527" i="7" s="1"/>
  <c r="F525" i="7"/>
  <c r="G525" i="7" s="1"/>
  <c r="F523" i="7"/>
  <c r="G523" i="7" s="1"/>
  <c r="F521" i="7"/>
  <c r="G521" i="7" s="1"/>
  <c r="F519" i="7"/>
  <c r="G519" i="7" s="1"/>
  <c r="F517" i="7"/>
  <c r="G517" i="7" s="1"/>
  <c r="F515" i="7"/>
  <c r="G515" i="7" s="1"/>
  <c r="F513" i="7"/>
  <c r="G513" i="7" s="1"/>
  <c r="F511" i="7"/>
  <c r="G511" i="7" s="1"/>
  <c r="F509" i="7"/>
  <c r="G509" i="7" s="1"/>
  <c r="F507" i="7"/>
  <c r="G507" i="7" s="1"/>
  <c r="F505" i="7"/>
  <c r="G505" i="7" s="1"/>
  <c r="F503" i="7"/>
  <c r="G503" i="7" s="1"/>
  <c r="F501" i="7"/>
  <c r="G501" i="7" s="1"/>
  <c r="F499" i="7"/>
  <c r="G499" i="7" s="1"/>
  <c r="F497" i="7"/>
  <c r="G497" i="7" s="1"/>
  <c r="F495" i="7"/>
  <c r="G495" i="7" s="1"/>
  <c r="F493" i="7"/>
  <c r="G493" i="7" s="1"/>
  <c r="F491" i="7"/>
  <c r="G491" i="7" s="1"/>
  <c r="F489" i="7"/>
  <c r="G489" i="7" s="1"/>
  <c r="F487" i="7"/>
  <c r="G487" i="7" s="1"/>
  <c r="F485" i="7"/>
  <c r="G485" i="7" s="1"/>
  <c r="F483" i="7"/>
  <c r="G483" i="7" s="1"/>
  <c r="F481" i="7"/>
  <c r="G481" i="7" s="1"/>
  <c r="F479" i="7"/>
  <c r="G479" i="7" s="1"/>
  <c r="F477" i="7"/>
  <c r="G477" i="7" s="1"/>
  <c r="F475" i="7"/>
  <c r="G475" i="7" s="1"/>
  <c r="F473" i="7"/>
  <c r="G473" i="7" s="1"/>
  <c r="F471" i="7"/>
  <c r="G471" i="7" s="1"/>
  <c r="F469" i="7"/>
  <c r="G469" i="7" s="1"/>
  <c r="F467" i="7"/>
  <c r="G467" i="7" s="1"/>
  <c r="F465" i="7"/>
  <c r="G465" i="7" s="1"/>
  <c r="F463" i="7"/>
  <c r="G463" i="7" s="1"/>
  <c r="F461" i="7"/>
  <c r="G461" i="7" s="1"/>
  <c r="F459" i="7"/>
  <c r="G459" i="7" s="1"/>
  <c r="F457" i="7"/>
  <c r="G457" i="7" s="1"/>
  <c r="F455" i="7"/>
  <c r="G455" i="7" s="1"/>
  <c r="F453" i="7"/>
  <c r="G453" i="7" s="1"/>
  <c r="F451" i="7"/>
  <c r="G451" i="7" s="1"/>
  <c r="F449" i="7"/>
  <c r="G449" i="7" s="1"/>
  <c r="M20" i="7"/>
  <c r="F20" i="7"/>
  <c r="G20" i="7" s="1"/>
  <c r="M19" i="7"/>
  <c r="M16" i="7"/>
  <c r="F16" i="7"/>
  <c r="G16" i="7" s="1"/>
  <c r="F15" i="7"/>
  <c r="G15" i="7" s="1"/>
  <c r="F14" i="7"/>
  <c r="G14" i="7" s="1"/>
  <c r="F12" i="7"/>
  <c r="G12" i="7" s="1"/>
  <c r="M11" i="7"/>
  <c r="F11" i="7"/>
  <c r="G11" i="7" s="1"/>
  <c r="N10" i="7"/>
  <c r="N9" i="7"/>
  <c r="F9" i="7"/>
  <c r="G9" i="7" s="1"/>
  <c r="N8" i="7"/>
  <c r="H17" i="3" s="1"/>
  <c r="K14" i="4" s="1"/>
  <c r="N7" i="7"/>
  <c r="F7" i="7"/>
  <c r="G7" i="7" s="1"/>
  <c r="N6" i="7"/>
  <c r="N5" i="7"/>
  <c r="E17" i="3" s="1"/>
  <c r="H14" i="4" s="1"/>
  <c r="F5" i="7"/>
  <c r="G5" i="7" s="1"/>
  <c r="N4" i="7"/>
  <c r="D17" i="3" s="1"/>
  <c r="G14" i="4" s="1"/>
  <c r="N3" i="7"/>
  <c r="F3" i="7"/>
  <c r="G3" i="7" s="1"/>
  <c r="F1" i="7"/>
  <c r="C1" i="7"/>
  <c r="G132" i="6"/>
  <c r="F132" i="6"/>
  <c r="L132" i="6" s="1"/>
  <c r="L131" i="6"/>
  <c r="F126" i="6"/>
  <c r="F125" i="6"/>
  <c r="N121" i="6"/>
  <c r="N122" i="6" s="1"/>
  <c r="M121" i="6"/>
  <c r="M122" i="6" s="1"/>
  <c r="D119" i="6"/>
  <c r="G119" i="6" s="1"/>
  <c r="O119" i="6" s="1"/>
  <c r="P119" i="6" s="1"/>
  <c r="D118" i="6"/>
  <c r="G118" i="6" s="1"/>
  <c r="O118" i="6" s="1"/>
  <c r="P118" i="6" s="1"/>
  <c r="D117" i="6"/>
  <c r="G117" i="6" s="1"/>
  <c r="O117" i="6" s="1"/>
  <c r="P117" i="6" s="1"/>
  <c r="D116" i="6"/>
  <c r="G116" i="6" s="1"/>
  <c r="O116" i="6" s="1"/>
  <c r="P116" i="6" s="1"/>
  <c r="D115" i="6"/>
  <c r="G115" i="6" s="1"/>
  <c r="O115" i="6" s="1"/>
  <c r="P115" i="6" s="1"/>
  <c r="D114" i="6"/>
  <c r="G114" i="6" s="1"/>
  <c r="O114" i="6" s="1"/>
  <c r="P114" i="6" s="1"/>
  <c r="D113" i="6"/>
  <c r="G113" i="6" s="1"/>
  <c r="O113" i="6" s="1"/>
  <c r="P113" i="6" s="1"/>
  <c r="L112" i="6"/>
  <c r="K112" i="6"/>
  <c r="K121" i="6" s="1"/>
  <c r="K122" i="6" s="1"/>
  <c r="H13" i="3" s="1"/>
  <c r="K10" i="4" s="1"/>
  <c r="J112" i="6"/>
  <c r="J121" i="6" s="1"/>
  <c r="J122" i="6" s="1"/>
  <c r="I112" i="6"/>
  <c r="O112" i="6" s="1"/>
  <c r="P112" i="6" s="1"/>
  <c r="H112" i="6"/>
  <c r="D112" i="6"/>
  <c r="O111" i="6"/>
  <c r="P111" i="6" s="1"/>
  <c r="D111" i="6"/>
  <c r="G111" i="6" s="1"/>
  <c r="O110" i="6"/>
  <c r="P110" i="6" s="1"/>
  <c r="D110" i="6"/>
  <c r="G110" i="6" s="1"/>
  <c r="O109" i="6"/>
  <c r="P109" i="6" s="1"/>
  <c r="D109" i="6"/>
  <c r="G109" i="6" s="1"/>
  <c r="O108" i="6"/>
  <c r="P108" i="6" s="1"/>
  <c r="D108" i="6"/>
  <c r="G108" i="6" s="1"/>
  <c r="O107" i="6"/>
  <c r="P107" i="6" s="1"/>
  <c r="D107" i="6"/>
  <c r="G107" i="6" s="1"/>
  <c r="O106" i="6"/>
  <c r="P106" i="6" s="1"/>
  <c r="D106" i="6"/>
  <c r="G106" i="6" s="1"/>
  <c r="O105" i="6"/>
  <c r="P105" i="6" s="1"/>
  <c r="D105" i="6"/>
  <c r="G105" i="6" s="1"/>
  <c r="O104" i="6"/>
  <c r="P104" i="6" s="1"/>
  <c r="D104" i="6"/>
  <c r="G104" i="6" s="1"/>
  <c r="O103" i="6"/>
  <c r="P103" i="6" s="1"/>
  <c r="D103" i="6"/>
  <c r="G103" i="6" s="1"/>
  <c r="O102" i="6"/>
  <c r="P102" i="6" s="1"/>
  <c r="D102" i="6"/>
  <c r="G102" i="6" s="1"/>
  <c r="O101" i="6"/>
  <c r="P101" i="6" s="1"/>
  <c r="D101" i="6"/>
  <c r="G101" i="6" s="1"/>
  <c r="O100" i="6"/>
  <c r="P100" i="6" s="1"/>
  <c r="D100" i="6"/>
  <c r="G100" i="6" s="1"/>
  <c r="O99" i="6"/>
  <c r="P99" i="6" s="1"/>
  <c r="D99" i="6"/>
  <c r="G99" i="6" s="1"/>
  <c r="O98" i="6"/>
  <c r="P98" i="6" s="1"/>
  <c r="D98" i="6"/>
  <c r="G98" i="6" s="1"/>
  <c r="O97" i="6"/>
  <c r="P97" i="6" s="1"/>
  <c r="D97" i="6"/>
  <c r="P96" i="6"/>
  <c r="G96" i="6"/>
  <c r="O96" i="6" s="1"/>
  <c r="D96" i="6"/>
  <c r="G95" i="6"/>
  <c r="O95" i="6" s="1"/>
  <c r="P95" i="6" s="1"/>
  <c r="D95" i="6"/>
  <c r="P94" i="6"/>
  <c r="G94" i="6"/>
  <c r="O94" i="6" s="1"/>
  <c r="D94" i="6"/>
  <c r="G93" i="6"/>
  <c r="O93" i="6" s="1"/>
  <c r="P93" i="6" s="1"/>
  <c r="D93" i="6"/>
  <c r="P92" i="6"/>
  <c r="G92" i="6"/>
  <c r="O92" i="6" s="1"/>
  <c r="D92" i="6"/>
  <c r="G91" i="6"/>
  <c r="O91" i="6" s="1"/>
  <c r="P91" i="6" s="1"/>
  <c r="D91" i="6"/>
  <c r="P90" i="6"/>
  <c r="G90" i="6"/>
  <c r="O90" i="6" s="1"/>
  <c r="D90" i="6"/>
  <c r="G89" i="6"/>
  <c r="O89" i="6" s="1"/>
  <c r="P89" i="6" s="1"/>
  <c r="D89" i="6"/>
  <c r="P88" i="6"/>
  <c r="G88" i="6"/>
  <c r="O88" i="6" s="1"/>
  <c r="D88" i="6"/>
  <c r="G87" i="6"/>
  <c r="O87" i="6" s="1"/>
  <c r="P87" i="6" s="1"/>
  <c r="D87" i="6"/>
  <c r="P86" i="6"/>
  <c r="G86" i="6"/>
  <c r="O86" i="6" s="1"/>
  <c r="D86" i="6"/>
  <c r="G85" i="6"/>
  <c r="O85" i="6" s="1"/>
  <c r="P85" i="6" s="1"/>
  <c r="D85" i="6"/>
  <c r="P84" i="6"/>
  <c r="G84" i="6"/>
  <c r="O84" i="6" s="1"/>
  <c r="D84" i="6"/>
  <c r="G83" i="6"/>
  <c r="O83" i="6" s="1"/>
  <c r="P83" i="6" s="1"/>
  <c r="D83" i="6"/>
  <c r="P82" i="6"/>
  <c r="G82" i="6"/>
  <c r="O82" i="6" s="1"/>
  <c r="D82" i="6"/>
  <c r="G81" i="6"/>
  <c r="O81" i="6" s="1"/>
  <c r="P81" i="6" s="1"/>
  <c r="D81" i="6"/>
  <c r="P80" i="6"/>
  <c r="G80" i="6"/>
  <c r="O80" i="6" s="1"/>
  <c r="D80" i="6"/>
  <c r="G79" i="6"/>
  <c r="O79" i="6" s="1"/>
  <c r="P79" i="6" s="1"/>
  <c r="D79" i="6"/>
  <c r="P78" i="6"/>
  <c r="G78" i="6"/>
  <c r="O78" i="6" s="1"/>
  <c r="D78" i="6"/>
  <c r="G77" i="6"/>
  <c r="O77" i="6" s="1"/>
  <c r="P77" i="6" s="1"/>
  <c r="D77" i="6"/>
  <c r="P76" i="6"/>
  <c r="G76" i="6"/>
  <c r="O76" i="6" s="1"/>
  <c r="D76" i="6"/>
  <c r="G75" i="6"/>
  <c r="O75" i="6" s="1"/>
  <c r="P75" i="6" s="1"/>
  <c r="D75" i="6"/>
  <c r="P74" i="6"/>
  <c r="G74" i="6"/>
  <c r="O74" i="6" s="1"/>
  <c r="D74" i="6"/>
  <c r="G73" i="6"/>
  <c r="O73" i="6" s="1"/>
  <c r="P73" i="6" s="1"/>
  <c r="D73" i="6"/>
  <c r="P72" i="6"/>
  <c r="G72" i="6"/>
  <c r="O72" i="6" s="1"/>
  <c r="D72" i="6"/>
  <c r="G71" i="6"/>
  <c r="O71" i="6" s="1"/>
  <c r="P71" i="6" s="1"/>
  <c r="D71" i="6"/>
  <c r="P70" i="6"/>
  <c r="G70" i="6"/>
  <c r="O70" i="6" s="1"/>
  <c r="D70" i="6"/>
  <c r="G69" i="6"/>
  <c r="O69" i="6" s="1"/>
  <c r="P69" i="6" s="1"/>
  <c r="D69" i="6"/>
  <c r="P68" i="6"/>
  <c r="G68" i="6"/>
  <c r="O68" i="6" s="1"/>
  <c r="D68" i="6"/>
  <c r="G67" i="6"/>
  <c r="O67" i="6" s="1"/>
  <c r="P67" i="6" s="1"/>
  <c r="D67" i="6"/>
  <c r="P66" i="6"/>
  <c r="G66" i="6"/>
  <c r="O66" i="6" s="1"/>
  <c r="D66" i="6"/>
  <c r="G65" i="6"/>
  <c r="O65" i="6" s="1"/>
  <c r="P65" i="6" s="1"/>
  <c r="D65" i="6"/>
  <c r="P64" i="6"/>
  <c r="G64" i="6"/>
  <c r="O64" i="6" s="1"/>
  <c r="D64" i="6"/>
  <c r="G63" i="6"/>
  <c r="O63" i="6" s="1"/>
  <c r="P63" i="6" s="1"/>
  <c r="D63" i="6"/>
  <c r="P62" i="6"/>
  <c r="F62" i="6"/>
  <c r="O62" i="6" s="1"/>
  <c r="D62" i="6"/>
  <c r="G61" i="6"/>
  <c r="O61" i="6" s="1"/>
  <c r="P61" i="6" s="1"/>
  <c r="D61" i="6"/>
  <c r="P60" i="6"/>
  <c r="G60" i="6"/>
  <c r="O60" i="6" s="1"/>
  <c r="D60" i="6"/>
  <c r="G59" i="6"/>
  <c r="O59" i="6" s="1"/>
  <c r="P59" i="6" s="1"/>
  <c r="D59" i="6"/>
  <c r="P58" i="6"/>
  <c r="F58" i="6"/>
  <c r="O58" i="6" s="1"/>
  <c r="D58" i="6"/>
  <c r="F57" i="6"/>
  <c r="O57" i="6" s="1"/>
  <c r="P57" i="6" s="1"/>
  <c r="D57" i="6"/>
  <c r="P56" i="6"/>
  <c r="G56" i="6"/>
  <c r="O56" i="6" s="1"/>
  <c r="D56" i="6"/>
  <c r="G55" i="6"/>
  <c r="O55" i="6" s="1"/>
  <c r="P55" i="6" s="1"/>
  <c r="D55" i="6"/>
  <c r="P54" i="6"/>
  <c r="G54" i="6"/>
  <c r="O54" i="6" s="1"/>
  <c r="D54" i="6"/>
  <c r="G53" i="6"/>
  <c r="O53" i="6" s="1"/>
  <c r="P53" i="6" s="1"/>
  <c r="D53" i="6"/>
  <c r="P52" i="6"/>
  <c r="G52" i="6"/>
  <c r="O52" i="6" s="1"/>
  <c r="D52" i="6"/>
  <c r="F51" i="6"/>
  <c r="O51" i="6" s="1"/>
  <c r="P51" i="6" s="1"/>
  <c r="D51" i="6"/>
  <c r="P50" i="6"/>
  <c r="F50" i="6"/>
  <c r="O50" i="6" s="1"/>
  <c r="D50" i="6"/>
  <c r="F49" i="6"/>
  <c r="O49" i="6" s="1"/>
  <c r="P49" i="6" s="1"/>
  <c r="D49" i="6"/>
  <c r="P48" i="6"/>
  <c r="F48" i="6"/>
  <c r="O48" i="6" s="1"/>
  <c r="D48" i="6"/>
  <c r="F47" i="6"/>
  <c r="O47" i="6" s="1"/>
  <c r="P47" i="6" s="1"/>
  <c r="D47" i="6"/>
  <c r="P46" i="6"/>
  <c r="F46" i="6"/>
  <c r="O46" i="6" s="1"/>
  <c r="D46" i="6"/>
  <c r="G45" i="6"/>
  <c r="O45" i="6" s="1"/>
  <c r="P45" i="6" s="1"/>
  <c r="D45" i="6"/>
  <c r="P44" i="6"/>
  <c r="G44" i="6"/>
  <c r="O44" i="6" s="1"/>
  <c r="D44" i="6"/>
  <c r="H43" i="6"/>
  <c r="O43" i="6" s="1"/>
  <c r="P43" i="6" s="1"/>
  <c r="D43" i="6"/>
  <c r="P42" i="6"/>
  <c r="F42" i="6"/>
  <c r="O42" i="6" s="1"/>
  <c r="D42" i="6"/>
  <c r="G41" i="6"/>
  <c r="O41" i="6" s="1"/>
  <c r="P41" i="6" s="1"/>
  <c r="D41" i="6"/>
  <c r="P40" i="6"/>
  <c r="G40" i="6"/>
  <c r="O40" i="6" s="1"/>
  <c r="D40" i="6"/>
  <c r="G39" i="6"/>
  <c r="O39" i="6" s="1"/>
  <c r="P39" i="6" s="1"/>
  <c r="D39" i="6"/>
  <c r="P38" i="6"/>
  <c r="H38" i="6"/>
  <c r="O38" i="6" s="1"/>
  <c r="D38" i="6"/>
  <c r="F37" i="6"/>
  <c r="O37" i="6" s="1"/>
  <c r="P37" i="6" s="1"/>
  <c r="D37" i="6"/>
  <c r="P36" i="6"/>
  <c r="F36" i="6"/>
  <c r="O36" i="6" s="1"/>
  <c r="D36" i="6"/>
  <c r="F35" i="6"/>
  <c r="O35" i="6" s="1"/>
  <c r="P35" i="6" s="1"/>
  <c r="D35" i="6"/>
  <c r="P34" i="6"/>
  <c r="H34" i="6"/>
  <c r="O34" i="6" s="1"/>
  <c r="D34" i="6"/>
  <c r="G33" i="6"/>
  <c r="O33" i="6" s="1"/>
  <c r="P33" i="6" s="1"/>
  <c r="D33" i="6"/>
  <c r="P32" i="6"/>
  <c r="G32" i="6"/>
  <c r="O32" i="6" s="1"/>
  <c r="D32" i="6"/>
  <c r="D125" i="6" s="1"/>
  <c r="I31" i="6"/>
  <c r="I121" i="6" s="1"/>
  <c r="I122" i="6" s="1"/>
  <c r="F13" i="3" s="1"/>
  <c r="I10" i="4" s="1"/>
  <c r="G31" i="6"/>
  <c r="D31" i="6"/>
  <c r="G30" i="6"/>
  <c r="O30" i="6" s="1"/>
  <c r="P30" i="6" s="1"/>
  <c r="D30" i="6"/>
  <c r="P29" i="6"/>
  <c r="L29" i="6"/>
  <c r="O29" i="6" s="1"/>
  <c r="D29" i="6"/>
  <c r="L28" i="6"/>
  <c r="D28" i="6"/>
  <c r="P27" i="6"/>
  <c r="G27" i="6"/>
  <c r="O27" i="6" s="1"/>
  <c r="D27" i="6"/>
  <c r="F26" i="6"/>
  <c r="O26" i="6" s="1"/>
  <c r="P26" i="6" s="1"/>
  <c r="D26" i="6"/>
  <c r="P25" i="6"/>
  <c r="F25" i="6"/>
  <c r="O25" i="6" s="1"/>
  <c r="D25" i="6"/>
  <c r="F24" i="6"/>
  <c r="O24" i="6" s="1"/>
  <c r="P24" i="6" s="1"/>
  <c r="D24" i="6"/>
  <c r="P23" i="6"/>
  <c r="F23" i="6"/>
  <c r="O23" i="6" s="1"/>
  <c r="D23" i="6"/>
  <c r="F22" i="6"/>
  <c r="O22" i="6" s="1"/>
  <c r="P22" i="6" s="1"/>
  <c r="D22" i="6"/>
  <c r="P21" i="6"/>
  <c r="F21" i="6"/>
  <c r="O21" i="6" s="1"/>
  <c r="D21" i="6"/>
  <c r="F20" i="6"/>
  <c r="O20" i="6" s="1"/>
  <c r="P20" i="6" s="1"/>
  <c r="D20" i="6"/>
  <c r="P19" i="6"/>
  <c r="F19" i="6"/>
  <c r="O19" i="6" s="1"/>
  <c r="D19" i="6"/>
  <c r="F18" i="6"/>
  <c r="O18" i="6" s="1"/>
  <c r="P18" i="6" s="1"/>
  <c r="D18" i="6"/>
  <c r="P17" i="6"/>
  <c r="F17" i="6"/>
  <c r="O17" i="6" s="1"/>
  <c r="D17" i="6"/>
  <c r="F16" i="6"/>
  <c r="O16" i="6" s="1"/>
  <c r="P16" i="6" s="1"/>
  <c r="D16" i="6"/>
  <c r="P15" i="6"/>
  <c r="F15" i="6"/>
  <c r="O15" i="6" s="1"/>
  <c r="D15" i="6"/>
  <c r="F14" i="6"/>
  <c r="O14" i="6" s="1"/>
  <c r="P14" i="6" s="1"/>
  <c r="D14" i="6"/>
  <c r="P13" i="6"/>
  <c r="F13" i="6"/>
  <c r="O13" i="6" s="1"/>
  <c r="D13" i="6"/>
  <c r="F12" i="6"/>
  <c r="O12" i="6" s="1"/>
  <c r="P12" i="6" s="1"/>
  <c r="D12" i="6"/>
  <c r="P11" i="6"/>
  <c r="F11" i="6"/>
  <c r="O11" i="6" s="1"/>
  <c r="D11" i="6"/>
  <c r="F10" i="6"/>
  <c r="O10" i="6" s="1"/>
  <c r="P10" i="6" s="1"/>
  <c r="D10" i="6"/>
  <c r="P9" i="6"/>
  <c r="F9" i="6"/>
  <c r="O9" i="6" s="1"/>
  <c r="D9" i="6"/>
  <c r="F8" i="6"/>
  <c r="O8" i="6" s="1"/>
  <c r="P8" i="6" s="1"/>
  <c r="D8" i="6"/>
  <c r="P7" i="6"/>
  <c r="F7" i="6"/>
  <c r="O7" i="6" s="1"/>
  <c r="D7" i="6"/>
  <c r="F6" i="6"/>
  <c r="O6" i="6" s="1"/>
  <c r="P6" i="6" s="1"/>
  <c r="D6" i="6"/>
  <c r="F5" i="6"/>
  <c r="D5" i="6"/>
  <c r="H4" i="6"/>
  <c r="O4" i="6" s="1"/>
  <c r="P4" i="6" s="1"/>
  <c r="D4" i="6"/>
  <c r="P3" i="6"/>
  <c r="H3" i="6"/>
  <c r="O3" i="6" s="1"/>
  <c r="D3" i="6"/>
  <c r="H2" i="6"/>
  <c r="D2" i="6"/>
  <c r="H78" i="5"/>
  <c r="X77" i="5"/>
  <c r="N74" i="5"/>
  <c r="L74" i="5"/>
  <c r="L73" i="5"/>
  <c r="L72" i="5"/>
  <c r="L78" i="5" s="1"/>
  <c r="S68" i="5"/>
  <c r="S81" i="5" s="1"/>
  <c r="R68" i="5"/>
  <c r="R81" i="5" s="1"/>
  <c r="Q68" i="5"/>
  <c r="Q81" i="5" s="1"/>
  <c r="P68" i="5"/>
  <c r="P81" i="5" s="1"/>
  <c r="I68" i="5"/>
  <c r="L64" i="5"/>
  <c r="L68" i="5" s="1"/>
  <c r="I64" i="5"/>
  <c r="X63" i="5"/>
  <c r="W62" i="5"/>
  <c r="T61" i="5"/>
  <c r="P61" i="5"/>
  <c r="M61" i="5"/>
  <c r="N61" i="5" s="1"/>
  <c r="L61" i="5"/>
  <c r="M60" i="5"/>
  <c r="N60" i="5" s="1"/>
  <c r="L60" i="5"/>
  <c r="T59" i="5"/>
  <c r="P59" i="5"/>
  <c r="M59" i="5"/>
  <c r="N59" i="5" s="1"/>
  <c r="L59" i="5"/>
  <c r="K51" i="5"/>
  <c r="J51" i="5"/>
  <c r="I51" i="5"/>
  <c r="C51" i="5"/>
  <c r="L45" i="5"/>
  <c r="L44" i="5"/>
  <c r="L43" i="5"/>
  <c r="L42" i="5"/>
  <c r="L41" i="5"/>
  <c r="L40" i="5"/>
  <c r="L39" i="5"/>
  <c r="L38" i="5"/>
  <c r="L37" i="5"/>
  <c r="L36" i="5"/>
  <c r="L35" i="5"/>
  <c r="L34" i="5"/>
  <c r="L33" i="5"/>
  <c r="L32" i="5"/>
  <c r="L31" i="5"/>
  <c r="L30" i="5"/>
  <c r="L29" i="5"/>
  <c r="L28" i="5"/>
  <c r="L27" i="5"/>
  <c r="L26" i="5"/>
  <c r="L25" i="5"/>
  <c r="L24" i="5"/>
  <c r="L23" i="5"/>
  <c r="L22" i="5"/>
  <c r="L21" i="5"/>
  <c r="L20" i="5"/>
  <c r="L19" i="5"/>
  <c r="L18" i="5"/>
  <c r="L17" i="5"/>
  <c r="L16" i="5"/>
  <c r="L15" i="5"/>
  <c r="L14" i="5"/>
  <c r="L13" i="5"/>
  <c r="L12" i="5"/>
  <c r="L11" i="5"/>
  <c r="L10" i="5"/>
  <c r="L9" i="5"/>
  <c r="L8" i="5"/>
  <c r="L7" i="5"/>
  <c r="L6" i="5"/>
  <c r="L5" i="5"/>
  <c r="L4" i="5"/>
  <c r="L3" i="5"/>
  <c r="L51" i="5" s="1"/>
  <c r="L54" i="5" s="1"/>
  <c r="M2" i="5"/>
  <c r="M74" i="5" s="1"/>
  <c r="N14" i="4"/>
  <c r="N13" i="4"/>
  <c r="M13" i="4"/>
  <c r="L13" i="4"/>
  <c r="K13" i="4"/>
  <c r="J13" i="4"/>
  <c r="I13" i="4"/>
  <c r="H13" i="4"/>
  <c r="G13" i="4"/>
  <c r="M12" i="4"/>
  <c r="L12" i="4"/>
  <c r="K12" i="4"/>
  <c r="J12" i="4"/>
  <c r="I12" i="4"/>
  <c r="H12" i="4"/>
  <c r="G12" i="4"/>
  <c r="F12" i="4"/>
  <c r="D11" i="4"/>
  <c r="C11" i="4"/>
  <c r="B11" i="4"/>
  <c r="A11" i="4"/>
  <c r="M10" i="4"/>
  <c r="M9" i="4"/>
  <c r="K9" i="4"/>
  <c r="J9" i="4"/>
  <c r="I9" i="4"/>
  <c r="H9" i="4"/>
  <c r="G9" i="4"/>
  <c r="F9" i="4"/>
  <c r="M8" i="4"/>
  <c r="L8" i="4"/>
  <c r="K8" i="4"/>
  <c r="J8" i="4"/>
  <c r="I8" i="4"/>
  <c r="H8" i="4"/>
  <c r="G8" i="4"/>
  <c r="F8" i="4"/>
  <c r="N7" i="4"/>
  <c r="D7" i="4"/>
  <c r="C7" i="4"/>
  <c r="B7" i="4"/>
  <c r="A7" i="4"/>
  <c r="N6" i="4"/>
  <c r="M6" i="4"/>
  <c r="L6" i="4"/>
  <c r="K6" i="4"/>
  <c r="J6" i="4"/>
  <c r="I6" i="4"/>
  <c r="H6" i="4"/>
  <c r="G6" i="4"/>
  <c r="F6" i="4"/>
  <c r="D5" i="4"/>
  <c r="C5" i="4"/>
  <c r="B5" i="4"/>
  <c r="A5" i="4"/>
  <c r="N4" i="4"/>
  <c r="M4" i="4"/>
  <c r="L4" i="4"/>
  <c r="K4" i="4"/>
  <c r="J4" i="4"/>
  <c r="I4" i="4"/>
  <c r="H4" i="4"/>
  <c r="G4" i="4"/>
  <c r="N3" i="4"/>
  <c r="M3" i="4"/>
  <c r="L3" i="4"/>
  <c r="K3" i="4"/>
  <c r="J3" i="4"/>
  <c r="I3" i="4"/>
  <c r="H3" i="4"/>
  <c r="G3" i="4"/>
  <c r="N18" i="3"/>
  <c r="K18" i="3"/>
  <c r="N15" i="4" s="1"/>
  <c r="G18" i="3"/>
  <c r="J15" i="4" s="1"/>
  <c r="C18" i="3"/>
  <c r="N17" i="3"/>
  <c r="J17" i="3"/>
  <c r="M14" i="4" s="1"/>
  <c r="I17" i="3"/>
  <c r="L14" i="4" s="1"/>
  <c r="G17" i="3"/>
  <c r="J14" i="4" s="1"/>
  <c r="F17" i="3"/>
  <c r="I14" i="4" s="1"/>
  <c r="C17" i="3"/>
  <c r="N16" i="3"/>
  <c r="C16" i="3"/>
  <c r="F13" i="4" s="1"/>
  <c r="N15" i="3"/>
  <c r="N14" i="3" s="1"/>
  <c r="Q14" i="3" s="1"/>
  <c r="K15" i="3"/>
  <c r="N12" i="4" s="1"/>
  <c r="N13" i="3"/>
  <c r="K13" i="3"/>
  <c r="N10" i="4" s="1"/>
  <c r="G13" i="3"/>
  <c r="J10" i="4" s="1"/>
  <c r="N12" i="3"/>
  <c r="K12" i="3"/>
  <c r="N9" i="4" s="1"/>
  <c r="I12" i="3"/>
  <c r="L9" i="4" s="1"/>
  <c r="N11" i="3"/>
  <c r="L9" i="3"/>
  <c r="O9" i="3" s="1"/>
  <c r="N8" i="3"/>
  <c r="K8" i="3"/>
  <c r="N5" i="4" s="1"/>
  <c r="N7" i="3"/>
  <c r="N5" i="3" s="1"/>
  <c r="C7" i="3"/>
  <c r="F4" i="4" s="1"/>
  <c r="N6" i="3"/>
  <c r="L6" i="3"/>
  <c r="O3" i="4" s="1"/>
  <c r="C6" i="3"/>
  <c r="F3" i="4" s="1"/>
  <c r="P5" i="3"/>
  <c r="F12" i="2"/>
  <c r="D9" i="4" s="1"/>
  <c r="D12" i="2"/>
  <c r="B9" i="4" s="1"/>
  <c r="M41" i="8" l="1"/>
  <c r="E13" i="8"/>
  <c r="D20" i="8"/>
  <c r="J22" i="8"/>
  <c r="F14" i="8"/>
  <c r="F27" i="8" s="1"/>
  <c r="E15" i="8"/>
  <c r="I15" i="8"/>
  <c r="C21" i="8"/>
  <c r="F13" i="2"/>
  <c r="D10" i="4" s="1"/>
  <c r="N11" i="7"/>
  <c r="D13" i="2"/>
  <c r="P6" i="3"/>
  <c r="Q5" i="3"/>
  <c r="O6" i="3"/>
  <c r="F14" i="4"/>
  <c r="E27" i="3"/>
  <c r="L17" i="3"/>
  <c r="F15" i="4"/>
  <c r="O6" i="4"/>
  <c r="W60" i="5"/>
  <c r="U60" i="5"/>
  <c r="S60" i="5"/>
  <c r="Q60" i="5"/>
  <c r="R60" i="5"/>
  <c r="V60" i="5"/>
  <c r="V62" i="5"/>
  <c r="V74" i="5"/>
  <c r="T74" i="5"/>
  <c r="R74" i="5"/>
  <c r="P74" i="5"/>
  <c r="S74" i="5"/>
  <c r="W74" i="5"/>
  <c r="O2" i="6"/>
  <c r="L121" i="6"/>
  <c r="L122" i="6" s="1"/>
  <c r="I13" i="3" s="1"/>
  <c r="L10" i="4" s="1"/>
  <c r="O28" i="6"/>
  <c r="P28" i="6" s="1"/>
  <c r="G125" i="6"/>
  <c r="D121" i="6"/>
  <c r="D122" i="6" s="1"/>
  <c r="D126" i="6"/>
  <c r="G126" i="6" s="1"/>
  <c r="M21" i="7"/>
  <c r="D171" i="9"/>
  <c r="G171" i="9" s="1"/>
  <c r="G11" i="9"/>
  <c r="O11" i="9" s="1"/>
  <c r="P11" i="9" s="1"/>
  <c r="C12" i="2"/>
  <c r="E12" i="2"/>
  <c r="C13" i="2"/>
  <c r="A10" i="4" s="1"/>
  <c r="E13" i="2"/>
  <c r="C10" i="4" s="1"/>
  <c r="L7" i="3"/>
  <c r="L12" i="3"/>
  <c r="C14" i="3"/>
  <c r="G14" i="3"/>
  <c r="J11" i="4" s="1"/>
  <c r="K14" i="3"/>
  <c r="N11" i="4" s="1"/>
  <c r="L15" i="3"/>
  <c r="L16" i="3"/>
  <c r="E28" i="3"/>
  <c r="W59" i="5"/>
  <c r="U59" i="5"/>
  <c r="S59" i="5"/>
  <c r="Q59" i="5"/>
  <c r="X59" i="5" s="1"/>
  <c r="R59" i="5"/>
  <c r="V59" i="5"/>
  <c r="P60" i="5"/>
  <c r="X60" i="5" s="1"/>
  <c r="T60" i="5"/>
  <c r="W61" i="5"/>
  <c r="U61" i="5"/>
  <c r="S61" i="5"/>
  <c r="Q61" i="5"/>
  <c r="R61" i="5"/>
  <c r="X61" i="5" s="1"/>
  <c r="V61" i="5"/>
  <c r="U62" i="5"/>
  <c r="T62" i="5" s="1"/>
  <c r="Q74" i="5"/>
  <c r="U74" i="5"/>
  <c r="F121" i="6"/>
  <c r="F122" i="6" s="1"/>
  <c r="C13" i="3" s="1"/>
  <c r="O5" i="6"/>
  <c r="P5" i="6" s="1"/>
  <c r="H31" i="6"/>
  <c r="H121" i="6" s="1"/>
  <c r="H122" i="6" s="1"/>
  <c r="E13" i="3" s="1"/>
  <c r="H10" i="4" s="1"/>
  <c r="G121" i="6"/>
  <c r="G122" i="6" s="1"/>
  <c r="D13" i="3" s="1"/>
  <c r="G10" i="4" s="1"/>
  <c r="O30" i="8"/>
  <c r="O33" i="8" s="1"/>
  <c r="J28" i="8"/>
  <c r="J21" i="8"/>
  <c r="I26" i="8"/>
  <c r="I19" i="8"/>
  <c r="F29" i="8"/>
  <c r="F22" i="8"/>
  <c r="M3" i="5"/>
  <c r="N3" i="5" s="1"/>
  <c r="M4" i="5"/>
  <c r="N4" i="5" s="1"/>
  <c r="M5" i="5"/>
  <c r="N5" i="5" s="1"/>
  <c r="M6" i="5"/>
  <c r="N6" i="5" s="1"/>
  <c r="M7" i="5"/>
  <c r="N7" i="5" s="1"/>
  <c r="M8" i="5"/>
  <c r="N8" i="5" s="1"/>
  <c r="M9" i="5"/>
  <c r="N9" i="5" s="1"/>
  <c r="M10" i="5"/>
  <c r="N10" i="5" s="1"/>
  <c r="M11" i="5"/>
  <c r="N11" i="5" s="1"/>
  <c r="M12" i="5"/>
  <c r="N12" i="5" s="1"/>
  <c r="M13" i="5"/>
  <c r="N13" i="5" s="1"/>
  <c r="M14" i="5"/>
  <c r="N14" i="5" s="1"/>
  <c r="M15" i="5"/>
  <c r="N15" i="5" s="1"/>
  <c r="M16" i="5"/>
  <c r="N16" i="5" s="1"/>
  <c r="M17" i="5"/>
  <c r="N17" i="5" s="1"/>
  <c r="M18" i="5"/>
  <c r="N18" i="5" s="1"/>
  <c r="M19" i="5"/>
  <c r="N19" i="5" s="1"/>
  <c r="M20" i="5"/>
  <c r="N20" i="5" s="1"/>
  <c r="M21" i="5"/>
  <c r="N21" i="5" s="1"/>
  <c r="M22" i="5"/>
  <c r="N22" i="5" s="1"/>
  <c r="M23" i="5"/>
  <c r="N23" i="5" s="1"/>
  <c r="M24" i="5"/>
  <c r="N24" i="5" s="1"/>
  <c r="M25" i="5"/>
  <c r="N25" i="5" s="1"/>
  <c r="M26" i="5"/>
  <c r="N26" i="5" s="1"/>
  <c r="M27" i="5"/>
  <c r="N27" i="5" s="1"/>
  <c r="M28" i="5"/>
  <c r="N28" i="5" s="1"/>
  <c r="M29" i="5"/>
  <c r="N29" i="5" s="1"/>
  <c r="M30" i="5"/>
  <c r="N30" i="5" s="1"/>
  <c r="M31" i="5"/>
  <c r="N31" i="5" s="1"/>
  <c r="M32" i="5"/>
  <c r="N32" i="5" s="1"/>
  <c r="M33" i="5"/>
  <c r="N33" i="5" s="1"/>
  <c r="M34" i="5"/>
  <c r="N34" i="5" s="1"/>
  <c r="M35" i="5"/>
  <c r="N35" i="5" s="1"/>
  <c r="M36" i="5"/>
  <c r="N36" i="5" s="1"/>
  <c r="M37" i="5"/>
  <c r="N37" i="5" s="1"/>
  <c r="M38" i="5"/>
  <c r="N38" i="5" s="1"/>
  <c r="M39" i="5"/>
  <c r="N39" i="5" s="1"/>
  <c r="M40" i="5"/>
  <c r="N40" i="5" s="1"/>
  <c r="M41" i="5"/>
  <c r="N41" i="5" s="1"/>
  <c r="M42" i="5"/>
  <c r="N42" i="5" s="1"/>
  <c r="M43" i="5"/>
  <c r="N43" i="5" s="1"/>
  <c r="M44" i="5"/>
  <c r="N44" i="5" s="1"/>
  <c r="M45" i="5"/>
  <c r="N45" i="5" s="1"/>
  <c r="M72" i="5"/>
  <c r="N72" i="5" s="1"/>
  <c r="M73" i="5"/>
  <c r="N73" i="5" s="1"/>
  <c r="F1146" i="7"/>
  <c r="G1146" i="7" s="1"/>
  <c r="F1144" i="7"/>
  <c r="G1144" i="7" s="1"/>
  <c r="F1142" i="7"/>
  <c r="G1142" i="7" s="1"/>
  <c r="F1140" i="7"/>
  <c r="G1140" i="7" s="1"/>
  <c r="F1138" i="7"/>
  <c r="G1138" i="7" s="1"/>
  <c r="F1136" i="7"/>
  <c r="G1136" i="7" s="1"/>
  <c r="F1134" i="7"/>
  <c r="G1134" i="7" s="1"/>
  <c r="F1132" i="7"/>
  <c r="G1132" i="7" s="1"/>
  <c r="F1130" i="7"/>
  <c r="G1130" i="7" s="1"/>
  <c r="F1128" i="7"/>
  <c r="G1128" i="7" s="1"/>
  <c r="F1126" i="7"/>
  <c r="G1126" i="7" s="1"/>
  <c r="F1124" i="7"/>
  <c r="G1124" i="7" s="1"/>
  <c r="F1122" i="7"/>
  <c r="G1122" i="7" s="1"/>
  <c r="F1120" i="7"/>
  <c r="G1120" i="7" s="1"/>
  <c r="F1118" i="7"/>
  <c r="G1118" i="7" s="1"/>
  <c r="F1116" i="7"/>
  <c r="G1116" i="7" s="1"/>
  <c r="F1114" i="7"/>
  <c r="G1114" i="7" s="1"/>
  <c r="F1112" i="7"/>
  <c r="G1112" i="7" s="1"/>
  <c r="F1110" i="7"/>
  <c r="G1110" i="7" s="1"/>
  <c r="F1108" i="7"/>
  <c r="G1108" i="7" s="1"/>
  <c r="F1106" i="7"/>
  <c r="G1106" i="7" s="1"/>
  <c r="F1104" i="7"/>
  <c r="G1104" i="7" s="1"/>
  <c r="F1102" i="7"/>
  <c r="G1102" i="7" s="1"/>
  <c r="F1100" i="7"/>
  <c r="G1100" i="7" s="1"/>
  <c r="F1098" i="7"/>
  <c r="G1098" i="7" s="1"/>
  <c r="F1096" i="7"/>
  <c r="G1096" i="7" s="1"/>
  <c r="F1094" i="7"/>
  <c r="G1094" i="7" s="1"/>
  <c r="F1092" i="7"/>
  <c r="G1092" i="7" s="1"/>
  <c r="F1090" i="7"/>
  <c r="G1090" i="7" s="1"/>
  <c r="F1088" i="7"/>
  <c r="G1088" i="7" s="1"/>
  <c r="F1086" i="7"/>
  <c r="G1086" i="7" s="1"/>
  <c r="F1084" i="7"/>
  <c r="G1084" i="7" s="1"/>
  <c r="F1082" i="7"/>
  <c r="G1082" i="7" s="1"/>
  <c r="F1080" i="7"/>
  <c r="G1080" i="7" s="1"/>
  <c r="F1078" i="7"/>
  <c r="G1078" i="7" s="1"/>
  <c r="F1076" i="7"/>
  <c r="G1076" i="7" s="1"/>
  <c r="F1074" i="7"/>
  <c r="G1074" i="7" s="1"/>
  <c r="F1072" i="7"/>
  <c r="G1072" i="7" s="1"/>
  <c r="F1070" i="7"/>
  <c r="G1070" i="7" s="1"/>
  <c r="F1068" i="7"/>
  <c r="G1068" i="7" s="1"/>
  <c r="F1066" i="7"/>
  <c r="G1066" i="7" s="1"/>
  <c r="F1064" i="7"/>
  <c r="G1064" i="7" s="1"/>
  <c r="F1062" i="7"/>
  <c r="G1062" i="7" s="1"/>
  <c r="F1060" i="7"/>
  <c r="G1060" i="7" s="1"/>
  <c r="F1058" i="7"/>
  <c r="G1058" i="7" s="1"/>
  <c r="F1056" i="7"/>
  <c r="G1056" i="7" s="1"/>
  <c r="F1054" i="7"/>
  <c r="G1054" i="7" s="1"/>
  <c r="F1052" i="7"/>
  <c r="G1052" i="7" s="1"/>
  <c r="F1050" i="7"/>
  <c r="G1050" i="7" s="1"/>
  <c r="F1048" i="7"/>
  <c r="G1048" i="7" s="1"/>
  <c r="F1046" i="7"/>
  <c r="G1046" i="7" s="1"/>
  <c r="F1044" i="7"/>
  <c r="G1044" i="7" s="1"/>
  <c r="F1042" i="7"/>
  <c r="G1042" i="7" s="1"/>
  <c r="F1040" i="7"/>
  <c r="G1040" i="7" s="1"/>
  <c r="F1038" i="7"/>
  <c r="G1038" i="7" s="1"/>
  <c r="F1036" i="7"/>
  <c r="G1036" i="7" s="1"/>
  <c r="F1034" i="7"/>
  <c r="G1034" i="7" s="1"/>
  <c r="F1032" i="7"/>
  <c r="G1032" i="7" s="1"/>
  <c r="F1030" i="7"/>
  <c r="G1030" i="7" s="1"/>
  <c r="F1028" i="7"/>
  <c r="G1028" i="7" s="1"/>
  <c r="F1026" i="7"/>
  <c r="G1026" i="7" s="1"/>
  <c r="F1024" i="7"/>
  <c r="G1024" i="7" s="1"/>
  <c r="F1022" i="7"/>
  <c r="G1022" i="7" s="1"/>
  <c r="F1020" i="7"/>
  <c r="G1020" i="7" s="1"/>
  <c r="F1018" i="7"/>
  <c r="G1018" i="7" s="1"/>
  <c r="F1016" i="7"/>
  <c r="G1016" i="7" s="1"/>
  <c r="F1014" i="7"/>
  <c r="G1014" i="7" s="1"/>
  <c r="F1012" i="7"/>
  <c r="G1012" i="7" s="1"/>
  <c r="F1010" i="7"/>
  <c r="G1010" i="7" s="1"/>
  <c r="F1008" i="7"/>
  <c r="G1008" i="7" s="1"/>
  <c r="F1006" i="7"/>
  <c r="G1006" i="7" s="1"/>
  <c r="F1004" i="7"/>
  <c r="G1004" i="7" s="1"/>
  <c r="F1002" i="7"/>
  <c r="G1002" i="7" s="1"/>
  <c r="F1000" i="7"/>
  <c r="G1000" i="7" s="1"/>
  <c r="F998" i="7"/>
  <c r="G998" i="7" s="1"/>
  <c r="F996" i="7"/>
  <c r="G996" i="7" s="1"/>
  <c r="F994" i="7"/>
  <c r="G994" i="7" s="1"/>
  <c r="F992" i="7"/>
  <c r="G992" i="7" s="1"/>
  <c r="F990" i="7"/>
  <c r="G990" i="7" s="1"/>
  <c r="F988" i="7"/>
  <c r="G988" i="7" s="1"/>
  <c r="F986" i="7"/>
  <c r="G986" i="7" s="1"/>
  <c r="F984" i="7"/>
  <c r="G984" i="7" s="1"/>
  <c r="F982" i="7"/>
  <c r="G982" i="7" s="1"/>
  <c r="F980" i="7"/>
  <c r="G980" i="7" s="1"/>
  <c r="F978" i="7"/>
  <c r="G978" i="7" s="1"/>
  <c r="F976" i="7"/>
  <c r="G976" i="7" s="1"/>
  <c r="F974" i="7"/>
  <c r="G974" i="7" s="1"/>
  <c r="F972" i="7"/>
  <c r="G972" i="7" s="1"/>
  <c r="F970" i="7"/>
  <c r="G970" i="7" s="1"/>
  <c r="F968" i="7"/>
  <c r="G968" i="7" s="1"/>
  <c r="F966" i="7"/>
  <c r="G966" i="7" s="1"/>
  <c r="F964" i="7"/>
  <c r="G964" i="7" s="1"/>
  <c r="F962" i="7"/>
  <c r="G962" i="7" s="1"/>
  <c r="F960" i="7"/>
  <c r="G960" i="7" s="1"/>
  <c r="F4" i="7"/>
  <c r="G4" i="7" s="1"/>
  <c r="F6" i="7"/>
  <c r="G6" i="7" s="1"/>
  <c r="F8" i="7"/>
  <c r="G8" i="7" s="1"/>
  <c r="F10" i="7"/>
  <c r="G10" i="7" s="1"/>
  <c r="F13" i="7"/>
  <c r="G13" i="7" s="1"/>
  <c r="F17" i="7"/>
  <c r="G17" i="7" s="1"/>
  <c r="F18" i="7"/>
  <c r="G18" i="7" s="1"/>
  <c r="F19" i="7"/>
  <c r="G19" i="7" s="1"/>
  <c r="F21" i="7"/>
  <c r="G21" i="7" s="1"/>
  <c r="F22" i="7"/>
  <c r="G22" i="7" s="1"/>
  <c r="F23" i="7"/>
  <c r="G23" i="7" s="1"/>
  <c r="F24" i="7"/>
  <c r="G24" i="7" s="1"/>
  <c r="F25" i="7"/>
  <c r="G25" i="7" s="1"/>
  <c r="F26" i="7"/>
  <c r="G26" i="7" s="1"/>
  <c r="F27" i="7"/>
  <c r="G27" i="7" s="1"/>
  <c r="F28" i="7"/>
  <c r="G28" i="7" s="1"/>
  <c r="F29" i="7"/>
  <c r="G29" i="7" s="1"/>
  <c r="F30" i="7"/>
  <c r="G30" i="7" s="1"/>
  <c r="F31" i="7"/>
  <c r="G31" i="7" s="1"/>
  <c r="F32" i="7"/>
  <c r="G32" i="7" s="1"/>
  <c r="F33" i="7"/>
  <c r="G33" i="7" s="1"/>
  <c r="F34" i="7"/>
  <c r="G34" i="7" s="1"/>
  <c r="F35" i="7"/>
  <c r="G35" i="7" s="1"/>
  <c r="F36" i="7"/>
  <c r="G36" i="7" s="1"/>
  <c r="F37" i="7"/>
  <c r="G37" i="7" s="1"/>
  <c r="F38" i="7"/>
  <c r="G38" i="7" s="1"/>
  <c r="F39" i="7"/>
  <c r="G39" i="7" s="1"/>
  <c r="F40" i="7"/>
  <c r="G40" i="7" s="1"/>
  <c r="F41" i="7"/>
  <c r="G41" i="7" s="1"/>
  <c r="F42" i="7"/>
  <c r="G42" i="7" s="1"/>
  <c r="F43" i="7"/>
  <c r="G43" i="7" s="1"/>
  <c r="F44" i="7"/>
  <c r="G44" i="7" s="1"/>
  <c r="F45" i="7"/>
  <c r="G45" i="7" s="1"/>
  <c r="F46" i="7"/>
  <c r="G46" i="7" s="1"/>
  <c r="F47" i="7"/>
  <c r="G47" i="7" s="1"/>
  <c r="F48" i="7"/>
  <c r="G48" i="7" s="1"/>
  <c r="F49" i="7"/>
  <c r="G49" i="7" s="1"/>
  <c r="F50" i="7"/>
  <c r="G50" i="7" s="1"/>
  <c r="F51" i="7"/>
  <c r="G51" i="7" s="1"/>
  <c r="F52" i="7"/>
  <c r="G52" i="7" s="1"/>
  <c r="F53" i="7"/>
  <c r="G53" i="7" s="1"/>
  <c r="F54" i="7"/>
  <c r="G54" i="7" s="1"/>
  <c r="F55" i="7"/>
  <c r="G55" i="7" s="1"/>
  <c r="F56" i="7"/>
  <c r="G56" i="7" s="1"/>
  <c r="F57" i="7"/>
  <c r="G57" i="7" s="1"/>
  <c r="F58" i="7"/>
  <c r="G58" i="7" s="1"/>
  <c r="F59" i="7"/>
  <c r="G59" i="7" s="1"/>
  <c r="F60" i="7"/>
  <c r="G60" i="7" s="1"/>
  <c r="F61" i="7"/>
  <c r="G61" i="7" s="1"/>
  <c r="F62" i="7"/>
  <c r="G62" i="7" s="1"/>
  <c r="F63" i="7"/>
  <c r="G63" i="7" s="1"/>
  <c r="F64" i="7"/>
  <c r="G64" i="7" s="1"/>
  <c r="F65" i="7"/>
  <c r="G65" i="7" s="1"/>
  <c r="F66" i="7"/>
  <c r="G66" i="7" s="1"/>
  <c r="F67" i="7"/>
  <c r="G67" i="7" s="1"/>
  <c r="F68" i="7"/>
  <c r="G68" i="7" s="1"/>
  <c r="F69" i="7"/>
  <c r="G69" i="7" s="1"/>
  <c r="F70" i="7"/>
  <c r="G70" i="7" s="1"/>
  <c r="F71" i="7"/>
  <c r="G71" i="7" s="1"/>
  <c r="F72" i="7"/>
  <c r="G72" i="7" s="1"/>
  <c r="F73" i="7"/>
  <c r="G73" i="7" s="1"/>
  <c r="F74" i="7"/>
  <c r="G74" i="7" s="1"/>
  <c r="F75" i="7"/>
  <c r="G75" i="7" s="1"/>
  <c r="F76" i="7"/>
  <c r="G76" i="7" s="1"/>
  <c r="F77" i="7"/>
  <c r="G77" i="7" s="1"/>
  <c r="F78" i="7"/>
  <c r="G78" i="7" s="1"/>
  <c r="F79" i="7"/>
  <c r="G79" i="7" s="1"/>
  <c r="F80" i="7"/>
  <c r="G80" i="7" s="1"/>
  <c r="F81" i="7"/>
  <c r="G81" i="7" s="1"/>
  <c r="F82" i="7"/>
  <c r="G82" i="7" s="1"/>
  <c r="F83" i="7"/>
  <c r="G83" i="7" s="1"/>
  <c r="F84" i="7"/>
  <c r="G84" i="7" s="1"/>
  <c r="F85" i="7"/>
  <c r="G85" i="7" s="1"/>
  <c r="F86" i="7"/>
  <c r="G86" i="7" s="1"/>
  <c r="F87" i="7"/>
  <c r="G87" i="7" s="1"/>
  <c r="F88" i="7"/>
  <c r="G88" i="7" s="1"/>
  <c r="F89" i="7"/>
  <c r="G89" i="7" s="1"/>
  <c r="F90" i="7"/>
  <c r="G90" i="7" s="1"/>
  <c r="F91" i="7"/>
  <c r="G91" i="7" s="1"/>
  <c r="F92" i="7"/>
  <c r="G92" i="7" s="1"/>
  <c r="F93" i="7"/>
  <c r="G93" i="7" s="1"/>
  <c r="F94" i="7"/>
  <c r="G94" i="7" s="1"/>
  <c r="F95" i="7"/>
  <c r="G95" i="7" s="1"/>
  <c r="F96" i="7"/>
  <c r="G96" i="7" s="1"/>
  <c r="F97" i="7"/>
  <c r="G97" i="7" s="1"/>
  <c r="F98" i="7"/>
  <c r="G98" i="7" s="1"/>
  <c r="F99" i="7"/>
  <c r="G99" i="7" s="1"/>
  <c r="F100" i="7"/>
  <c r="G100" i="7" s="1"/>
  <c r="F101" i="7"/>
  <c r="G101" i="7" s="1"/>
  <c r="F102" i="7"/>
  <c r="G102" i="7" s="1"/>
  <c r="F103" i="7"/>
  <c r="G103" i="7" s="1"/>
  <c r="F104" i="7"/>
  <c r="G104" i="7" s="1"/>
  <c r="F105" i="7"/>
  <c r="G105" i="7" s="1"/>
  <c r="F106" i="7"/>
  <c r="G106" i="7" s="1"/>
  <c r="F107" i="7"/>
  <c r="G107" i="7" s="1"/>
  <c r="F108" i="7"/>
  <c r="G108" i="7" s="1"/>
  <c r="F109" i="7"/>
  <c r="G109" i="7" s="1"/>
  <c r="F110" i="7"/>
  <c r="G110" i="7" s="1"/>
  <c r="F111" i="7"/>
  <c r="G111" i="7" s="1"/>
  <c r="F112" i="7"/>
  <c r="G112" i="7" s="1"/>
  <c r="F113" i="7"/>
  <c r="G113" i="7" s="1"/>
  <c r="F114" i="7"/>
  <c r="G114" i="7" s="1"/>
  <c r="F115" i="7"/>
  <c r="G115" i="7" s="1"/>
  <c r="F116" i="7"/>
  <c r="G116" i="7" s="1"/>
  <c r="F117" i="7"/>
  <c r="G117" i="7" s="1"/>
  <c r="F118" i="7"/>
  <c r="G118" i="7" s="1"/>
  <c r="F119" i="7"/>
  <c r="G119" i="7" s="1"/>
  <c r="F120" i="7"/>
  <c r="G120" i="7" s="1"/>
  <c r="F121" i="7"/>
  <c r="G121" i="7" s="1"/>
  <c r="F122" i="7"/>
  <c r="G122" i="7" s="1"/>
  <c r="F123" i="7"/>
  <c r="G123" i="7" s="1"/>
  <c r="F124" i="7"/>
  <c r="G124" i="7" s="1"/>
  <c r="F125" i="7"/>
  <c r="G125" i="7" s="1"/>
  <c r="F126" i="7"/>
  <c r="G126" i="7" s="1"/>
  <c r="F127" i="7"/>
  <c r="G127" i="7" s="1"/>
  <c r="F128" i="7"/>
  <c r="G128" i="7" s="1"/>
  <c r="F129" i="7"/>
  <c r="G129" i="7" s="1"/>
  <c r="F130" i="7"/>
  <c r="G130" i="7" s="1"/>
  <c r="F131" i="7"/>
  <c r="G131" i="7" s="1"/>
  <c r="F132" i="7"/>
  <c r="G132" i="7" s="1"/>
  <c r="F133" i="7"/>
  <c r="G133" i="7" s="1"/>
  <c r="F134" i="7"/>
  <c r="G134" i="7" s="1"/>
  <c r="F135" i="7"/>
  <c r="G135" i="7" s="1"/>
  <c r="F136" i="7"/>
  <c r="G136" i="7" s="1"/>
  <c r="F137" i="7"/>
  <c r="G137" i="7" s="1"/>
  <c r="F138" i="7"/>
  <c r="G138" i="7" s="1"/>
  <c r="F139" i="7"/>
  <c r="G139" i="7" s="1"/>
  <c r="F140" i="7"/>
  <c r="G140" i="7" s="1"/>
  <c r="F141" i="7"/>
  <c r="G141" i="7" s="1"/>
  <c r="F142" i="7"/>
  <c r="G142" i="7" s="1"/>
  <c r="F143" i="7"/>
  <c r="G143" i="7" s="1"/>
  <c r="F144" i="7"/>
  <c r="G144" i="7" s="1"/>
  <c r="F145" i="7"/>
  <c r="G145" i="7" s="1"/>
  <c r="F146" i="7"/>
  <c r="G146" i="7" s="1"/>
  <c r="F147" i="7"/>
  <c r="G147" i="7" s="1"/>
  <c r="F148" i="7"/>
  <c r="G148" i="7" s="1"/>
  <c r="F149" i="7"/>
  <c r="G149" i="7" s="1"/>
  <c r="F150" i="7"/>
  <c r="G150" i="7" s="1"/>
  <c r="F151" i="7"/>
  <c r="G151" i="7" s="1"/>
  <c r="F152" i="7"/>
  <c r="G152" i="7" s="1"/>
  <c r="F153" i="7"/>
  <c r="G153" i="7" s="1"/>
  <c r="F154" i="7"/>
  <c r="G154" i="7" s="1"/>
  <c r="F155" i="7"/>
  <c r="G155" i="7" s="1"/>
  <c r="F156" i="7"/>
  <c r="G156" i="7" s="1"/>
  <c r="F157" i="7"/>
  <c r="G157" i="7" s="1"/>
  <c r="F158" i="7"/>
  <c r="G158" i="7" s="1"/>
  <c r="F159" i="7"/>
  <c r="G159" i="7" s="1"/>
  <c r="F160" i="7"/>
  <c r="G160" i="7" s="1"/>
  <c r="F161" i="7"/>
  <c r="G161" i="7" s="1"/>
  <c r="F162" i="7"/>
  <c r="G162" i="7" s="1"/>
  <c r="F163" i="7"/>
  <c r="G163" i="7" s="1"/>
  <c r="F164" i="7"/>
  <c r="G164" i="7" s="1"/>
  <c r="F165" i="7"/>
  <c r="G165" i="7" s="1"/>
  <c r="F166" i="7"/>
  <c r="G166" i="7" s="1"/>
  <c r="F167" i="7"/>
  <c r="G167" i="7" s="1"/>
  <c r="F168" i="7"/>
  <c r="G168" i="7" s="1"/>
  <c r="F169" i="7"/>
  <c r="G169" i="7" s="1"/>
  <c r="F170" i="7"/>
  <c r="G170" i="7" s="1"/>
  <c r="F171" i="7"/>
  <c r="G171" i="7" s="1"/>
  <c r="F172" i="7"/>
  <c r="G172" i="7" s="1"/>
  <c r="F173" i="7"/>
  <c r="G173" i="7" s="1"/>
  <c r="F174" i="7"/>
  <c r="G174" i="7" s="1"/>
  <c r="F175" i="7"/>
  <c r="G175" i="7" s="1"/>
  <c r="F176" i="7"/>
  <c r="G176" i="7" s="1"/>
  <c r="F177" i="7"/>
  <c r="G177" i="7" s="1"/>
  <c r="F178" i="7"/>
  <c r="G178" i="7" s="1"/>
  <c r="F179" i="7"/>
  <c r="G179" i="7" s="1"/>
  <c r="F180" i="7"/>
  <c r="G180" i="7" s="1"/>
  <c r="F181" i="7"/>
  <c r="G181" i="7" s="1"/>
  <c r="F182" i="7"/>
  <c r="G182" i="7" s="1"/>
  <c r="F183" i="7"/>
  <c r="G183" i="7" s="1"/>
  <c r="F184" i="7"/>
  <c r="G184" i="7" s="1"/>
  <c r="F185" i="7"/>
  <c r="G185" i="7" s="1"/>
  <c r="F186" i="7"/>
  <c r="G186" i="7" s="1"/>
  <c r="F187" i="7"/>
  <c r="G187" i="7" s="1"/>
  <c r="F188" i="7"/>
  <c r="G188" i="7" s="1"/>
  <c r="F189" i="7"/>
  <c r="G189" i="7" s="1"/>
  <c r="F190" i="7"/>
  <c r="G190" i="7" s="1"/>
  <c r="F191" i="7"/>
  <c r="G191" i="7" s="1"/>
  <c r="F192" i="7"/>
  <c r="G192" i="7" s="1"/>
  <c r="F193" i="7"/>
  <c r="G193" i="7" s="1"/>
  <c r="F194" i="7"/>
  <c r="G194" i="7" s="1"/>
  <c r="F195" i="7"/>
  <c r="G195" i="7" s="1"/>
  <c r="F196" i="7"/>
  <c r="G196" i="7" s="1"/>
  <c r="F197" i="7"/>
  <c r="G197" i="7" s="1"/>
  <c r="F198" i="7"/>
  <c r="G198" i="7" s="1"/>
  <c r="F199" i="7"/>
  <c r="G199" i="7" s="1"/>
  <c r="F200" i="7"/>
  <c r="G200" i="7" s="1"/>
  <c r="F201" i="7"/>
  <c r="G201" i="7" s="1"/>
  <c r="F202" i="7"/>
  <c r="G202" i="7" s="1"/>
  <c r="F203" i="7"/>
  <c r="G203" i="7" s="1"/>
  <c r="F204" i="7"/>
  <c r="G204" i="7" s="1"/>
  <c r="F205" i="7"/>
  <c r="G205" i="7" s="1"/>
  <c r="F206" i="7"/>
  <c r="G206" i="7" s="1"/>
  <c r="F207" i="7"/>
  <c r="G207" i="7" s="1"/>
  <c r="F208" i="7"/>
  <c r="G208" i="7" s="1"/>
  <c r="F209" i="7"/>
  <c r="G209" i="7" s="1"/>
  <c r="F210" i="7"/>
  <c r="G210" i="7" s="1"/>
  <c r="F211" i="7"/>
  <c r="G211" i="7" s="1"/>
  <c r="F212" i="7"/>
  <c r="G212" i="7" s="1"/>
  <c r="F213" i="7"/>
  <c r="G213" i="7" s="1"/>
  <c r="F214" i="7"/>
  <c r="G214" i="7" s="1"/>
  <c r="F215" i="7"/>
  <c r="G215" i="7" s="1"/>
  <c r="F216" i="7"/>
  <c r="G216" i="7" s="1"/>
  <c r="F217" i="7"/>
  <c r="G217" i="7" s="1"/>
  <c r="F218" i="7"/>
  <c r="G218" i="7" s="1"/>
  <c r="F219" i="7"/>
  <c r="G219" i="7" s="1"/>
  <c r="F220" i="7"/>
  <c r="G220" i="7" s="1"/>
  <c r="F221" i="7"/>
  <c r="G221" i="7" s="1"/>
  <c r="F222" i="7"/>
  <c r="G222" i="7" s="1"/>
  <c r="F223" i="7"/>
  <c r="G223" i="7" s="1"/>
  <c r="F224" i="7"/>
  <c r="G224" i="7" s="1"/>
  <c r="F225" i="7"/>
  <c r="G225" i="7" s="1"/>
  <c r="F226" i="7"/>
  <c r="G226" i="7" s="1"/>
  <c r="F227" i="7"/>
  <c r="G227" i="7" s="1"/>
  <c r="F228" i="7"/>
  <c r="G228" i="7" s="1"/>
  <c r="F229" i="7"/>
  <c r="G229" i="7" s="1"/>
  <c r="F230" i="7"/>
  <c r="G230" i="7" s="1"/>
  <c r="F231" i="7"/>
  <c r="G231" i="7" s="1"/>
  <c r="F232" i="7"/>
  <c r="G232" i="7" s="1"/>
  <c r="F233" i="7"/>
  <c r="G233" i="7" s="1"/>
  <c r="F234" i="7"/>
  <c r="G234" i="7" s="1"/>
  <c r="F235" i="7"/>
  <c r="G235" i="7" s="1"/>
  <c r="F236" i="7"/>
  <c r="G236" i="7" s="1"/>
  <c r="F237" i="7"/>
  <c r="G237" i="7" s="1"/>
  <c r="F238" i="7"/>
  <c r="G238" i="7" s="1"/>
  <c r="F239" i="7"/>
  <c r="G239" i="7" s="1"/>
  <c r="F240" i="7"/>
  <c r="G240" i="7" s="1"/>
  <c r="F241" i="7"/>
  <c r="G241" i="7" s="1"/>
  <c r="F242" i="7"/>
  <c r="G242" i="7" s="1"/>
  <c r="F243" i="7"/>
  <c r="G243" i="7" s="1"/>
  <c r="F244" i="7"/>
  <c r="G244" i="7" s="1"/>
  <c r="F245" i="7"/>
  <c r="G245" i="7" s="1"/>
  <c r="F246" i="7"/>
  <c r="G246" i="7" s="1"/>
  <c r="F247" i="7"/>
  <c r="G247" i="7" s="1"/>
  <c r="F248" i="7"/>
  <c r="G248" i="7" s="1"/>
  <c r="F249" i="7"/>
  <c r="G249" i="7" s="1"/>
  <c r="F250" i="7"/>
  <c r="G250" i="7" s="1"/>
  <c r="F251" i="7"/>
  <c r="G251" i="7" s="1"/>
  <c r="F252" i="7"/>
  <c r="G252" i="7" s="1"/>
  <c r="F253" i="7"/>
  <c r="G253" i="7" s="1"/>
  <c r="F254" i="7"/>
  <c r="G254" i="7" s="1"/>
  <c r="F255" i="7"/>
  <c r="G255" i="7" s="1"/>
  <c r="F256" i="7"/>
  <c r="G256" i="7" s="1"/>
  <c r="F257" i="7"/>
  <c r="G257" i="7" s="1"/>
  <c r="F258" i="7"/>
  <c r="G258" i="7" s="1"/>
  <c r="F259" i="7"/>
  <c r="G259" i="7" s="1"/>
  <c r="F260" i="7"/>
  <c r="G260" i="7" s="1"/>
  <c r="F261" i="7"/>
  <c r="G261" i="7" s="1"/>
  <c r="F262" i="7"/>
  <c r="G262" i="7" s="1"/>
  <c r="F263" i="7"/>
  <c r="G263" i="7" s="1"/>
  <c r="F264" i="7"/>
  <c r="G264" i="7" s="1"/>
  <c r="F265" i="7"/>
  <c r="G265" i="7" s="1"/>
  <c r="F266" i="7"/>
  <c r="G266" i="7" s="1"/>
  <c r="F267" i="7"/>
  <c r="G267" i="7" s="1"/>
  <c r="F268" i="7"/>
  <c r="G268" i="7" s="1"/>
  <c r="F269" i="7"/>
  <c r="G269" i="7" s="1"/>
  <c r="F270" i="7"/>
  <c r="G270" i="7" s="1"/>
  <c r="F271" i="7"/>
  <c r="G271" i="7" s="1"/>
  <c r="F272" i="7"/>
  <c r="G272" i="7" s="1"/>
  <c r="F273" i="7"/>
  <c r="G273" i="7" s="1"/>
  <c r="F274" i="7"/>
  <c r="G274" i="7" s="1"/>
  <c r="F275" i="7"/>
  <c r="G275" i="7" s="1"/>
  <c r="F276" i="7"/>
  <c r="G276" i="7" s="1"/>
  <c r="F277" i="7"/>
  <c r="G277" i="7" s="1"/>
  <c r="F278" i="7"/>
  <c r="G278" i="7" s="1"/>
  <c r="F279" i="7"/>
  <c r="G279" i="7" s="1"/>
  <c r="F280" i="7"/>
  <c r="G280" i="7" s="1"/>
  <c r="F281" i="7"/>
  <c r="G281" i="7" s="1"/>
  <c r="F282" i="7"/>
  <c r="G282" i="7" s="1"/>
  <c r="F283" i="7"/>
  <c r="G283" i="7" s="1"/>
  <c r="F284" i="7"/>
  <c r="G284" i="7" s="1"/>
  <c r="F285" i="7"/>
  <c r="G285" i="7" s="1"/>
  <c r="F286" i="7"/>
  <c r="G286" i="7" s="1"/>
  <c r="F287" i="7"/>
  <c r="G287" i="7" s="1"/>
  <c r="F288" i="7"/>
  <c r="G288" i="7" s="1"/>
  <c r="F289" i="7"/>
  <c r="G289" i="7" s="1"/>
  <c r="F290" i="7"/>
  <c r="G290" i="7" s="1"/>
  <c r="F291" i="7"/>
  <c r="G291" i="7" s="1"/>
  <c r="F292" i="7"/>
  <c r="G292" i="7" s="1"/>
  <c r="F293" i="7"/>
  <c r="G293" i="7" s="1"/>
  <c r="F294" i="7"/>
  <c r="G294" i="7" s="1"/>
  <c r="F295" i="7"/>
  <c r="G295" i="7" s="1"/>
  <c r="F296" i="7"/>
  <c r="G296" i="7" s="1"/>
  <c r="F297" i="7"/>
  <c r="G297" i="7" s="1"/>
  <c r="F298" i="7"/>
  <c r="G298" i="7" s="1"/>
  <c r="F299" i="7"/>
  <c r="G299" i="7" s="1"/>
  <c r="F300" i="7"/>
  <c r="G300" i="7" s="1"/>
  <c r="F301" i="7"/>
  <c r="G301" i="7" s="1"/>
  <c r="F302" i="7"/>
  <c r="G302" i="7" s="1"/>
  <c r="F303" i="7"/>
  <c r="G303" i="7" s="1"/>
  <c r="F304" i="7"/>
  <c r="G304" i="7" s="1"/>
  <c r="F305" i="7"/>
  <c r="G305" i="7" s="1"/>
  <c r="F306" i="7"/>
  <c r="G306" i="7" s="1"/>
  <c r="F307" i="7"/>
  <c r="G307" i="7" s="1"/>
  <c r="F308" i="7"/>
  <c r="G308" i="7" s="1"/>
  <c r="F309" i="7"/>
  <c r="G309" i="7" s="1"/>
  <c r="F310" i="7"/>
  <c r="G310" i="7" s="1"/>
  <c r="F311" i="7"/>
  <c r="G311" i="7" s="1"/>
  <c r="F312" i="7"/>
  <c r="G312" i="7" s="1"/>
  <c r="F313" i="7"/>
  <c r="G313" i="7" s="1"/>
  <c r="F314" i="7"/>
  <c r="G314" i="7" s="1"/>
  <c r="F315" i="7"/>
  <c r="G315" i="7" s="1"/>
  <c r="F316" i="7"/>
  <c r="G316" i="7" s="1"/>
  <c r="F317" i="7"/>
  <c r="G317" i="7" s="1"/>
  <c r="F318" i="7"/>
  <c r="G318" i="7" s="1"/>
  <c r="F319" i="7"/>
  <c r="G319" i="7" s="1"/>
  <c r="F320" i="7"/>
  <c r="G320" i="7" s="1"/>
  <c r="F321" i="7"/>
  <c r="G321" i="7" s="1"/>
  <c r="F322" i="7"/>
  <c r="G322" i="7" s="1"/>
  <c r="F323" i="7"/>
  <c r="G323" i="7" s="1"/>
  <c r="F324" i="7"/>
  <c r="G324" i="7" s="1"/>
  <c r="F325" i="7"/>
  <c r="G325" i="7" s="1"/>
  <c r="F326" i="7"/>
  <c r="G326" i="7" s="1"/>
  <c r="F327" i="7"/>
  <c r="G327" i="7" s="1"/>
  <c r="F328" i="7"/>
  <c r="G328" i="7" s="1"/>
  <c r="F329" i="7"/>
  <c r="G329" i="7" s="1"/>
  <c r="F330" i="7"/>
  <c r="G330" i="7" s="1"/>
  <c r="F331" i="7"/>
  <c r="G331" i="7" s="1"/>
  <c r="F332" i="7"/>
  <c r="G332" i="7" s="1"/>
  <c r="F333" i="7"/>
  <c r="G333" i="7" s="1"/>
  <c r="F334" i="7"/>
  <c r="G334" i="7" s="1"/>
  <c r="F335" i="7"/>
  <c r="G335" i="7" s="1"/>
  <c r="F336" i="7"/>
  <c r="G336" i="7" s="1"/>
  <c r="F337" i="7"/>
  <c r="G337" i="7" s="1"/>
  <c r="F338" i="7"/>
  <c r="G338" i="7" s="1"/>
  <c r="F339" i="7"/>
  <c r="G339" i="7" s="1"/>
  <c r="F340" i="7"/>
  <c r="G340" i="7" s="1"/>
  <c r="F341" i="7"/>
  <c r="G341" i="7" s="1"/>
  <c r="F342" i="7"/>
  <c r="G342" i="7" s="1"/>
  <c r="F343" i="7"/>
  <c r="G343" i="7" s="1"/>
  <c r="F344" i="7"/>
  <c r="G344" i="7" s="1"/>
  <c r="F345" i="7"/>
  <c r="G345" i="7" s="1"/>
  <c r="F346" i="7"/>
  <c r="G346" i="7" s="1"/>
  <c r="F347" i="7"/>
  <c r="G347" i="7" s="1"/>
  <c r="F348" i="7"/>
  <c r="G348" i="7" s="1"/>
  <c r="F349" i="7"/>
  <c r="G349" i="7" s="1"/>
  <c r="F350" i="7"/>
  <c r="G350" i="7" s="1"/>
  <c r="F351" i="7"/>
  <c r="G351" i="7" s="1"/>
  <c r="F352" i="7"/>
  <c r="G352" i="7" s="1"/>
  <c r="F353" i="7"/>
  <c r="G353" i="7" s="1"/>
  <c r="F354" i="7"/>
  <c r="G354" i="7" s="1"/>
  <c r="F355" i="7"/>
  <c r="G355" i="7" s="1"/>
  <c r="F356" i="7"/>
  <c r="G356" i="7" s="1"/>
  <c r="F357" i="7"/>
  <c r="G357" i="7" s="1"/>
  <c r="F358" i="7"/>
  <c r="G358" i="7" s="1"/>
  <c r="F359" i="7"/>
  <c r="G359" i="7" s="1"/>
  <c r="F360" i="7"/>
  <c r="G360" i="7" s="1"/>
  <c r="F361" i="7"/>
  <c r="G361" i="7" s="1"/>
  <c r="F362" i="7"/>
  <c r="G362" i="7" s="1"/>
  <c r="F363" i="7"/>
  <c r="G363" i="7" s="1"/>
  <c r="F364" i="7"/>
  <c r="G364" i="7" s="1"/>
  <c r="F365" i="7"/>
  <c r="G365" i="7" s="1"/>
  <c r="F366" i="7"/>
  <c r="G366" i="7" s="1"/>
  <c r="F367" i="7"/>
  <c r="G367" i="7" s="1"/>
  <c r="F368" i="7"/>
  <c r="G368" i="7" s="1"/>
  <c r="F369" i="7"/>
  <c r="G369" i="7" s="1"/>
  <c r="F370" i="7"/>
  <c r="G370" i="7" s="1"/>
  <c r="F371" i="7"/>
  <c r="G371" i="7" s="1"/>
  <c r="F372" i="7"/>
  <c r="G372" i="7" s="1"/>
  <c r="F373" i="7"/>
  <c r="G373" i="7" s="1"/>
  <c r="F374" i="7"/>
  <c r="G374" i="7" s="1"/>
  <c r="F375" i="7"/>
  <c r="G375" i="7" s="1"/>
  <c r="F376" i="7"/>
  <c r="G376" i="7" s="1"/>
  <c r="F377" i="7"/>
  <c r="G377" i="7" s="1"/>
  <c r="F378" i="7"/>
  <c r="G378" i="7" s="1"/>
  <c r="F379" i="7"/>
  <c r="G379" i="7" s="1"/>
  <c r="F380" i="7"/>
  <c r="G380" i="7" s="1"/>
  <c r="F381" i="7"/>
  <c r="G381" i="7" s="1"/>
  <c r="F382" i="7"/>
  <c r="G382" i="7" s="1"/>
  <c r="F383" i="7"/>
  <c r="G383" i="7" s="1"/>
  <c r="F384" i="7"/>
  <c r="G384" i="7" s="1"/>
  <c r="F385" i="7"/>
  <c r="G385" i="7" s="1"/>
  <c r="F386" i="7"/>
  <c r="G386" i="7" s="1"/>
  <c r="F387" i="7"/>
  <c r="G387" i="7" s="1"/>
  <c r="F388" i="7"/>
  <c r="G388" i="7" s="1"/>
  <c r="F389" i="7"/>
  <c r="G389" i="7" s="1"/>
  <c r="F390" i="7"/>
  <c r="G390" i="7" s="1"/>
  <c r="F391" i="7"/>
  <c r="G391" i="7" s="1"/>
  <c r="F392" i="7"/>
  <c r="G392" i="7" s="1"/>
  <c r="F393" i="7"/>
  <c r="G393" i="7" s="1"/>
  <c r="F394" i="7"/>
  <c r="G394" i="7" s="1"/>
  <c r="F395" i="7"/>
  <c r="G395" i="7" s="1"/>
  <c r="F396" i="7"/>
  <c r="G396" i="7" s="1"/>
  <c r="F397" i="7"/>
  <c r="G397" i="7" s="1"/>
  <c r="F398" i="7"/>
  <c r="G398" i="7" s="1"/>
  <c r="F399" i="7"/>
  <c r="G399" i="7" s="1"/>
  <c r="F400" i="7"/>
  <c r="G400" i="7" s="1"/>
  <c r="F401" i="7"/>
  <c r="G401" i="7" s="1"/>
  <c r="F402" i="7"/>
  <c r="G402" i="7" s="1"/>
  <c r="F403" i="7"/>
  <c r="G403" i="7" s="1"/>
  <c r="F404" i="7"/>
  <c r="G404" i="7" s="1"/>
  <c r="F405" i="7"/>
  <c r="G405" i="7" s="1"/>
  <c r="F406" i="7"/>
  <c r="G406" i="7" s="1"/>
  <c r="F407" i="7"/>
  <c r="G407" i="7" s="1"/>
  <c r="F408" i="7"/>
  <c r="G408" i="7" s="1"/>
  <c r="F409" i="7"/>
  <c r="G409" i="7" s="1"/>
  <c r="F410" i="7"/>
  <c r="G410" i="7" s="1"/>
  <c r="F411" i="7"/>
  <c r="G411" i="7" s="1"/>
  <c r="F412" i="7"/>
  <c r="G412" i="7" s="1"/>
  <c r="F413" i="7"/>
  <c r="G413" i="7" s="1"/>
  <c r="F414" i="7"/>
  <c r="G414" i="7" s="1"/>
  <c r="F415" i="7"/>
  <c r="G415" i="7" s="1"/>
  <c r="F416" i="7"/>
  <c r="G416" i="7" s="1"/>
  <c r="F417" i="7"/>
  <c r="G417" i="7" s="1"/>
  <c r="F418" i="7"/>
  <c r="G418" i="7" s="1"/>
  <c r="F419" i="7"/>
  <c r="G419" i="7" s="1"/>
  <c r="F420" i="7"/>
  <c r="G420" i="7" s="1"/>
  <c r="F421" i="7"/>
  <c r="G421" i="7" s="1"/>
  <c r="F422" i="7"/>
  <c r="G422" i="7" s="1"/>
  <c r="F423" i="7"/>
  <c r="G423" i="7" s="1"/>
  <c r="F424" i="7"/>
  <c r="G424" i="7" s="1"/>
  <c r="F425" i="7"/>
  <c r="G425" i="7" s="1"/>
  <c r="F426" i="7"/>
  <c r="G426" i="7" s="1"/>
  <c r="F427" i="7"/>
  <c r="G427" i="7" s="1"/>
  <c r="F428" i="7"/>
  <c r="G428" i="7" s="1"/>
  <c r="F429" i="7"/>
  <c r="G429" i="7" s="1"/>
  <c r="F430" i="7"/>
  <c r="G430" i="7" s="1"/>
  <c r="F431" i="7"/>
  <c r="G431" i="7" s="1"/>
  <c r="F432" i="7"/>
  <c r="G432" i="7" s="1"/>
  <c r="F433" i="7"/>
  <c r="G433" i="7" s="1"/>
  <c r="F434" i="7"/>
  <c r="G434" i="7" s="1"/>
  <c r="F435" i="7"/>
  <c r="G435" i="7" s="1"/>
  <c r="F436" i="7"/>
  <c r="G436" i="7" s="1"/>
  <c r="F437" i="7"/>
  <c r="G437" i="7" s="1"/>
  <c r="F438" i="7"/>
  <c r="G438" i="7" s="1"/>
  <c r="F439" i="7"/>
  <c r="G439" i="7" s="1"/>
  <c r="F440" i="7"/>
  <c r="G440" i="7" s="1"/>
  <c r="F441" i="7"/>
  <c r="G441" i="7" s="1"/>
  <c r="F442" i="7"/>
  <c r="G442" i="7" s="1"/>
  <c r="F443" i="7"/>
  <c r="G443" i="7" s="1"/>
  <c r="F444" i="7"/>
  <c r="G444" i="7" s="1"/>
  <c r="F445" i="7"/>
  <c r="G445" i="7" s="1"/>
  <c r="F446" i="7"/>
  <c r="G446" i="7" s="1"/>
  <c r="F447" i="7"/>
  <c r="G447" i="7" s="1"/>
  <c r="F448" i="7"/>
  <c r="G448" i="7" s="1"/>
  <c r="F450" i="7"/>
  <c r="G450" i="7" s="1"/>
  <c r="F452" i="7"/>
  <c r="G452" i="7" s="1"/>
  <c r="F454" i="7"/>
  <c r="G454" i="7" s="1"/>
  <c r="F456" i="7"/>
  <c r="G456" i="7" s="1"/>
  <c r="F458" i="7"/>
  <c r="G458" i="7" s="1"/>
  <c r="F460" i="7"/>
  <c r="G460" i="7" s="1"/>
  <c r="F462" i="7"/>
  <c r="G462" i="7" s="1"/>
  <c r="F464" i="7"/>
  <c r="G464" i="7" s="1"/>
  <c r="F466" i="7"/>
  <c r="G466" i="7" s="1"/>
  <c r="F468" i="7"/>
  <c r="G468" i="7" s="1"/>
  <c r="F470" i="7"/>
  <c r="G470" i="7" s="1"/>
  <c r="F472" i="7"/>
  <c r="G472" i="7" s="1"/>
  <c r="F474" i="7"/>
  <c r="G474" i="7" s="1"/>
  <c r="F476" i="7"/>
  <c r="G476" i="7" s="1"/>
  <c r="F478" i="7"/>
  <c r="G478" i="7" s="1"/>
  <c r="F480" i="7"/>
  <c r="G480" i="7" s="1"/>
  <c r="F482" i="7"/>
  <c r="G482" i="7" s="1"/>
  <c r="F484" i="7"/>
  <c r="G484" i="7" s="1"/>
  <c r="F486" i="7"/>
  <c r="G486" i="7" s="1"/>
  <c r="F488" i="7"/>
  <c r="G488" i="7" s="1"/>
  <c r="F490" i="7"/>
  <c r="G490" i="7" s="1"/>
  <c r="F492" i="7"/>
  <c r="G492" i="7" s="1"/>
  <c r="F494" i="7"/>
  <c r="G494" i="7" s="1"/>
  <c r="F496" i="7"/>
  <c r="G496" i="7" s="1"/>
  <c r="F498" i="7"/>
  <c r="G498" i="7" s="1"/>
  <c r="F500" i="7"/>
  <c r="G500" i="7" s="1"/>
  <c r="F502" i="7"/>
  <c r="G502" i="7" s="1"/>
  <c r="F504" i="7"/>
  <c r="G504" i="7" s="1"/>
  <c r="F506" i="7"/>
  <c r="G506" i="7" s="1"/>
  <c r="F508" i="7"/>
  <c r="G508" i="7" s="1"/>
  <c r="F510" i="7"/>
  <c r="G510" i="7" s="1"/>
  <c r="F512" i="7"/>
  <c r="G512" i="7" s="1"/>
  <c r="F514" i="7"/>
  <c r="G514" i="7" s="1"/>
  <c r="F516" i="7"/>
  <c r="G516" i="7" s="1"/>
  <c r="F518" i="7"/>
  <c r="G518" i="7" s="1"/>
  <c r="F520" i="7"/>
  <c r="G520" i="7" s="1"/>
  <c r="F522" i="7"/>
  <c r="G522" i="7" s="1"/>
  <c r="F524" i="7"/>
  <c r="G524" i="7" s="1"/>
  <c r="F526" i="7"/>
  <c r="G526" i="7" s="1"/>
  <c r="F528" i="7"/>
  <c r="G528" i="7" s="1"/>
  <c r="F530" i="7"/>
  <c r="G530" i="7" s="1"/>
  <c r="F532" i="7"/>
  <c r="G532" i="7" s="1"/>
  <c r="F534" i="7"/>
  <c r="G534" i="7" s="1"/>
  <c r="F536" i="7"/>
  <c r="G536" i="7" s="1"/>
  <c r="F538" i="7"/>
  <c r="G538" i="7" s="1"/>
  <c r="F540" i="7"/>
  <c r="G540" i="7" s="1"/>
  <c r="F542" i="7"/>
  <c r="G542" i="7" s="1"/>
  <c r="F544" i="7"/>
  <c r="G544" i="7" s="1"/>
  <c r="F546" i="7"/>
  <c r="G546" i="7" s="1"/>
  <c r="F548" i="7"/>
  <c r="G548" i="7" s="1"/>
  <c r="F550" i="7"/>
  <c r="G550" i="7" s="1"/>
  <c r="F552" i="7"/>
  <c r="G552" i="7" s="1"/>
  <c r="F554" i="7"/>
  <c r="G554" i="7" s="1"/>
  <c r="F556" i="7"/>
  <c r="G556" i="7" s="1"/>
  <c r="F558" i="7"/>
  <c r="G558" i="7" s="1"/>
  <c r="F560" i="7"/>
  <c r="G560" i="7" s="1"/>
  <c r="F562" i="7"/>
  <c r="G562" i="7" s="1"/>
  <c r="F564" i="7"/>
  <c r="G564" i="7" s="1"/>
  <c r="F566" i="7"/>
  <c r="G566" i="7" s="1"/>
  <c r="F568" i="7"/>
  <c r="G568" i="7" s="1"/>
  <c r="F570" i="7"/>
  <c r="G570" i="7" s="1"/>
  <c r="F572" i="7"/>
  <c r="G572" i="7" s="1"/>
  <c r="F574" i="7"/>
  <c r="G574" i="7" s="1"/>
  <c r="F576" i="7"/>
  <c r="G576" i="7" s="1"/>
  <c r="F578" i="7"/>
  <c r="G578" i="7" s="1"/>
  <c r="F580" i="7"/>
  <c r="G580" i="7" s="1"/>
  <c r="F582" i="7"/>
  <c r="G582" i="7" s="1"/>
  <c r="F584" i="7"/>
  <c r="G584" i="7" s="1"/>
  <c r="F586" i="7"/>
  <c r="G586" i="7" s="1"/>
  <c r="F588" i="7"/>
  <c r="G588" i="7" s="1"/>
  <c r="F590" i="7"/>
  <c r="G590" i="7" s="1"/>
  <c r="F592" i="7"/>
  <c r="G592" i="7" s="1"/>
  <c r="F594" i="7"/>
  <c r="G594" i="7" s="1"/>
  <c r="F596" i="7"/>
  <c r="G596" i="7" s="1"/>
  <c r="F598" i="7"/>
  <c r="G598" i="7" s="1"/>
  <c r="F600" i="7"/>
  <c r="G600" i="7" s="1"/>
  <c r="F602" i="7"/>
  <c r="G602" i="7" s="1"/>
  <c r="F604" i="7"/>
  <c r="G604" i="7" s="1"/>
  <c r="F606" i="7"/>
  <c r="G606" i="7" s="1"/>
  <c r="F608" i="7"/>
  <c r="G608" i="7" s="1"/>
  <c r="F610" i="7"/>
  <c r="G610" i="7" s="1"/>
  <c r="F612" i="7"/>
  <c r="G612" i="7" s="1"/>
  <c r="F614" i="7"/>
  <c r="G614" i="7" s="1"/>
  <c r="F616" i="7"/>
  <c r="G616" i="7" s="1"/>
  <c r="F618" i="7"/>
  <c r="G618" i="7" s="1"/>
  <c r="F620" i="7"/>
  <c r="G620" i="7" s="1"/>
  <c r="F622" i="7"/>
  <c r="G622" i="7" s="1"/>
  <c r="F624" i="7"/>
  <c r="G624" i="7" s="1"/>
  <c r="F626" i="7"/>
  <c r="G626" i="7" s="1"/>
  <c r="F628" i="7"/>
  <c r="G628" i="7" s="1"/>
  <c r="F630" i="7"/>
  <c r="G630" i="7" s="1"/>
  <c r="F632" i="7"/>
  <c r="G632" i="7" s="1"/>
  <c r="F634" i="7"/>
  <c r="G634" i="7" s="1"/>
  <c r="F636" i="7"/>
  <c r="G636" i="7" s="1"/>
  <c r="F638" i="7"/>
  <c r="G638" i="7" s="1"/>
  <c r="F640" i="7"/>
  <c r="G640" i="7" s="1"/>
  <c r="F642" i="7"/>
  <c r="G642" i="7" s="1"/>
  <c r="F644" i="7"/>
  <c r="G644" i="7" s="1"/>
  <c r="F646" i="7"/>
  <c r="G646" i="7" s="1"/>
  <c r="F648" i="7"/>
  <c r="G648" i="7" s="1"/>
  <c r="F650" i="7"/>
  <c r="G650" i="7" s="1"/>
  <c r="F652" i="7"/>
  <c r="G652" i="7" s="1"/>
  <c r="F654" i="7"/>
  <c r="G654" i="7" s="1"/>
  <c r="F656" i="7"/>
  <c r="G656" i="7" s="1"/>
  <c r="F658" i="7"/>
  <c r="G658" i="7" s="1"/>
  <c r="F660" i="7"/>
  <c r="G660" i="7" s="1"/>
  <c r="F662" i="7"/>
  <c r="G662" i="7" s="1"/>
  <c r="F664" i="7"/>
  <c r="G664" i="7" s="1"/>
  <c r="F666" i="7"/>
  <c r="G666" i="7" s="1"/>
  <c r="F668" i="7"/>
  <c r="G668" i="7" s="1"/>
  <c r="F670" i="7"/>
  <c r="G670" i="7" s="1"/>
  <c r="F672" i="7"/>
  <c r="G672" i="7" s="1"/>
  <c r="F674" i="7"/>
  <c r="G674" i="7" s="1"/>
  <c r="F676" i="7"/>
  <c r="G676" i="7" s="1"/>
  <c r="F678" i="7"/>
  <c r="G678" i="7" s="1"/>
  <c r="F680" i="7"/>
  <c r="G680" i="7" s="1"/>
  <c r="F682" i="7"/>
  <c r="G682" i="7" s="1"/>
  <c r="F684" i="7"/>
  <c r="G684" i="7" s="1"/>
  <c r="F686" i="7"/>
  <c r="G686" i="7" s="1"/>
  <c r="F688" i="7"/>
  <c r="G688" i="7" s="1"/>
  <c r="F690" i="7"/>
  <c r="G690" i="7" s="1"/>
  <c r="F692" i="7"/>
  <c r="G692" i="7" s="1"/>
  <c r="F694" i="7"/>
  <c r="G694" i="7" s="1"/>
  <c r="F696" i="7"/>
  <c r="G696" i="7" s="1"/>
  <c r="F698" i="7"/>
  <c r="G698" i="7" s="1"/>
  <c r="F700" i="7"/>
  <c r="G700" i="7" s="1"/>
  <c r="F702" i="7"/>
  <c r="G702" i="7" s="1"/>
  <c r="F704" i="7"/>
  <c r="G704" i="7" s="1"/>
  <c r="F706" i="7"/>
  <c r="G706" i="7" s="1"/>
  <c r="F708" i="7"/>
  <c r="G708" i="7" s="1"/>
  <c r="F710" i="7"/>
  <c r="G710" i="7" s="1"/>
  <c r="F712" i="7"/>
  <c r="G712" i="7" s="1"/>
  <c r="F714" i="7"/>
  <c r="G714" i="7" s="1"/>
  <c r="F716" i="7"/>
  <c r="G716" i="7" s="1"/>
  <c r="F718" i="7"/>
  <c r="G718" i="7" s="1"/>
  <c r="F720" i="7"/>
  <c r="G720" i="7" s="1"/>
  <c r="F722" i="7"/>
  <c r="G722" i="7" s="1"/>
  <c r="F724" i="7"/>
  <c r="G724" i="7" s="1"/>
  <c r="F726" i="7"/>
  <c r="G726" i="7" s="1"/>
  <c r="F728" i="7"/>
  <c r="G728" i="7" s="1"/>
  <c r="F730" i="7"/>
  <c r="G730" i="7" s="1"/>
  <c r="F732" i="7"/>
  <c r="G732" i="7" s="1"/>
  <c r="F734" i="7"/>
  <c r="G734" i="7" s="1"/>
  <c r="F736" i="7"/>
  <c r="G736" i="7" s="1"/>
  <c r="F738" i="7"/>
  <c r="G738" i="7" s="1"/>
  <c r="F740" i="7"/>
  <c r="G740" i="7" s="1"/>
  <c r="F742" i="7"/>
  <c r="G742" i="7" s="1"/>
  <c r="F744" i="7"/>
  <c r="G744" i="7" s="1"/>
  <c r="F746" i="7"/>
  <c r="G746" i="7" s="1"/>
  <c r="F748" i="7"/>
  <c r="G748" i="7" s="1"/>
  <c r="F750" i="7"/>
  <c r="G750" i="7" s="1"/>
  <c r="F752" i="7"/>
  <c r="G752" i="7" s="1"/>
  <c r="F754" i="7"/>
  <c r="G754" i="7" s="1"/>
  <c r="F756" i="7"/>
  <c r="G756" i="7" s="1"/>
  <c r="F758" i="7"/>
  <c r="G758" i="7" s="1"/>
  <c r="F760" i="7"/>
  <c r="G760" i="7" s="1"/>
  <c r="F762" i="7"/>
  <c r="G762" i="7" s="1"/>
  <c r="F764" i="7"/>
  <c r="G764" i="7" s="1"/>
  <c r="F766" i="7"/>
  <c r="G766" i="7" s="1"/>
  <c r="F768" i="7"/>
  <c r="G768" i="7" s="1"/>
  <c r="F770" i="7"/>
  <c r="G770" i="7" s="1"/>
  <c r="F772" i="7"/>
  <c r="G772" i="7" s="1"/>
  <c r="F774" i="7"/>
  <c r="G774" i="7" s="1"/>
  <c r="F776" i="7"/>
  <c r="G776" i="7" s="1"/>
  <c r="F778" i="7"/>
  <c r="G778" i="7" s="1"/>
  <c r="F780" i="7"/>
  <c r="G780" i="7" s="1"/>
  <c r="F782" i="7"/>
  <c r="G782" i="7" s="1"/>
  <c r="F784" i="7"/>
  <c r="G784" i="7" s="1"/>
  <c r="F786" i="7"/>
  <c r="G786" i="7" s="1"/>
  <c r="F788" i="7"/>
  <c r="G788" i="7" s="1"/>
  <c r="F790" i="7"/>
  <c r="G790" i="7" s="1"/>
  <c r="F792" i="7"/>
  <c r="G792" i="7" s="1"/>
  <c r="F794" i="7"/>
  <c r="G794" i="7" s="1"/>
  <c r="F796" i="7"/>
  <c r="G796" i="7" s="1"/>
  <c r="F798" i="7"/>
  <c r="G798" i="7" s="1"/>
  <c r="F800" i="7"/>
  <c r="G800" i="7" s="1"/>
  <c r="F802" i="7"/>
  <c r="G802" i="7" s="1"/>
  <c r="F804" i="7"/>
  <c r="G804" i="7" s="1"/>
  <c r="F806" i="7"/>
  <c r="G806" i="7" s="1"/>
  <c r="F808" i="7"/>
  <c r="G808" i="7" s="1"/>
  <c r="F810" i="7"/>
  <c r="G810" i="7" s="1"/>
  <c r="F812" i="7"/>
  <c r="G812" i="7" s="1"/>
  <c r="F814" i="7"/>
  <c r="G814" i="7" s="1"/>
  <c r="F816" i="7"/>
  <c r="G816" i="7" s="1"/>
  <c r="F818" i="7"/>
  <c r="G818" i="7" s="1"/>
  <c r="F820" i="7"/>
  <c r="G820" i="7" s="1"/>
  <c r="F822" i="7"/>
  <c r="G822" i="7" s="1"/>
  <c r="F824" i="7"/>
  <c r="G824" i="7" s="1"/>
  <c r="F826" i="7"/>
  <c r="G826" i="7" s="1"/>
  <c r="F828" i="7"/>
  <c r="G828" i="7" s="1"/>
  <c r="F830" i="7"/>
  <c r="G830" i="7" s="1"/>
  <c r="F832" i="7"/>
  <c r="G832" i="7" s="1"/>
  <c r="F834" i="7"/>
  <c r="G834" i="7" s="1"/>
  <c r="F836" i="7"/>
  <c r="G836" i="7" s="1"/>
  <c r="F838" i="7"/>
  <c r="G838" i="7" s="1"/>
  <c r="F840" i="7"/>
  <c r="G840" i="7" s="1"/>
  <c r="F842" i="7"/>
  <c r="G842" i="7" s="1"/>
  <c r="F844" i="7"/>
  <c r="G844" i="7" s="1"/>
  <c r="F846" i="7"/>
  <c r="G846" i="7" s="1"/>
  <c r="F848" i="7"/>
  <c r="G848" i="7" s="1"/>
  <c r="F850" i="7"/>
  <c r="G850" i="7" s="1"/>
  <c r="F852" i="7"/>
  <c r="G852" i="7" s="1"/>
  <c r="F854" i="7"/>
  <c r="G854" i="7" s="1"/>
  <c r="F856" i="7"/>
  <c r="G856" i="7" s="1"/>
  <c r="F858" i="7"/>
  <c r="G858" i="7" s="1"/>
  <c r="F860" i="7"/>
  <c r="G860" i="7" s="1"/>
  <c r="F862" i="7"/>
  <c r="G862" i="7" s="1"/>
  <c r="F864" i="7"/>
  <c r="G864" i="7" s="1"/>
  <c r="F866" i="7"/>
  <c r="G866" i="7" s="1"/>
  <c r="F868" i="7"/>
  <c r="G868" i="7" s="1"/>
  <c r="F870" i="7"/>
  <c r="G870" i="7" s="1"/>
  <c r="F872" i="7"/>
  <c r="G872" i="7" s="1"/>
  <c r="F874" i="7"/>
  <c r="G874" i="7" s="1"/>
  <c r="F876" i="7"/>
  <c r="G876" i="7" s="1"/>
  <c r="F878" i="7"/>
  <c r="G878" i="7" s="1"/>
  <c r="F880" i="7"/>
  <c r="G880" i="7" s="1"/>
  <c r="F882" i="7"/>
  <c r="G882" i="7" s="1"/>
  <c r="F884" i="7"/>
  <c r="G884" i="7" s="1"/>
  <c r="F886" i="7"/>
  <c r="G886" i="7" s="1"/>
  <c r="F888" i="7"/>
  <c r="G888" i="7" s="1"/>
  <c r="F890" i="7"/>
  <c r="G890" i="7" s="1"/>
  <c r="F892" i="7"/>
  <c r="G892" i="7" s="1"/>
  <c r="F894" i="7"/>
  <c r="G894" i="7" s="1"/>
  <c r="F896" i="7"/>
  <c r="G896" i="7" s="1"/>
  <c r="F898" i="7"/>
  <c r="G898" i="7" s="1"/>
  <c r="F900" i="7"/>
  <c r="G900" i="7" s="1"/>
  <c r="F902" i="7"/>
  <c r="G902" i="7" s="1"/>
  <c r="F904" i="7"/>
  <c r="G904" i="7" s="1"/>
  <c r="F906" i="7"/>
  <c r="G906" i="7" s="1"/>
  <c r="F908" i="7"/>
  <c r="G908" i="7" s="1"/>
  <c r="F910" i="7"/>
  <c r="G910" i="7" s="1"/>
  <c r="F912" i="7"/>
  <c r="G912" i="7" s="1"/>
  <c r="F914" i="7"/>
  <c r="G914" i="7" s="1"/>
  <c r="F916" i="7"/>
  <c r="G916" i="7" s="1"/>
  <c r="F918" i="7"/>
  <c r="G918" i="7" s="1"/>
  <c r="F920" i="7"/>
  <c r="G920" i="7" s="1"/>
  <c r="F922" i="7"/>
  <c r="G922" i="7" s="1"/>
  <c r="F924" i="7"/>
  <c r="G924" i="7" s="1"/>
  <c r="F926" i="7"/>
  <c r="G926" i="7" s="1"/>
  <c r="F928" i="7"/>
  <c r="G928" i="7" s="1"/>
  <c r="F930" i="7"/>
  <c r="G930" i="7" s="1"/>
  <c r="F932" i="7"/>
  <c r="G932" i="7" s="1"/>
  <c r="F934" i="7"/>
  <c r="G934" i="7" s="1"/>
  <c r="F936" i="7"/>
  <c r="G936" i="7" s="1"/>
  <c r="F938" i="7"/>
  <c r="G938" i="7" s="1"/>
  <c r="F940" i="7"/>
  <c r="G940" i="7" s="1"/>
  <c r="F942" i="7"/>
  <c r="G942" i="7" s="1"/>
  <c r="F944" i="7"/>
  <c r="G944" i="7" s="1"/>
  <c r="F946" i="7"/>
  <c r="G946" i="7" s="1"/>
  <c r="F948" i="7"/>
  <c r="G948" i="7" s="1"/>
  <c r="F950" i="7"/>
  <c r="G950" i="7" s="1"/>
  <c r="F952" i="7"/>
  <c r="G952" i="7" s="1"/>
  <c r="F954" i="7"/>
  <c r="G954" i="7" s="1"/>
  <c r="F956" i="7"/>
  <c r="G956" i="7" s="1"/>
  <c r="F958" i="7"/>
  <c r="G958" i="7" s="1"/>
  <c r="F961" i="7"/>
  <c r="G961" i="7" s="1"/>
  <c r="F965" i="7"/>
  <c r="G965" i="7" s="1"/>
  <c r="F969" i="7"/>
  <c r="G969" i="7" s="1"/>
  <c r="F973" i="7"/>
  <c r="G973" i="7" s="1"/>
  <c r="F977" i="7"/>
  <c r="G977" i="7" s="1"/>
  <c r="F981" i="7"/>
  <c r="G981" i="7" s="1"/>
  <c r="F985" i="7"/>
  <c r="G985" i="7" s="1"/>
  <c r="F989" i="7"/>
  <c r="G989" i="7" s="1"/>
  <c r="F993" i="7"/>
  <c r="G993" i="7" s="1"/>
  <c r="F997" i="7"/>
  <c r="G997" i="7" s="1"/>
  <c r="F1001" i="7"/>
  <c r="G1001" i="7" s="1"/>
  <c r="F1005" i="7"/>
  <c r="G1005" i="7" s="1"/>
  <c r="F1009" i="7"/>
  <c r="G1009" i="7" s="1"/>
  <c r="F1013" i="7"/>
  <c r="G1013" i="7" s="1"/>
  <c r="F1017" i="7"/>
  <c r="G1017" i="7" s="1"/>
  <c r="F1021" i="7"/>
  <c r="G1021" i="7" s="1"/>
  <c r="F1025" i="7"/>
  <c r="G1025" i="7" s="1"/>
  <c r="F1029" i="7"/>
  <c r="G1029" i="7" s="1"/>
  <c r="F1033" i="7"/>
  <c r="G1033" i="7" s="1"/>
  <c r="F1037" i="7"/>
  <c r="G1037" i="7" s="1"/>
  <c r="F1041" i="7"/>
  <c r="G1041" i="7" s="1"/>
  <c r="F1045" i="7"/>
  <c r="G1045" i="7" s="1"/>
  <c r="F1049" i="7"/>
  <c r="G1049" i="7" s="1"/>
  <c r="F1053" i="7"/>
  <c r="G1053" i="7" s="1"/>
  <c r="F1057" i="7"/>
  <c r="G1057" i="7" s="1"/>
  <c r="F1061" i="7"/>
  <c r="G1061" i="7" s="1"/>
  <c r="F1065" i="7"/>
  <c r="G1065" i="7" s="1"/>
  <c r="F1069" i="7"/>
  <c r="G1069" i="7" s="1"/>
  <c r="F1073" i="7"/>
  <c r="G1073" i="7" s="1"/>
  <c r="F1077" i="7"/>
  <c r="G1077" i="7" s="1"/>
  <c r="F1081" i="7"/>
  <c r="G1081" i="7" s="1"/>
  <c r="F1085" i="7"/>
  <c r="G1085" i="7" s="1"/>
  <c r="F1089" i="7"/>
  <c r="G1089" i="7" s="1"/>
  <c r="F1093" i="7"/>
  <c r="G1093" i="7" s="1"/>
  <c r="F1097" i="7"/>
  <c r="G1097" i="7" s="1"/>
  <c r="F1101" i="7"/>
  <c r="G1101" i="7" s="1"/>
  <c r="F1105" i="7"/>
  <c r="G1105" i="7" s="1"/>
  <c r="F1109" i="7"/>
  <c r="G1109" i="7" s="1"/>
  <c r="F1113" i="7"/>
  <c r="G1113" i="7" s="1"/>
  <c r="F1117" i="7"/>
  <c r="G1117" i="7" s="1"/>
  <c r="F1121" i="7"/>
  <c r="G1121" i="7" s="1"/>
  <c r="F1125" i="7"/>
  <c r="G1125" i="7" s="1"/>
  <c r="F1129" i="7"/>
  <c r="G1129" i="7" s="1"/>
  <c r="F1133" i="7"/>
  <c r="G1133" i="7" s="1"/>
  <c r="F1137" i="7"/>
  <c r="G1137" i="7" s="1"/>
  <c r="F1141" i="7"/>
  <c r="G1141" i="7" s="1"/>
  <c r="F1145" i="7"/>
  <c r="G1145" i="7" s="1"/>
  <c r="H20" i="8"/>
  <c r="G21" i="8"/>
  <c r="N30" i="8"/>
  <c r="N33" i="8" s="1"/>
  <c r="P26" i="8"/>
  <c r="P30" i="8" s="1"/>
  <c r="D162" i="9"/>
  <c r="D163" i="9" s="1"/>
  <c r="G2" i="9"/>
  <c r="D169" i="9"/>
  <c r="G169" i="9" s="1"/>
  <c r="M10" i="9"/>
  <c r="H162" i="9"/>
  <c r="H163" i="9" s="1"/>
  <c r="E18" i="3" s="1"/>
  <c r="H15" i="4" s="1"/>
  <c r="O18" i="9"/>
  <c r="P18" i="9" s="1"/>
  <c r="L162" i="9"/>
  <c r="L163" i="9" s="1"/>
  <c r="I18" i="3" s="1"/>
  <c r="L15" i="4" s="1"/>
  <c r="O22" i="9"/>
  <c r="P22" i="9" s="1"/>
  <c r="D167" i="9"/>
  <c r="G167" i="9" s="1"/>
  <c r="I26" i="9"/>
  <c r="N6" i="8"/>
  <c r="K16" i="8"/>
  <c r="I16" i="8"/>
  <c r="G16" i="8"/>
  <c r="E16" i="8"/>
  <c r="C16" i="8"/>
  <c r="C29" i="8" s="1"/>
  <c r="J13" i="8"/>
  <c r="H13" i="8"/>
  <c r="F13" i="8"/>
  <c r="D13" i="8"/>
  <c r="C13" i="8"/>
  <c r="G13" i="8"/>
  <c r="K13" i="8"/>
  <c r="D16" i="8"/>
  <c r="H16" i="8"/>
  <c r="F20" i="8"/>
  <c r="J20" i="8"/>
  <c r="P32" i="8"/>
  <c r="C14" i="8"/>
  <c r="E14" i="8"/>
  <c r="G14" i="8"/>
  <c r="I14" i="8"/>
  <c r="K14" i="8"/>
  <c r="D15" i="8"/>
  <c r="F15" i="8"/>
  <c r="H15" i="8"/>
  <c r="K162" i="9"/>
  <c r="K163" i="9" s="1"/>
  <c r="H18" i="3" s="1"/>
  <c r="D170" i="9"/>
  <c r="G170" i="9" s="1"/>
  <c r="G84" i="9"/>
  <c r="O84" i="9" s="1"/>
  <c r="P84" i="9" s="1"/>
  <c r="D166" i="9"/>
  <c r="G89" i="9"/>
  <c r="O89" i="9" s="1"/>
  <c r="P89" i="9" s="1"/>
  <c r="F172" i="9"/>
  <c r="I21" i="8" l="1"/>
  <c r="I28" i="8"/>
  <c r="E21" i="8"/>
  <c r="E28" i="8"/>
  <c r="E26" i="8"/>
  <c r="E19" i="8"/>
  <c r="E36" i="8" s="1"/>
  <c r="E44" i="8" s="1"/>
  <c r="E10" i="3" s="1"/>
  <c r="H7" i="4" s="1"/>
  <c r="F11" i="2"/>
  <c r="D8" i="4" s="1"/>
  <c r="B10" i="4"/>
  <c r="D11" i="2"/>
  <c r="B8" i="4" s="1"/>
  <c r="X62" i="5"/>
  <c r="X64" i="5" s="1"/>
  <c r="T64" i="5"/>
  <c r="D172" i="9"/>
  <c r="G172" i="9" s="1"/>
  <c r="G166" i="9"/>
  <c r="H28" i="8"/>
  <c r="H21" i="8"/>
  <c r="D28" i="8"/>
  <c r="K28" i="8" s="1"/>
  <c r="D21" i="8"/>
  <c r="I27" i="8"/>
  <c r="I20" i="8"/>
  <c r="E27" i="8"/>
  <c r="E30" i="8" s="1"/>
  <c r="E20" i="8"/>
  <c r="D22" i="8"/>
  <c r="D29" i="8"/>
  <c r="G26" i="8"/>
  <c r="G19" i="8"/>
  <c r="D19" i="8"/>
  <c r="D26" i="8"/>
  <c r="H19" i="8"/>
  <c r="H26" i="8"/>
  <c r="G29" i="8"/>
  <c r="G22" i="8"/>
  <c r="N9" i="8"/>
  <c r="P9" i="8" s="1"/>
  <c r="P6" i="8"/>
  <c r="V72" i="5"/>
  <c r="T72" i="5"/>
  <c r="T78" i="5" s="1"/>
  <c r="T82" i="5" s="1"/>
  <c r="R72" i="5"/>
  <c r="P72" i="5"/>
  <c r="U72" i="5"/>
  <c r="Q72" i="5"/>
  <c r="Q78" i="5" s="1"/>
  <c r="Q82" i="5" s="1"/>
  <c r="W72" i="5"/>
  <c r="S72" i="5"/>
  <c r="S78" i="5" s="1"/>
  <c r="S82" i="5" s="1"/>
  <c r="V44" i="5"/>
  <c r="T44" i="5"/>
  <c r="R44" i="5"/>
  <c r="P44" i="5"/>
  <c r="W44" i="5"/>
  <c r="S44" i="5"/>
  <c r="U44" i="5"/>
  <c r="Q44" i="5"/>
  <c r="V42" i="5"/>
  <c r="T42" i="5"/>
  <c r="R42" i="5"/>
  <c r="P42" i="5"/>
  <c r="W42" i="5"/>
  <c r="S42" i="5"/>
  <c r="U42" i="5"/>
  <c r="Q42" i="5"/>
  <c r="V40" i="5"/>
  <c r="T40" i="5"/>
  <c r="R40" i="5"/>
  <c r="P40" i="5"/>
  <c r="W40" i="5"/>
  <c r="S40" i="5"/>
  <c r="U40" i="5"/>
  <c r="Q40" i="5"/>
  <c r="V38" i="5"/>
  <c r="T38" i="5"/>
  <c r="R38" i="5"/>
  <c r="P38" i="5"/>
  <c r="W38" i="5"/>
  <c r="S38" i="5"/>
  <c r="U38" i="5"/>
  <c r="Q38" i="5"/>
  <c r="V36" i="5"/>
  <c r="T36" i="5"/>
  <c r="R36" i="5"/>
  <c r="P36" i="5"/>
  <c r="W36" i="5"/>
  <c r="S36" i="5"/>
  <c r="U36" i="5"/>
  <c r="Q36" i="5"/>
  <c r="V34" i="5"/>
  <c r="T34" i="5"/>
  <c r="R34" i="5"/>
  <c r="P34" i="5"/>
  <c r="W34" i="5"/>
  <c r="S34" i="5"/>
  <c r="U34" i="5"/>
  <c r="Q34" i="5"/>
  <c r="V32" i="5"/>
  <c r="T32" i="5"/>
  <c r="R32" i="5"/>
  <c r="P32" i="5"/>
  <c r="W32" i="5"/>
  <c r="S32" i="5"/>
  <c r="U32" i="5"/>
  <c r="Q32" i="5"/>
  <c r="V30" i="5"/>
  <c r="T30" i="5"/>
  <c r="R30" i="5"/>
  <c r="P30" i="5"/>
  <c r="W30" i="5"/>
  <c r="S30" i="5"/>
  <c r="U30" i="5"/>
  <c r="Q30" i="5"/>
  <c r="V28" i="5"/>
  <c r="T28" i="5"/>
  <c r="R28" i="5"/>
  <c r="P28" i="5"/>
  <c r="W28" i="5"/>
  <c r="S28" i="5"/>
  <c r="U28" i="5"/>
  <c r="Q28" i="5"/>
  <c r="V26" i="5"/>
  <c r="T26" i="5"/>
  <c r="R26" i="5"/>
  <c r="P26" i="5"/>
  <c r="W26" i="5"/>
  <c r="S26" i="5"/>
  <c r="U26" i="5"/>
  <c r="Q26" i="5"/>
  <c r="V24" i="5"/>
  <c r="T24" i="5"/>
  <c r="R24" i="5"/>
  <c r="P24" i="5"/>
  <c r="W24" i="5"/>
  <c r="S24" i="5"/>
  <c r="U24" i="5"/>
  <c r="Q24" i="5"/>
  <c r="V22" i="5"/>
  <c r="T22" i="5"/>
  <c r="R22" i="5"/>
  <c r="P22" i="5"/>
  <c r="W22" i="5"/>
  <c r="S22" i="5"/>
  <c r="U22" i="5"/>
  <c r="Q22" i="5"/>
  <c r="V20" i="5"/>
  <c r="T20" i="5"/>
  <c r="R20" i="5"/>
  <c r="P20" i="5"/>
  <c r="W20" i="5"/>
  <c r="S20" i="5"/>
  <c r="U20" i="5"/>
  <c r="Q20" i="5"/>
  <c r="V18" i="5"/>
  <c r="T18" i="5"/>
  <c r="R18" i="5"/>
  <c r="P18" i="5"/>
  <c r="W18" i="5"/>
  <c r="S18" i="5"/>
  <c r="U18" i="5"/>
  <c r="Q18" i="5"/>
  <c r="V16" i="5"/>
  <c r="T16" i="5"/>
  <c r="R16" i="5"/>
  <c r="P16" i="5"/>
  <c r="W16" i="5"/>
  <c r="S16" i="5"/>
  <c r="U16" i="5"/>
  <c r="Q16" i="5"/>
  <c r="V14" i="5"/>
  <c r="T14" i="5"/>
  <c r="R14" i="5"/>
  <c r="P14" i="5"/>
  <c r="W14" i="5"/>
  <c r="S14" i="5"/>
  <c r="U14" i="5"/>
  <c r="Q14" i="5"/>
  <c r="V12" i="5"/>
  <c r="T12" i="5"/>
  <c r="R12" i="5"/>
  <c r="P12" i="5"/>
  <c r="W12" i="5"/>
  <c r="S12" i="5"/>
  <c r="U12" i="5"/>
  <c r="Q12" i="5"/>
  <c r="V10" i="5"/>
  <c r="T10" i="5"/>
  <c r="R10" i="5"/>
  <c r="P10" i="5"/>
  <c r="W10" i="5"/>
  <c r="S10" i="5"/>
  <c r="U10" i="5"/>
  <c r="Q10" i="5"/>
  <c r="V8" i="5"/>
  <c r="T8" i="5"/>
  <c r="R8" i="5"/>
  <c r="P8" i="5"/>
  <c r="W8" i="5"/>
  <c r="S8" i="5"/>
  <c r="U8" i="5"/>
  <c r="Q8" i="5"/>
  <c r="V6" i="5"/>
  <c r="T6" i="5"/>
  <c r="R6" i="5"/>
  <c r="P6" i="5"/>
  <c r="W6" i="5"/>
  <c r="S6" i="5"/>
  <c r="U6" i="5"/>
  <c r="Q6" i="5"/>
  <c r="V4" i="5"/>
  <c r="T4" i="5"/>
  <c r="R4" i="5"/>
  <c r="P4" i="5"/>
  <c r="W4" i="5"/>
  <c r="S4" i="5"/>
  <c r="U4" i="5"/>
  <c r="Q4" i="5"/>
  <c r="I36" i="8"/>
  <c r="I44" i="8" s="1"/>
  <c r="I10" i="3" s="1"/>
  <c r="L7" i="4" s="1"/>
  <c r="W64" i="5"/>
  <c r="O13" i="4"/>
  <c r="O16" i="3"/>
  <c r="F11" i="4"/>
  <c r="O4" i="4"/>
  <c r="O7" i="3"/>
  <c r="A9" i="4"/>
  <c r="C11" i="2"/>
  <c r="A8" i="4" s="1"/>
  <c r="P2" i="6"/>
  <c r="X74" i="5"/>
  <c r="O17" i="3"/>
  <c r="O14" i="4"/>
  <c r="K15" i="4"/>
  <c r="H14" i="3"/>
  <c r="F28" i="8"/>
  <c r="F21" i="8"/>
  <c r="G27" i="8"/>
  <c r="G20" i="8"/>
  <c r="C27" i="8"/>
  <c r="C20" i="8"/>
  <c r="K20" i="8" s="1"/>
  <c r="H22" i="8"/>
  <c r="H29" i="8"/>
  <c r="K29" i="8" s="1"/>
  <c r="C26" i="8"/>
  <c r="C19" i="8"/>
  <c r="F19" i="8"/>
  <c r="F26" i="8"/>
  <c r="F30" i="8" s="1"/>
  <c r="J19" i="8"/>
  <c r="J26" i="8"/>
  <c r="J30" i="8" s="1"/>
  <c r="E29" i="8"/>
  <c r="E22" i="8"/>
  <c r="I29" i="8"/>
  <c r="I22" i="8"/>
  <c r="I23" i="8" s="1"/>
  <c r="I162" i="9"/>
  <c r="I163" i="9" s="1"/>
  <c r="F18" i="3" s="1"/>
  <c r="O26" i="9"/>
  <c r="P26" i="9" s="1"/>
  <c r="M162" i="9"/>
  <c r="M163" i="9" s="1"/>
  <c r="J18" i="3" s="1"/>
  <c r="O10" i="9"/>
  <c r="P10" i="9" s="1"/>
  <c r="G162" i="9"/>
  <c r="G163" i="9" s="1"/>
  <c r="D18" i="3" s="1"/>
  <c r="O2" i="9"/>
  <c r="P33" i="8"/>
  <c r="V73" i="5"/>
  <c r="T73" i="5"/>
  <c r="R73" i="5"/>
  <c r="P73" i="5"/>
  <c r="U73" i="5"/>
  <c r="Q73" i="5"/>
  <c r="W73" i="5"/>
  <c r="S73" i="5"/>
  <c r="V45" i="5"/>
  <c r="T45" i="5"/>
  <c r="R45" i="5"/>
  <c r="P45" i="5"/>
  <c r="W45" i="5"/>
  <c r="S45" i="5"/>
  <c r="U45" i="5"/>
  <c r="Q45" i="5"/>
  <c r="V43" i="5"/>
  <c r="T43" i="5"/>
  <c r="R43" i="5"/>
  <c r="P43" i="5"/>
  <c r="W43" i="5"/>
  <c r="S43" i="5"/>
  <c r="U43" i="5"/>
  <c r="Q43" i="5"/>
  <c r="V41" i="5"/>
  <c r="T41" i="5"/>
  <c r="R41" i="5"/>
  <c r="P41" i="5"/>
  <c r="W41" i="5"/>
  <c r="S41" i="5"/>
  <c r="U41" i="5"/>
  <c r="Q41" i="5"/>
  <c r="V39" i="5"/>
  <c r="T39" i="5"/>
  <c r="R39" i="5"/>
  <c r="P39" i="5"/>
  <c r="W39" i="5"/>
  <c r="S39" i="5"/>
  <c r="U39" i="5"/>
  <c r="Q39" i="5"/>
  <c r="V37" i="5"/>
  <c r="T37" i="5"/>
  <c r="R37" i="5"/>
  <c r="P37" i="5"/>
  <c r="W37" i="5"/>
  <c r="S37" i="5"/>
  <c r="U37" i="5"/>
  <c r="Q37" i="5"/>
  <c r="V35" i="5"/>
  <c r="T35" i="5"/>
  <c r="R35" i="5"/>
  <c r="P35" i="5"/>
  <c r="W35" i="5"/>
  <c r="S35" i="5"/>
  <c r="U35" i="5"/>
  <c r="Q35" i="5"/>
  <c r="V33" i="5"/>
  <c r="T33" i="5"/>
  <c r="R33" i="5"/>
  <c r="P33" i="5"/>
  <c r="W33" i="5"/>
  <c r="S33" i="5"/>
  <c r="U33" i="5"/>
  <c r="Q33" i="5"/>
  <c r="V31" i="5"/>
  <c r="T31" i="5"/>
  <c r="R31" i="5"/>
  <c r="P31" i="5"/>
  <c r="W31" i="5"/>
  <c r="S31" i="5"/>
  <c r="U31" i="5"/>
  <c r="Q31" i="5"/>
  <c r="V29" i="5"/>
  <c r="T29" i="5"/>
  <c r="R29" i="5"/>
  <c r="P29" i="5"/>
  <c r="W29" i="5"/>
  <c r="S29" i="5"/>
  <c r="U29" i="5"/>
  <c r="Q29" i="5"/>
  <c r="V27" i="5"/>
  <c r="T27" i="5"/>
  <c r="R27" i="5"/>
  <c r="P27" i="5"/>
  <c r="W27" i="5"/>
  <c r="S27" i="5"/>
  <c r="U27" i="5"/>
  <c r="Q27" i="5"/>
  <c r="V25" i="5"/>
  <c r="T25" i="5"/>
  <c r="R25" i="5"/>
  <c r="P25" i="5"/>
  <c r="W25" i="5"/>
  <c r="S25" i="5"/>
  <c r="U25" i="5"/>
  <c r="Q25" i="5"/>
  <c r="V23" i="5"/>
  <c r="T23" i="5"/>
  <c r="R23" i="5"/>
  <c r="P23" i="5"/>
  <c r="W23" i="5"/>
  <c r="S23" i="5"/>
  <c r="U23" i="5"/>
  <c r="Q23" i="5"/>
  <c r="V21" i="5"/>
  <c r="T21" i="5"/>
  <c r="R21" i="5"/>
  <c r="P21" i="5"/>
  <c r="W21" i="5"/>
  <c r="S21" i="5"/>
  <c r="U21" i="5"/>
  <c r="Q21" i="5"/>
  <c r="V19" i="5"/>
  <c r="T19" i="5"/>
  <c r="R19" i="5"/>
  <c r="P19" i="5"/>
  <c r="W19" i="5"/>
  <c r="S19" i="5"/>
  <c r="U19" i="5"/>
  <c r="Q19" i="5"/>
  <c r="V17" i="5"/>
  <c r="T17" i="5"/>
  <c r="R17" i="5"/>
  <c r="P17" i="5"/>
  <c r="W17" i="5"/>
  <c r="S17" i="5"/>
  <c r="U17" i="5"/>
  <c r="Q17" i="5"/>
  <c r="V15" i="5"/>
  <c r="T15" i="5"/>
  <c r="R15" i="5"/>
  <c r="P15" i="5"/>
  <c r="W15" i="5"/>
  <c r="S15" i="5"/>
  <c r="U15" i="5"/>
  <c r="Q15" i="5"/>
  <c r="V13" i="5"/>
  <c r="T13" i="5"/>
  <c r="R13" i="5"/>
  <c r="P13" i="5"/>
  <c r="W13" i="5"/>
  <c r="S13" i="5"/>
  <c r="U13" i="5"/>
  <c r="Q13" i="5"/>
  <c r="V11" i="5"/>
  <c r="T11" i="5"/>
  <c r="R11" i="5"/>
  <c r="P11" i="5"/>
  <c r="W11" i="5"/>
  <c r="S11" i="5"/>
  <c r="U11" i="5"/>
  <c r="Q11" i="5"/>
  <c r="V9" i="5"/>
  <c r="T9" i="5"/>
  <c r="R9" i="5"/>
  <c r="P9" i="5"/>
  <c r="W9" i="5"/>
  <c r="S9" i="5"/>
  <c r="U9" i="5"/>
  <c r="Q9" i="5"/>
  <c r="V7" i="5"/>
  <c r="T7" i="5"/>
  <c r="R7" i="5"/>
  <c r="P7" i="5"/>
  <c r="W7" i="5"/>
  <c r="S7" i="5"/>
  <c r="U7" i="5"/>
  <c r="Q7" i="5"/>
  <c r="V5" i="5"/>
  <c r="T5" i="5"/>
  <c r="R5" i="5"/>
  <c r="P5" i="5"/>
  <c r="W5" i="5"/>
  <c r="S5" i="5"/>
  <c r="U5" i="5"/>
  <c r="Q5" i="5"/>
  <c r="V3" i="5"/>
  <c r="V51" i="5" s="1"/>
  <c r="T3" i="5"/>
  <c r="R3" i="5"/>
  <c r="R51" i="5" s="1"/>
  <c r="P3" i="5"/>
  <c r="W3" i="5"/>
  <c r="W51" i="5" s="1"/>
  <c r="S3" i="5"/>
  <c r="U3" i="5"/>
  <c r="U51" i="5" s="1"/>
  <c r="Q3" i="5"/>
  <c r="I30" i="8"/>
  <c r="O31" i="6"/>
  <c r="P31" i="6" s="1"/>
  <c r="F10" i="4"/>
  <c r="L13" i="3"/>
  <c r="V64" i="5"/>
  <c r="U64" i="5"/>
  <c r="O15" i="3"/>
  <c r="O12" i="4"/>
  <c r="I14" i="3"/>
  <c r="E14" i="3"/>
  <c r="H11" i="4" s="1"/>
  <c r="O9" i="4"/>
  <c r="O12" i="3"/>
  <c r="C9" i="4"/>
  <c r="E11" i="2"/>
  <c r="C8" i="4" s="1"/>
  <c r="M12" i="7"/>
  <c r="M13" i="7" s="1"/>
  <c r="N21" i="7"/>
  <c r="D127" i="6"/>
  <c r="E29" i="3"/>
  <c r="F27" i="3" s="1"/>
  <c r="G30" i="8" l="1"/>
  <c r="F28" i="3"/>
  <c r="V67" i="5"/>
  <c r="V66" i="5"/>
  <c r="V65" i="5"/>
  <c r="V68" i="5" s="1"/>
  <c r="V81" i="5" s="1"/>
  <c r="O162" i="9"/>
  <c r="O163" i="9" s="1"/>
  <c r="P2" i="9"/>
  <c r="P162" i="9" s="1"/>
  <c r="C23" i="8"/>
  <c r="K19" i="8"/>
  <c r="C36" i="8"/>
  <c r="H24" i="3"/>
  <c r="K11" i="4"/>
  <c r="X4" i="5"/>
  <c r="X6" i="5"/>
  <c r="X8" i="5"/>
  <c r="X10" i="5"/>
  <c r="X12" i="5"/>
  <c r="X14" i="5"/>
  <c r="X16" i="5"/>
  <c r="X18" i="5"/>
  <c r="X20" i="5"/>
  <c r="X22" i="5"/>
  <c r="X24" i="5"/>
  <c r="X26" i="5"/>
  <c r="X28" i="5"/>
  <c r="X30" i="5"/>
  <c r="X32" i="5"/>
  <c r="X34" i="5"/>
  <c r="X36" i="5"/>
  <c r="X38" i="5"/>
  <c r="X40" i="5"/>
  <c r="X42" i="5"/>
  <c r="X44" i="5"/>
  <c r="P78" i="5"/>
  <c r="X72" i="5"/>
  <c r="H36" i="8"/>
  <c r="H44" i="8" s="1"/>
  <c r="H10" i="3" s="1"/>
  <c r="K7" i="4" s="1"/>
  <c r="H23" i="8"/>
  <c r="D36" i="8"/>
  <c r="D44" i="8" s="1"/>
  <c r="D10" i="3" s="1"/>
  <c r="G7" i="4" s="1"/>
  <c r="D23" i="8"/>
  <c r="K22" i="8"/>
  <c r="L11" i="4"/>
  <c r="I24" i="3"/>
  <c r="U66" i="5"/>
  <c r="U65" i="5"/>
  <c r="U68" i="5" s="1"/>
  <c r="U81" i="5" s="1"/>
  <c r="U67" i="5"/>
  <c r="O10" i="4"/>
  <c r="O13" i="3"/>
  <c r="Q51" i="5"/>
  <c r="S51" i="5"/>
  <c r="P51" i="5"/>
  <c r="X3" i="5"/>
  <c r="T51" i="5"/>
  <c r="X5" i="5"/>
  <c r="X7" i="5"/>
  <c r="X9" i="5"/>
  <c r="X11" i="5"/>
  <c r="X13" i="5"/>
  <c r="X15" i="5"/>
  <c r="X17" i="5"/>
  <c r="X19" i="5"/>
  <c r="X21" i="5"/>
  <c r="X23" i="5"/>
  <c r="X25" i="5"/>
  <c r="X27" i="5"/>
  <c r="X29" i="5"/>
  <c r="X31" i="5"/>
  <c r="X33" i="5"/>
  <c r="X35" i="5"/>
  <c r="X37" i="5"/>
  <c r="X39" i="5"/>
  <c r="X41" i="5"/>
  <c r="X43" i="5"/>
  <c r="X45" i="5"/>
  <c r="X73" i="5"/>
  <c r="G15" i="4"/>
  <c r="D14" i="3"/>
  <c r="L18" i="3"/>
  <c r="M15" i="4"/>
  <c r="J14" i="3"/>
  <c r="I15" i="4"/>
  <c r="F14" i="3"/>
  <c r="I11" i="4" s="1"/>
  <c r="J36" i="8"/>
  <c r="J44" i="8" s="1"/>
  <c r="J10" i="3" s="1"/>
  <c r="M7" i="4" s="1"/>
  <c r="J23" i="8"/>
  <c r="F36" i="8"/>
  <c r="F44" i="8" s="1"/>
  <c r="F10" i="3" s="1"/>
  <c r="I7" i="4" s="1"/>
  <c r="F23" i="8"/>
  <c r="C30" i="8"/>
  <c r="K26" i="8"/>
  <c r="K27" i="8"/>
  <c r="O121" i="6"/>
  <c r="W66" i="5"/>
  <c r="W65" i="5"/>
  <c r="W68" i="5" s="1"/>
  <c r="W81" i="5" s="1"/>
  <c r="W67" i="5"/>
  <c r="W78" i="5"/>
  <c r="W82" i="5" s="1"/>
  <c r="U78" i="5"/>
  <c r="U82" i="5" s="1"/>
  <c r="R78" i="5"/>
  <c r="R82" i="5" s="1"/>
  <c r="V78" i="5"/>
  <c r="V82" i="5" s="1"/>
  <c r="H30" i="8"/>
  <c r="D30" i="8"/>
  <c r="G23" i="8"/>
  <c r="G36" i="8"/>
  <c r="G44" i="8" s="1"/>
  <c r="G10" i="3" s="1"/>
  <c r="J7" i="4" s="1"/>
  <c r="E23" i="8"/>
  <c r="K21" i="8"/>
  <c r="T67" i="5"/>
  <c r="T68" i="5"/>
  <c r="T65" i="5"/>
  <c r="K37" i="8" l="1"/>
  <c r="K30" i="8"/>
  <c r="K45" i="8"/>
  <c r="K11" i="3" s="1"/>
  <c r="O34" i="8"/>
  <c r="O35" i="8" s="1"/>
  <c r="T81" i="5"/>
  <c r="F6" i="2"/>
  <c r="P121" i="6"/>
  <c r="O122" i="6"/>
  <c r="J24" i="3"/>
  <c r="M11" i="4"/>
  <c r="O18" i="3"/>
  <c r="O15" i="4"/>
  <c r="X51" i="5"/>
  <c r="S53" i="5"/>
  <c r="S52" i="5"/>
  <c r="S54" i="5" s="1"/>
  <c r="S80" i="5" s="1"/>
  <c r="S83" i="5" s="1"/>
  <c r="F8" i="3" s="1"/>
  <c r="X66" i="5"/>
  <c r="P82" i="5"/>
  <c r="D6" i="2"/>
  <c r="E6" i="2"/>
  <c r="C6" i="2"/>
  <c r="K23" i="8"/>
  <c r="Q21" i="8" s="1"/>
  <c r="X65" i="5"/>
  <c r="X67" i="5"/>
  <c r="G11" i="4"/>
  <c r="E32" i="3"/>
  <c r="L14" i="3"/>
  <c r="G24" i="3"/>
  <c r="T52" i="5"/>
  <c r="T54" i="5"/>
  <c r="T80" i="5" s="1"/>
  <c r="T83" i="5" s="1"/>
  <c r="G8" i="3" s="1"/>
  <c r="T53" i="5"/>
  <c r="P52" i="5"/>
  <c r="P53" i="5"/>
  <c r="Q53" i="5"/>
  <c r="Q52" i="5"/>
  <c r="Q54" i="5" s="1"/>
  <c r="Q80" i="5" s="1"/>
  <c r="Q83" i="5" s="1"/>
  <c r="D8" i="3" s="1"/>
  <c r="X78" i="5"/>
  <c r="C44" i="8"/>
  <c r="C10" i="3" s="1"/>
  <c r="K36" i="8"/>
  <c r="G5" i="4" l="1"/>
  <c r="D5" i="3"/>
  <c r="I5" i="4"/>
  <c r="F5" i="3"/>
  <c r="K44" i="8"/>
  <c r="K38" i="8"/>
  <c r="K41" i="8" s="1"/>
  <c r="N34" i="8"/>
  <c r="X82" i="5"/>
  <c r="Y78" i="5"/>
  <c r="J5" i="4"/>
  <c r="G5" i="3"/>
  <c r="C4" i="4"/>
  <c r="C3" i="4"/>
  <c r="D3" i="4"/>
  <c r="F7" i="4"/>
  <c r="E9" i="2"/>
  <c r="C6" i="4" s="1"/>
  <c r="C9" i="2"/>
  <c r="A6" i="4" s="1"/>
  <c r="L10" i="3"/>
  <c r="F9" i="2"/>
  <c r="D6" i="4" s="1"/>
  <c r="D9" i="2"/>
  <c r="B6" i="4" s="1"/>
  <c r="P54" i="5"/>
  <c r="O11" i="4"/>
  <c r="O14" i="3"/>
  <c r="X68" i="5"/>
  <c r="A4" i="4"/>
  <c r="A3" i="4"/>
  <c r="B4" i="4"/>
  <c r="B3" i="4"/>
  <c r="Y51" i="5"/>
  <c r="X53" i="5"/>
  <c r="U52" i="5"/>
  <c r="W53" i="5"/>
  <c r="R52" i="5"/>
  <c r="V53" i="5"/>
  <c r="U53" i="5"/>
  <c r="W52" i="5"/>
  <c r="W54" i="5" s="1"/>
  <c r="W80" i="5" s="1"/>
  <c r="W83" i="5" s="1"/>
  <c r="J8" i="3" s="1"/>
  <c r="R53" i="5"/>
  <c r="V52" i="5"/>
  <c r="V54" i="5" s="1"/>
  <c r="V80" i="5" s="1"/>
  <c r="V83" i="5" s="1"/>
  <c r="I8" i="3" s="1"/>
  <c r="N8" i="4"/>
  <c r="L11" i="3"/>
  <c r="O8" i="4" s="1"/>
  <c r="K5" i="3"/>
  <c r="L5" i="4" l="1"/>
  <c r="I5" i="3"/>
  <c r="M5" i="4"/>
  <c r="J5" i="3"/>
  <c r="P80" i="5"/>
  <c r="P83" i="5" s="1"/>
  <c r="C8" i="3" s="1"/>
  <c r="E7" i="2"/>
  <c r="E5" i="2" s="1"/>
  <c r="C7" i="2"/>
  <c r="C5" i="2" s="1"/>
  <c r="F7" i="2"/>
  <c r="J2" i="4"/>
  <c r="G19" i="3"/>
  <c r="J16" i="4" s="1"/>
  <c r="X52" i="5"/>
  <c r="X54" i="5" s="1"/>
  <c r="X80" i="5" s="1"/>
  <c r="F19" i="3"/>
  <c r="I16" i="4" s="1"/>
  <c r="I2" i="4"/>
  <c r="D19" i="3"/>
  <c r="G16" i="4" s="1"/>
  <c r="G2" i="4"/>
  <c r="N2" i="4"/>
  <c r="K19" i="3"/>
  <c r="N16" i="4" s="1"/>
  <c r="R54" i="5"/>
  <c r="R80" i="5" s="1"/>
  <c r="R83" i="5" s="1"/>
  <c r="E8" i="3" s="1"/>
  <c r="U54" i="5"/>
  <c r="U80" i="5" s="1"/>
  <c r="U83" i="5" s="1"/>
  <c r="H8" i="3" s="1"/>
  <c r="Y68" i="5"/>
  <c r="X81" i="5"/>
  <c r="O7" i="4"/>
  <c r="O11" i="3"/>
  <c r="N35" i="8"/>
  <c r="P34" i="8"/>
  <c r="P35" i="8" s="1"/>
  <c r="K5" i="4" l="1"/>
  <c r="H5" i="3"/>
  <c r="X83" i="5"/>
  <c r="D4" i="4"/>
  <c r="F5" i="2"/>
  <c r="C2" i="4"/>
  <c r="E16" i="2"/>
  <c r="C13" i="4" s="1"/>
  <c r="E15" i="2"/>
  <c r="C12" i="4" s="1"/>
  <c r="J23" i="3"/>
  <c r="J19" i="3"/>
  <c r="M16" i="4" s="1"/>
  <c r="M2" i="4"/>
  <c r="L2" i="4"/>
  <c r="I23" i="3"/>
  <c r="I19" i="3"/>
  <c r="L16" i="4" s="1"/>
  <c r="H5" i="4"/>
  <c r="E5" i="3"/>
  <c r="D7" i="2"/>
  <c r="D5" i="2" s="1"/>
  <c r="A2" i="4"/>
  <c r="C16" i="2"/>
  <c r="A13" i="4" s="1"/>
  <c r="C15" i="2"/>
  <c r="A12" i="4" s="1"/>
  <c r="F5" i="4"/>
  <c r="L8" i="3"/>
  <c r="C5" i="3"/>
  <c r="O8" i="3" l="1"/>
  <c r="O5" i="4"/>
  <c r="H2" i="4"/>
  <c r="E19" i="3"/>
  <c r="H16" i="4" s="1"/>
  <c r="H23" i="3"/>
  <c r="H19" i="3"/>
  <c r="K16" i="4" s="1"/>
  <c r="K2" i="4"/>
  <c r="F2" i="4"/>
  <c r="E31" i="3"/>
  <c r="F32" i="3" s="1"/>
  <c r="G23" i="3"/>
  <c r="G25" i="3" s="1"/>
  <c r="C19" i="3"/>
  <c r="L5" i="3"/>
  <c r="B2" i="4"/>
  <c r="D16" i="2"/>
  <c r="B13" i="4" s="1"/>
  <c r="D15" i="2"/>
  <c r="B12" i="4" s="1"/>
  <c r="D2" i="4"/>
  <c r="F16" i="2"/>
  <c r="D13" i="4" s="1"/>
  <c r="F15" i="2"/>
  <c r="D12" i="4" s="1"/>
  <c r="L20" i="3" l="1"/>
  <c r="O17" i="4" s="1"/>
  <c r="O2" i="4"/>
  <c r="O5" i="3"/>
  <c r="F16" i="4"/>
  <c r="J20" i="3"/>
  <c r="M17" i="4" s="1"/>
  <c r="H20" i="3"/>
  <c r="K17" i="4" s="1"/>
  <c r="F20" i="3"/>
  <c r="I17" i="4" s="1"/>
  <c r="D20" i="3"/>
  <c r="G17" i="4" s="1"/>
  <c r="L19" i="3"/>
  <c r="O16" i="4" s="1"/>
  <c r="K20" i="3"/>
  <c r="N17" i="4" s="1"/>
  <c r="G20" i="3"/>
  <c r="J17" i="4" s="1"/>
  <c r="C20" i="3"/>
  <c r="F17" i="4" s="1"/>
  <c r="I20" i="3"/>
  <c r="L17" i="4" s="1"/>
  <c r="E20" i="3"/>
  <c r="H17" i="4" s="1"/>
</calcChain>
</file>

<file path=xl/sharedStrings.xml><?xml version="1.0" encoding="utf-8"?>
<sst xmlns="http://schemas.openxmlformats.org/spreadsheetml/2006/main" count="10272" uniqueCount="6245">
  <si>
    <t>Statement of Financial Position a</t>
  </si>
  <si>
    <t>Rs.'000</t>
  </si>
  <si>
    <t>Rs.</t>
  </si>
  <si>
    <t>BS Out (Should be zero)</t>
  </si>
  <si>
    <t>1.1.0.0.0.0</t>
  </si>
  <si>
    <t>BS-1.1.0.0.0.0</t>
  </si>
  <si>
    <t>Assets b</t>
  </si>
  <si>
    <t>1.1.1.0.0.0</t>
  </si>
  <si>
    <t>BS-1.1.1.0.0.0</t>
  </si>
  <si>
    <t>Cash and Cash Equivalents c</t>
  </si>
  <si>
    <t>1.1.1.1.0.0</t>
  </si>
  <si>
    <t>BS-1.1.1.1.0.0</t>
  </si>
  <si>
    <t>Cash in Hand (LKR)</t>
  </si>
  <si>
    <t>1.1.1.2.0.0</t>
  </si>
  <si>
    <t>BS-1.1.1.2.0.0</t>
  </si>
  <si>
    <t>Cash in Hand (Foreign Currency)</t>
  </si>
  <si>
    <t>1.1.1.3.0.0</t>
  </si>
  <si>
    <t>BS-1.1.1.3.0.0</t>
  </si>
  <si>
    <t>Demand Deposits with banks (LKR)</t>
  </si>
  <si>
    <t>1.1.1.4.0.0</t>
  </si>
  <si>
    <t>BS-1.1.1.4.0.0</t>
  </si>
  <si>
    <t>Demand Deposits with banks (Foreign Currency)</t>
  </si>
  <si>
    <t>1.1.1.5.0.0</t>
  </si>
  <si>
    <t>BS-1.1.1.5.0.0</t>
  </si>
  <si>
    <t>Gold Bullion in Hand</t>
  </si>
  <si>
    <t>1.1.2.0.0.0</t>
  </si>
  <si>
    <t>BS-1.1.2.0.0.0</t>
  </si>
  <si>
    <t>Balances with Central Bank and Financial Institutions c,d</t>
  </si>
  <si>
    <t>1.1.2.1.0.0</t>
  </si>
  <si>
    <t>BS-1.1.2.1.0.0</t>
  </si>
  <si>
    <t>Balances with Central Bank</t>
  </si>
  <si>
    <t>1.1.2.2.0.0</t>
  </si>
  <si>
    <t>BS-1.1.2.2.0.0</t>
  </si>
  <si>
    <t>Balances with Banks and Other Financial Institutions (LKR)</t>
  </si>
  <si>
    <t>1.1.2.3.0.0</t>
  </si>
  <si>
    <t>BS-1.1.2.3.0.0</t>
  </si>
  <si>
    <t>Balances with Banks and Other Financial Institutions (Foreign Currency)</t>
  </si>
  <si>
    <t>1.1.3.0.0.0</t>
  </si>
  <si>
    <t>BS-1.1.3.0.0.0</t>
  </si>
  <si>
    <t>Securities Purchased under Resale Agreements c</t>
  </si>
  <si>
    <t>1.1.3.1.0.0</t>
  </si>
  <si>
    <t>BS-1.1.3.1.0.0</t>
  </si>
  <si>
    <t>Central Bank</t>
  </si>
  <si>
    <t>1.1.3.2.0.0</t>
  </si>
  <si>
    <t>BS-1.1.3.2.0.0</t>
  </si>
  <si>
    <t>Licensed Commercial Banks</t>
  </si>
  <si>
    <t>1.1.3.3.0.0</t>
  </si>
  <si>
    <t>BS-1.1.3.3.0.0</t>
  </si>
  <si>
    <t>Licensed Specialised Banks</t>
  </si>
  <si>
    <t>1.1.3.4.0.0</t>
  </si>
  <si>
    <t>BS-1.1.3.4.0.0</t>
  </si>
  <si>
    <t>Primary Dealer Companies</t>
  </si>
  <si>
    <t>1.1.3.5.0.0</t>
  </si>
  <si>
    <t>BS-1.1.3.5.0.0</t>
  </si>
  <si>
    <t>Licensed Finance Companies</t>
  </si>
  <si>
    <t>1.1.3.6.0.0</t>
  </si>
  <si>
    <t>BS-1.1.3.6.0.0</t>
  </si>
  <si>
    <t>Other Customers</t>
  </si>
  <si>
    <t>1.1.4.0.0.0</t>
  </si>
  <si>
    <t>BS-1.1.4.0.0.0</t>
  </si>
  <si>
    <t>Derivative Financial Assets</t>
  </si>
  <si>
    <t>1.1.4.1.0.0</t>
  </si>
  <si>
    <t>BS-1.1.4.1.0.0</t>
  </si>
  <si>
    <t>Currency Swaps</t>
  </si>
  <si>
    <t>1.1.4.2.0.0</t>
  </si>
  <si>
    <t>BS-1.1.4.2.0.0</t>
  </si>
  <si>
    <t>Currency Options</t>
  </si>
  <si>
    <t>1.1.4.3.0.0</t>
  </si>
  <si>
    <t>BS-1.1.4.3.0.0</t>
  </si>
  <si>
    <t>Forward Contracts</t>
  </si>
  <si>
    <t>1.1.4.4.0.0</t>
  </si>
  <si>
    <t>BS-1.1.4.4.0.0</t>
  </si>
  <si>
    <t>Futures</t>
  </si>
  <si>
    <t>1.1.4.5.0.0</t>
  </si>
  <si>
    <t>BS-1.1.4.5.0.0</t>
  </si>
  <si>
    <t>Other</t>
  </si>
  <si>
    <t>1.1.5.0.0.0</t>
  </si>
  <si>
    <t>BS-1.1.5.0.0.0</t>
  </si>
  <si>
    <t>Financial Assets Measured at Fair Value Through Profit or Loss</t>
  </si>
  <si>
    <t>1.1.5.1.0.0</t>
  </si>
  <si>
    <t>BS-1.1.5.1.0.0</t>
  </si>
  <si>
    <t>Sri Lanka Government Securities and Central Bank Securities</t>
  </si>
  <si>
    <t>1.1.5.2.0.0</t>
  </si>
  <si>
    <t>BS-1.1.5.2.0.0</t>
  </si>
  <si>
    <t>Equity Securities</t>
  </si>
  <si>
    <t>1.1.5.3.0.0</t>
  </si>
  <si>
    <t>BS-1.1.5.3.0.0</t>
  </si>
  <si>
    <t>Banks, Financial Institutions and Other Corporate Debt Securities</t>
  </si>
  <si>
    <t>1.1.5.4.0.0</t>
  </si>
  <si>
    <t>BS-1.1.5.4.0.0</t>
  </si>
  <si>
    <t>Unit Trusts</t>
  </si>
  <si>
    <t>1.1.5.5.0.0</t>
  </si>
  <si>
    <t>BS-1.1.5.5.0.0</t>
  </si>
  <si>
    <t>Other Financial Assets measured at Fair Value through Profit or Loss</t>
  </si>
  <si>
    <t>1.1.6.0.0.0</t>
  </si>
  <si>
    <t>BS-1.1.6.0.0.0</t>
  </si>
  <si>
    <t>Financial Assets Measured at Fair Value Through Other Comprehensive Income c</t>
  </si>
  <si>
    <t>1.1.6.1.0.0</t>
  </si>
  <si>
    <t>BS-1.1.6.1.0.0</t>
  </si>
  <si>
    <t>1.1.6.2.0.0</t>
  </si>
  <si>
    <t>BS-1.1.6.2.0.0</t>
  </si>
  <si>
    <t>1.1.6.3.0.0</t>
  </si>
  <si>
    <t>BS-1.1.6.3.0.0</t>
  </si>
  <si>
    <t>1.1.6.4.0.0</t>
  </si>
  <si>
    <t>BS-1.1.6.4.0.0</t>
  </si>
  <si>
    <t>1.1.6.5.0.0</t>
  </si>
  <si>
    <t>BS-1.1.6.5.0.0</t>
  </si>
  <si>
    <t>Other Financial Assets measured at Fair Value through Other Comprehensive Income</t>
  </si>
  <si>
    <t>1.1.7.0.0.0</t>
  </si>
  <si>
    <t>BS-1.1.7.0.0.0</t>
  </si>
  <si>
    <t>Financial Assets Measured at Amortized Cost - Debt and Other Financial Instruments c,d</t>
  </si>
  <si>
    <t>1.1.7.1.0.0</t>
  </si>
  <si>
    <t>BS-1.1.7.1.0.0</t>
  </si>
  <si>
    <t>1.1.7.2.0.0</t>
  </si>
  <si>
    <t>BS-1.1.7.2.0.0</t>
  </si>
  <si>
    <t>1.1.7.3.0.0</t>
  </si>
  <si>
    <t>BS-1.1.7.3.0.0</t>
  </si>
  <si>
    <t>1.1.7.4.0.0</t>
  </si>
  <si>
    <t>BS-1.1.7.4.0.0</t>
  </si>
  <si>
    <t>Other Financial Assets measured at amortized cost</t>
  </si>
  <si>
    <t>1.1.8.0.0.0</t>
  </si>
  <si>
    <t>BS-1.1.8.0.0.0</t>
  </si>
  <si>
    <t>Financial Assets Measured at Amortized Cost – Loans and Advances</t>
  </si>
  <si>
    <t>1.1.8.1.0.0</t>
  </si>
  <si>
    <t>BS-1.1.8.1.0.0</t>
  </si>
  <si>
    <t>Stage 01: Loans and Advances c</t>
  </si>
  <si>
    <t>1.1.8.1.1.0</t>
  </si>
  <si>
    <t>BS-1.1.8.1.1.0</t>
  </si>
  <si>
    <t>Loans and Advances</t>
  </si>
  <si>
    <t>1.1.8.1.2.0</t>
  </si>
  <si>
    <t>BS-1.1.8.1.2.0</t>
  </si>
  <si>
    <t>Impairment(-)</t>
  </si>
  <si>
    <t>1.1.8.2.0.0</t>
  </si>
  <si>
    <t>BS-1.1.8.2.0.0</t>
  </si>
  <si>
    <t>Stage 02: Loans and Advances c</t>
  </si>
  <si>
    <t>1.1.8.2.1.0</t>
  </si>
  <si>
    <t>BS-1.1.8.2.1.0</t>
  </si>
  <si>
    <t>1.1.8.2.2.0</t>
  </si>
  <si>
    <t>BS-1.1.8.2.2.0</t>
  </si>
  <si>
    <t>1.1.8.3.0.0</t>
  </si>
  <si>
    <t>BS-1.1.8.3.0.0</t>
  </si>
  <si>
    <t>Stage 03: Loans and Advances c</t>
  </si>
  <si>
    <t>1.1.8.3.1.0</t>
  </si>
  <si>
    <t>BS-1.1.8.3.1.0</t>
  </si>
  <si>
    <t>1.1.8.3.2.0</t>
  </si>
  <si>
    <t>BS-1.1.8.3.2.0</t>
  </si>
  <si>
    <t>1.1.9.0.0.0</t>
  </si>
  <si>
    <t>BS-1.1.9.0.0.0</t>
  </si>
  <si>
    <t>Financial Assets Measured at Amortized Cost – Due from Related Parties</t>
  </si>
  <si>
    <t>1.1.9.1.0.0</t>
  </si>
  <si>
    <t>BS-1.1.9.1.0.0</t>
  </si>
  <si>
    <t>1.1.9.1.1.0</t>
  </si>
  <si>
    <t>BS-1.1.9.1.1.0</t>
  </si>
  <si>
    <t>1.1.9.1.2.0</t>
  </si>
  <si>
    <t>BS-1.1.9.1.2.0</t>
  </si>
  <si>
    <t>1.1.9.2.0.0</t>
  </si>
  <si>
    <t>BS-1.1.9.2.0.0</t>
  </si>
  <si>
    <t>1.1.9.2.1.0</t>
  </si>
  <si>
    <t>BS-1.1.9.2.1.0</t>
  </si>
  <si>
    <t>1.1.9.2.2.0</t>
  </si>
  <si>
    <t>BS-1.1.9.2.2.0</t>
  </si>
  <si>
    <t>1.1.9.3.0.0</t>
  </si>
  <si>
    <t>BS-1.1.9.3.0.0</t>
  </si>
  <si>
    <t>1.1.9.3.1.0</t>
  </si>
  <si>
    <t>BS-1.1.9.3.1.0</t>
  </si>
  <si>
    <t>1.1.9.3.2.0</t>
  </si>
  <si>
    <t>BS-1.1.9.3.2.0</t>
  </si>
  <si>
    <t>1.1.10.0.0.0</t>
  </si>
  <si>
    <t>BS-1.1.10.0.0.0</t>
  </si>
  <si>
    <t>Investment in Equity Instruments in Other Entities c</t>
  </si>
  <si>
    <t>1.1.10.1.0.0</t>
  </si>
  <si>
    <t>BS-1.1.10.1.0.0</t>
  </si>
  <si>
    <t>Subsidiaries</t>
  </si>
  <si>
    <t>1.1.10.2.0.0</t>
  </si>
  <si>
    <t>BS-1.1.10.2.0.0</t>
  </si>
  <si>
    <t>Associates</t>
  </si>
  <si>
    <t>1.1.10.3.0.0</t>
  </si>
  <si>
    <t>BS-1.1.10.3.0.0</t>
  </si>
  <si>
    <t>Joint Ventures and Arrangements</t>
  </si>
  <si>
    <t>1.1.11.0.0.0</t>
  </si>
  <si>
    <t>BS-1.1.11.0.0.0</t>
  </si>
  <si>
    <t>Investment Properties and Real Estates c</t>
  </si>
  <si>
    <t>1.1.11.1.0.0</t>
  </si>
  <si>
    <t>BS-1.1.11.1.0.0</t>
  </si>
  <si>
    <t>Investment properties</t>
  </si>
  <si>
    <t>1.1.11.2.0.0</t>
  </si>
  <si>
    <t>BS-1.1.11.2.0.0</t>
  </si>
  <si>
    <t>Net Revaluation Gain/Loss (+/-)</t>
  </si>
  <si>
    <t>1.1.11.3.0.0</t>
  </si>
  <si>
    <t>BS-1.1.11.3.0.0</t>
  </si>
  <si>
    <t>Real estate and other immovable properties held for trading purposes</t>
  </si>
  <si>
    <t>1.1.12.0.0.0</t>
  </si>
  <si>
    <t>BS-1.1.12.0.0.0</t>
  </si>
  <si>
    <t>Property, Plant and Equipment c</t>
  </si>
  <si>
    <t>1.1.12.1.0.0</t>
  </si>
  <si>
    <t>BS-1.1.12.1.0.0</t>
  </si>
  <si>
    <t>Land and Buildings</t>
  </si>
  <si>
    <t>1.1.12.2.0.0</t>
  </si>
  <si>
    <t>BS-1.1.12.2.0.0</t>
  </si>
  <si>
    <t>Computer Equipment</t>
  </si>
  <si>
    <t>1.1.12.3.0.0</t>
  </si>
  <si>
    <t>BS-1.1.12.3.0.0</t>
  </si>
  <si>
    <t>Motor Vehicles</t>
  </si>
  <si>
    <t>1.1.12.4.0.0</t>
  </si>
  <si>
    <t>BS-1.1.12.4.0.0</t>
  </si>
  <si>
    <t>Office Equipment, Furniture and Fittings</t>
  </si>
  <si>
    <t>1.1.12.5.0.0</t>
  </si>
  <si>
    <t>BS-1.1.12.5.0.0</t>
  </si>
  <si>
    <t>Capital Work-in progress</t>
  </si>
  <si>
    <t>1.1.12.6.0.0</t>
  </si>
  <si>
    <t>BS-1.1.12.6.0.0</t>
  </si>
  <si>
    <t>Others</t>
  </si>
  <si>
    <t>1.1.13.0.0.0</t>
  </si>
  <si>
    <t>BS-1.1.13.0.0.0</t>
  </si>
  <si>
    <t>Right of Use Assets c</t>
  </si>
  <si>
    <t>1.1.14.0.0.0</t>
  </si>
  <si>
    <t>BS-1.1.14.0.0.0</t>
  </si>
  <si>
    <t>Intangible Assets c</t>
  </si>
  <si>
    <t>1.1.14.1.0.0</t>
  </si>
  <si>
    <t>BS-1.1.14.1.0.0</t>
  </si>
  <si>
    <t>Goodwill</t>
  </si>
  <si>
    <t>1.1.14.2.0.0</t>
  </si>
  <si>
    <t>BS-1.1.14.2.0.0</t>
  </si>
  <si>
    <t>License / Trade Mark</t>
  </si>
  <si>
    <t>1.1.14.3.0.0</t>
  </si>
  <si>
    <t>BS-1.1.14.3.0.0</t>
  </si>
  <si>
    <t>Computer Software</t>
  </si>
  <si>
    <t>1.1.14.4.0.0</t>
  </si>
  <si>
    <t>BS-1.1.14.4.0.0</t>
  </si>
  <si>
    <t>Research &amp; Development</t>
  </si>
  <si>
    <t>1.1.14.5.0.0</t>
  </si>
  <si>
    <t>BS-1.1.14.5.0.0</t>
  </si>
  <si>
    <t>1.1.15.0.0.0</t>
  </si>
  <si>
    <t>BS-1.1.15.0.0.0</t>
  </si>
  <si>
    <t>Deferred Tax Assets</t>
  </si>
  <si>
    <t>1.1.16.0.0.0</t>
  </si>
  <si>
    <t>BS-1.1.16.0.0.0</t>
  </si>
  <si>
    <t>Defined Benefit Plan Assets</t>
  </si>
  <si>
    <t>1.1.17.0.0.0</t>
  </si>
  <si>
    <t>BS-1.1.17.0.0.0</t>
  </si>
  <si>
    <t>Other Dues from Related Parties c</t>
  </si>
  <si>
    <t>1.1.18.0.0.0</t>
  </si>
  <si>
    <t>BS-1.1.18.0.0.0</t>
  </si>
  <si>
    <t>Other Assets c</t>
  </si>
  <si>
    <t>1.2.0.0.0.0</t>
  </si>
  <si>
    <t>BS-1.2.0.0.0.0</t>
  </si>
  <si>
    <t>Liabilities b</t>
  </si>
  <si>
    <t>1.2.1.0.0.0</t>
  </si>
  <si>
    <t>BS-1.2.1.0.0.0</t>
  </si>
  <si>
    <t>Financial Liabilities measured at Amortized Cost - Due to Financial Institutions d</t>
  </si>
  <si>
    <t>1.2.1.1.0.0</t>
  </si>
  <si>
    <t>BS-1.2.1.1.0.0</t>
  </si>
  <si>
    <t>Overdraft Facilities</t>
  </si>
  <si>
    <t>1.2.1.2.0.0</t>
  </si>
  <si>
    <t>BS-1.2.1.2.0.0</t>
  </si>
  <si>
    <t>Term Loans</t>
  </si>
  <si>
    <t>1.2.1.3.0.0</t>
  </si>
  <si>
    <t>BS-1.2.1.3.0.0</t>
  </si>
  <si>
    <t>Securitization Loans</t>
  </si>
  <si>
    <t>1.2.1.4.0.0</t>
  </si>
  <si>
    <t>BS-1.2.1.4.0.0</t>
  </si>
  <si>
    <t>Foreign Currency Exposures</t>
  </si>
  <si>
    <t>1.2.1.5.0.0</t>
  </si>
  <si>
    <t>BS-1.2.1.5.0.0</t>
  </si>
  <si>
    <t>Central Bank and Sri Lanka Deposit Insurance and Liquidity Support Scheme</t>
  </si>
  <si>
    <t>1.2.1.6.0.0</t>
  </si>
  <si>
    <t>BS-1.2.1.6.0.0</t>
  </si>
  <si>
    <t>Other Exposures</t>
  </si>
  <si>
    <t>1.2.2.0.0.0</t>
  </si>
  <si>
    <t>BS-1.2.2.0.0.0</t>
  </si>
  <si>
    <t>Financial Liabilities measured at Amortized Cost - (Deposits) Due to Customers</t>
  </si>
  <si>
    <t>1.2.2.1.0.0</t>
  </si>
  <si>
    <t>BS-1.2.2.1.0.0</t>
  </si>
  <si>
    <t>Savings Deposits (LKR)</t>
  </si>
  <si>
    <t>1.2.2.2.0.0</t>
  </si>
  <si>
    <t>BS-1.2.2.2.0.0</t>
  </si>
  <si>
    <t>Institutional Time deposits (LKR)</t>
  </si>
  <si>
    <t>1.2.2.3.0.0</t>
  </si>
  <si>
    <t>BS-1.2.2.3.0.0</t>
  </si>
  <si>
    <t>Retail Time deposits (LKR)</t>
  </si>
  <si>
    <t>1.2.2.4.0.0</t>
  </si>
  <si>
    <t>BS-1.2.2.4.0.0</t>
  </si>
  <si>
    <t>Recurring Time Deposits (LKR)</t>
  </si>
  <si>
    <t>1.2.2.5.0.0</t>
  </si>
  <si>
    <t>BS-1.2.2.5.0.0</t>
  </si>
  <si>
    <t>Foreign Currency Deposits</t>
  </si>
  <si>
    <t>1.2.2.6.0.0</t>
  </si>
  <si>
    <t>BS-1.2.2.6.0.0</t>
  </si>
  <si>
    <t>Dormant Deposits</t>
  </si>
  <si>
    <t>1.2.2.7.0.0</t>
  </si>
  <si>
    <t>BS-1.2.2.7.0.0</t>
  </si>
  <si>
    <t>Other Deposits</t>
  </si>
  <si>
    <t>1.2.3.0.0.0</t>
  </si>
  <si>
    <t>BS-1.2.3.0.0.0</t>
  </si>
  <si>
    <t>Derivative Financial Liabilities</t>
  </si>
  <si>
    <t>1.2.3.1.0.0</t>
  </si>
  <si>
    <t>BS-1.2.3.1.0.0</t>
  </si>
  <si>
    <t>1.2.3.2.0.0</t>
  </si>
  <si>
    <t>BS-1.2.3.2.0.0</t>
  </si>
  <si>
    <t>1.2.3.3.0.0</t>
  </si>
  <si>
    <t>BS-1.2.3.3.0.0</t>
  </si>
  <si>
    <t>Swaps</t>
  </si>
  <si>
    <t>1.2.3.4.0.0</t>
  </si>
  <si>
    <t>BS-1.2.3.4.0.0</t>
  </si>
  <si>
    <t>Options</t>
  </si>
  <si>
    <t>1.2.3.5.0.0</t>
  </si>
  <si>
    <t>BS-1.2.3.5.0.0</t>
  </si>
  <si>
    <t>1.2.4.0.0.0</t>
  </si>
  <si>
    <t>BS-1.2.4.0.0.0</t>
  </si>
  <si>
    <t xml:space="preserve">Securities Sold under Repurchase Agreements </t>
  </si>
  <si>
    <t>1.2.4.1.0.0</t>
  </si>
  <si>
    <t>BS-1.2.4.1.0.0</t>
  </si>
  <si>
    <t>1.2.4.2.0.0</t>
  </si>
  <si>
    <t>BS-1.2.4.2.0.0</t>
  </si>
  <si>
    <t>1.2.4.3.0.0</t>
  </si>
  <si>
    <t>BS-1.2.4.3.0.0</t>
  </si>
  <si>
    <t>1.2.4.4.0.0</t>
  </si>
  <si>
    <t>BS-1.2.4.4.0.0</t>
  </si>
  <si>
    <t>1.2.4.5.0.0</t>
  </si>
  <si>
    <t>BS-1.2.4.5.0.0</t>
  </si>
  <si>
    <t>1.2.4.6.0.0</t>
  </si>
  <si>
    <t>BS-1.2.4.6.0.0</t>
  </si>
  <si>
    <t>1.2.5.0.0.0</t>
  </si>
  <si>
    <t>BS-1.2.5.0.0.0</t>
  </si>
  <si>
    <t>Debt Securities and Other Borrowings from Non-Financial Institutions</t>
  </si>
  <si>
    <t>1.2.5.1.0.0</t>
  </si>
  <si>
    <t>BS-1.2.5.1.0.0</t>
  </si>
  <si>
    <t>Debentures / Bonds</t>
  </si>
  <si>
    <t>1.2.5.2.0.0</t>
  </si>
  <si>
    <t>BS-1.2.5.2.0.0</t>
  </si>
  <si>
    <t>Preference Shares</t>
  </si>
  <si>
    <t>1.2.5.3.0.0</t>
  </si>
  <si>
    <t>BS-1.2.5.3.0.0</t>
  </si>
  <si>
    <t>Convertible Debt Securities</t>
  </si>
  <si>
    <t>1.2.5.4.0.0</t>
  </si>
  <si>
    <t>BS-1.2.5.4.0.0</t>
  </si>
  <si>
    <t>1.2.5.5.0.0</t>
  </si>
  <si>
    <t>BS-1.2.5.5.0.0</t>
  </si>
  <si>
    <t>1.2.5.6.0.0</t>
  </si>
  <si>
    <t>BS-1.2.5.6.0.0</t>
  </si>
  <si>
    <t>1.2.6.0.0.0</t>
  </si>
  <si>
    <t>BS-1.2.6.0.0.0</t>
  </si>
  <si>
    <t>Lease Liabilities</t>
  </si>
  <si>
    <t>1.2.7.0.0.0</t>
  </si>
  <si>
    <t>BS-1.2.7.0.0.0</t>
  </si>
  <si>
    <t>Current Tax Liabilities</t>
  </si>
  <si>
    <t>1.2.8.0.0.0</t>
  </si>
  <si>
    <t>BS-1.2.8.0.0.0</t>
  </si>
  <si>
    <t>Deferred Tax Liabilities</t>
  </si>
  <si>
    <t>1.2.9.0.0.0</t>
  </si>
  <si>
    <t>BS-1.2.9.0.0.0</t>
  </si>
  <si>
    <t>Defined Benefit Obligation</t>
  </si>
  <si>
    <t>1.2.10.0.0.0</t>
  </si>
  <si>
    <t>BS-1.2.10.0.0.0</t>
  </si>
  <si>
    <t>Due to Related Parties</t>
  </si>
  <si>
    <t>1.2.11.0.0.0</t>
  </si>
  <si>
    <t>BS-1.2.11.0.0.0</t>
  </si>
  <si>
    <t>Other Liabilities</t>
  </si>
  <si>
    <t>1.3.0.0.0.0</t>
  </si>
  <si>
    <t>BS-1.3.0.0.0.0</t>
  </si>
  <si>
    <t>Equity</t>
  </si>
  <si>
    <t>1.3.1.0.0.0</t>
  </si>
  <si>
    <t>BS-1.3.1.0.0.0</t>
  </si>
  <si>
    <t>Stated Capital</t>
  </si>
  <si>
    <t>1.3.2.0.0.0</t>
  </si>
  <si>
    <t>BS-1.3.2.0.0.0</t>
  </si>
  <si>
    <t>Reserves</t>
  </si>
  <si>
    <t>1.3.3.0.0.0</t>
  </si>
  <si>
    <t>BS-1.3.3.0.0.0</t>
  </si>
  <si>
    <t>Retained Earnings</t>
  </si>
  <si>
    <t>1.3.4.0.0.0</t>
  </si>
  <si>
    <t>BS-1.3.4.0.0.0</t>
  </si>
  <si>
    <t>NBD-MF-11-IS:Interest Rate Sensitivity</t>
  </si>
  <si>
    <t>Monthly Financial Return (LKR '000)</t>
  </si>
  <si>
    <t>Code</t>
  </si>
  <si>
    <t>Assets or Liability 1(a)</t>
  </si>
  <si>
    <t>0 to 1 Month 
(b)</t>
  </si>
  <si>
    <t>0 to 3 Months 
(c)</t>
  </si>
  <si>
    <t>0 to 6 Months 
(d)</t>
  </si>
  <si>
    <t>0 to 12 Months 
(e)</t>
  </si>
  <si>
    <t>11.1.0.0.0.0</t>
  </si>
  <si>
    <t>Interest Bearing Assets</t>
  </si>
  <si>
    <t>11.1.1.0.0.0</t>
  </si>
  <si>
    <t>Bank Balances and Placements</t>
  </si>
  <si>
    <t>11.1.2.0.0.0</t>
  </si>
  <si>
    <t>Treasury Bills and Bonds</t>
  </si>
  <si>
    <t>11.1.3.0.0.0</t>
  </si>
  <si>
    <t>Securities and Investments</t>
  </si>
  <si>
    <t>11.1.4.0.0.0</t>
  </si>
  <si>
    <t>Loans &amp; Advances</t>
  </si>
  <si>
    <t>11.1.5.0.0.0</t>
  </si>
  <si>
    <t>11.2.0.0.0.0</t>
  </si>
  <si>
    <t>Interest Bearing Liabilities</t>
  </si>
  <si>
    <t>11.2.1.0.0.0</t>
  </si>
  <si>
    <t>Deposits</t>
  </si>
  <si>
    <t>11.2.2.0.0.0</t>
  </si>
  <si>
    <t>Borrowings</t>
  </si>
  <si>
    <t>11.2.3.0.0.0</t>
  </si>
  <si>
    <t>11.3.0.0.0.0</t>
  </si>
  <si>
    <t>Net Rate Sensitive Assets (Liabilities) (11.1.0.0.0-11.2.0.0.0)</t>
  </si>
  <si>
    <t>11.4.0.0.0.0</t>
  </si>
  <si>
    <t>Interest Rate Sensitivity Ratio /2 (11.1.0.0.0/11.2.0.0.0)*100</t>
  </si>
  <si>
    <t xml:space="preserve">	NBD-MF-10-GA:Maturity Gap Analysis</t>
  </si>
  <si>
    <t>Assets or Liability 
(a)</t>
  </si>
  <si>
    <t>Less than 7 Days (b)</t>
  </si>
  <si>
    <t>7-30 Days 
(c)</t>
  </si>
  <si>
    <t>1-3 Months 
(d)</t>
  </si>
  <si>
    <t>3-6 Months 
(e)</t>
  </si>
  <si>
    <t>6-12 Months 
(f)</t>
  </si>
  <si>
    <t>1-3 Years 
(g)</t>
  </si>
  <si>
    <t>3-5 Years 
(h)</t>
  </si>
  <si>
    <t>Over 5 Years 
(i)</t>
  </si>
  <si>
    <t>Unclassified 
(j)</t>
  </si>
  <si>
    <t>Total 
(i)</t>
  </si>
  <si>
    <t>As per BS</t>
  </si>
  <si>
    <t>Difference</t>
  </si>
  <si>
    <t>10.1.0.0.0.0</t>
  </si>
  <si>
    <t>Total Assets</t>
  </si>
  <si>
    <t>10.1.1.0.0.0</t>
  </si>
  <si>
    <t>Cash</t>
  </si>
  <si>
    <t>10.1.2.0.0.0</t>
  </si>
  <si>
    <t>Due from Banks</t>
  </si>
  <si>
    <t>10.1.3.0.0.0</t>
  </si>
  <si>
    <t>Investments-Current</t>
  </si>
  <si>
    <t>Sasianet report to be discussed</t>
  </si>
  <si>
    <t>10.1.4.0.0.0</t>
  </si>
  <si>
    <t>Investments-Non-performing/2</t>
  </si>
  <si>
    <t>10.1.5.0.0.0</t>
  </si>
  <si>
    <t>Loans &amp; Advances - Current</t>
  </si>
  <si>
    <t>10.1.6.0.0.0</t>
  </si>
  <si>
    <t>Loans &amp; Advances - Non-performing/2</t>
  </si>
  <si>
    <t>10.1.7.0.0.0</t>
  </si>
  <si>
    <t>Fixed Assets</t>
  </si>
  <si>
    <t>10.1.8.0.0.0</t>
  </si>
  <si>
    <t>Other Assets</t>
  </si>
  <si>
    <t>10.2.0.0.0.0</t>
  </si>
  <si>
    <t>Total Liabilities</t>
  </si>
  <si>
    <t>10.2.1.0.0.0</t>
  </si>
  <si>
    <t>Total Capital Fund</t>
  </si>
  <si>
    <t>10.2.2.0.0.0</t>
  </si>
  <si>
    <t>Scienter report to be discussed</t>
  </si>
  <si>
    <t>10.2.3.0.0.0</t>
  </si>
  <si>
    <t>10.2.4.0.0.0</t>
  </si>
  <si>
    <t>10.3.4.0.0.0</t>
  </si>
  <si>
    <t>Maturity Gap (10.1.0.0.0-10.2.0.0.0)</t>
  </si>
  <si>
    <t>10.4.4.0.0.0</t>
  </si>
  <si>
    <t>Cumulative Gap</t>
  </si>
  <si>
    <t>TA</t>
  </si>
  <si>
    <t>TL</t>
  </si>
  <si>
    <t>Short Term</t>
  </si>
  <si>
    <t>Long Term</t>
  </si>
  <si>
    <t>CSV_NBD-MF-11-IS</t>
  </si>
  <si>
    <t>CSV_NBD-MF-10-GA</t>
  </si>
  <si>
    <t>Less than 7 Days</t>
  </si>
  <si>
    <t>7-30 Days</t>
  </si>
  <si>
    <t>1-3 Months</t>
  </si>
  <si>
    <t>3-6 Months</t>
  </si>
  <si>
    <t>6-12 Months</t>
  </si>
  <si>
    <t>1-3 Years</t>
  </si>
  <si>
    <t>3-5 Years</t>
  </si>
  <si>
    <t>Over 5 Years</t>
  </si>
  <si>
    <t>Total</t>
  </si>
  <si>
    <t>Treasury Bonds</t>
  </si>
  <si>
    <t>ISIN</t>
  </si>
  <si>
    <t>Cost</t>
  </si>
  <si>
    <t>Rate</t>
  </si>
  <si>
    <t>Date of Investment</t>
  </si>
  <si>
    <t>Date of Maturity</t>
  </si>
  <si>
    <t>Coupon</t>
  </si>
  <si>
    <t>Face Value</t>
  </si>
  <si>
    <t xml:space="preserve">Value As per IFRSs </t>
  </si>
  <si>
    <t>M2M Gain/(Loss)</t>
  </si>
  <si>
    <t>Bucket</t>
  </si>
  <si>
    <t>National Development Bank PLC</t>
  </si>
  <si>
    <t>LKB00931E153</t>
  </si>
  <si>
    <t>LKB00628A153</t>
  </si>
  <si>
    <t>LKB00729G156</t>
  </si>
  <si>
    <t>Capital Alliance PLC</t>
  </si>
  <si>
    <t>LKB01027F156</t>
  </si>
  <si>
    <t>LKB00426E154</t>
  </si>
  <si>
    <t>LKB00527E019</t>
  </si>
  <si>
    <t>LKB00527I150</t>
  </si>
  <si>
    <t>Interest receivable</t>
  </si>
  <si>
    <t>Provision for Impairment</t>
  </si>
  <si>
    <t>Fixed Deposits</t>
  </si>
  <si>
    <t>Institution</t>
  </si>
  <si>
    <t>Reference Number</t>
  </si>
  <si>
    <t>Currency</t>
  </si>
  <si>
    <t>Value in USD</t>
  </si>
  <si>
    <t>Value in LKR (000)</t>
  </si>
  <si>
    <t>Days</t>
  </si>
  <si>
    <t>Nations Trust Bank</t>
  </si>
  <si>
    <t>PI20241129-124</t>
  </si>
  <si>
    <t>USD</t>
  </si>
  <si>
    <t>PI20241129-125</t>
  </si>
  <si>
    <t>PI20241129-126</t>
  </si>
  <si>
    <t>Exchange Gain or Loss</t>
  </si>
  <si>
    <t>Provision for Impairment on FD</t>
  </si>
  <si>
    <t>Repos &amp; Treasury Bills</t>
  </si>
  <si>
    <t>Instrument</t>
  </si>
  <si>
    <t>Tenor</t>
  </si>
  <si>
    <t>Interest Receivable</t>
  </si>
  <si>
    <t>Months</t>
  </si>
  <si>
    <t>DFCC Bank PLC</t>
  </si>
  <si>
    <t>RF20250516-004</t>
  </si>
  <si>
    <t>LKB00428B156</t>
  </si>
  <si>
    <t>123 (days)</t>
  </si>
  <si>
    <t>RF20250516-003</t>
  </si>
  <si>
    <t>FD &amp; Bank Balances</t>
  </si>
  <si>
    <t>IFRS Code</t>
  </si>
  <si>
    <t>GL Code</t>
  </si>
  <si>
    <t>Account Name</t>
  </si>
  <si>
    <t>Balance</t>
  </si>
  <si>
    <t>Diff</t>
  </si>
  <si>
    <t>0185</t>
  </si>
  <si>
    <t>REPOSSESSED ASSETS - LEASING</t>
  </si>
  <si>
    <t>0186</t>
  </si>
  <si>
    <t>REPOSSESSED ASSETS - HIRE PURCHASE</t>
  </si>
  <si>
    <t>1248</t>
  </si>
  <si>
    <t>THREE WHEELER STOCK</t>
  </si>
  <si>
    <t>0153</t>
  </si>
  <si>
    <t>CURRENT ACCOUNT - AMPARA</t>
  </si>
  <si>
    <t>0154</t>
  </si>
  <si>
    <t>CURRENT ACCOUNT - ANURADHAPURA</t>
  </si>
  <si>
    <t>0155</t>
  </si>
  <si>
    <t>CURRENT ACCOUNT - BADULLA</t>
  </si>
  <si>
    <t>0156</t>
  </si>
  <si>
    <t>CURRENT ACCOUNT - CHILAW</t>
  </si>
  <si>
    <t>0157</t>
  </si>
  <si>
    <t>CURRENT ACCOUNT - DAMBULLA</t>
  </si>
  <si>
    <t>0158</t>
  </si>
  <si>
    <t>CURRENT ACCOUNT - DEHIATTAKANDIYA</t>
  </si>
  <si>
    <t>0159</t>
  </si>
  <si>
    <t>CURRENT ACCOUNT - EMBILIPITIYA</t>
  </si>
  <si>
    <t>0160</t>
  </si>
  <si>
    <t>CURRENT ACCOUNT - GALLE</t>
  </si>
  <si>
    <t>0161</t>
  </si>
  <si>
    <t>CURRENT ACCOUNT - HEAD OFFICE</t>
  </si>
  <si>
    <t>0162</t>
  </si>
  <si>
    <t>CURRENT ACCOUNT - KANDY</t>
  </si>
  <si>
    <t>0163</t>
  </si>
  <si>
    <t>CURRENT ACCOUNT - KURUNEGALA</t>
  </si>
  <si>
    <t>0164</t>
  </si>
  <si>
    <t>CURRENT ACCOUNT - MADAPATHA</t>
  </si>
  <si>
    <t>0165</t>
  </si>
  <si>
    <t>CURRENT ACCOUNT - MATHUGAMA</t>
  </si>
  <si>
    <t>0166</t>
  </si>
  <si>
    <t>CURRENT ACCOUNT - MATARA</t>
  </si>
  <si>
    <t>0167</t>
  </si>
  <si>
    <t>CURRENT ACCOUNT - MONARAGALA</t>
  </si>
  <si>
    <t>0168</t>
  </si>
  <si>
    <t>CURRENT ACCOUNT - NEGOMBO</t>
  </si>
  <si>
    <t>0169</t>
  </si>
  <si>
    <t>CURRENT ACCOUNT - NUWARA ELIYA</t>
  </si>
  <si>
    <t>0170</t>
  </si>
  <si>
    <t>CURRENT ACCOUNT - POLONNARUWA</t>
  </si>
  <si>
    <t>0171</t>
  </si>
  <si>
    <t>CURRENT ACCOUNT - PUTTALAM</t>
  </si>
  <si>
    <t>0172</t>
  </si>
  <si>
    <t>CURRENT ACCOUNT - RATNAPURA</t>
  </si>
  <si>
    <t>0173</t>
  </si>
  <si>
    <t>CURRENT ACCOUNT - TISSAMAHARAMA</t>
  </si>
  <si>
    <t>0174</t>
  </si>
  <si>
    <t>CURRENT ACCOUNT - YAKKALA</t>
  </si>
  <si>
    <t>0187</t>
  </si>
  <si>
    <t>ADVERTISING CHARGES RECOVARABLE</t>
  </si>
  <si>
    <t>0198</t>
  </si>
  <si>
    <t>RENT DEPOSITS</t>
  </si>
  <si>
    <t>0200</t>
  </si>
  <si>
    <t>REFUNDABLE SECURITY DEPOSITS</t>
  </si>
  <si>
    <t>0201</t>
  </si>
  <si>
    <t>S.S.P. CORPORATE SERVICES LTD.</t>
  </si>
  <si>
    <t>0202</t>
  </si>
  <si>
    <t>STAFF LOANS AND ADVANCES</t>
  </si>
  <si>
    <t>0269</t>
  </si>
  <si>
    <t>DP INSURANCE BROKERS LIMITED</t>
  </si>
  <si>
    <t>0283</t>
  </si>
  <si>
    <t>DP GLOBAL SECURITIES (PVT) lTD</t>
  </si>
  <si>
    <t>0394</t>
  </si>
  <si>
    <t>ADVANCES</t>
  </si>
  <si>
    <t>0431</t>
  </si>
  <si>
    <t>CURRENT ACCOUNT - KALUTHARA</t>
  </si>
  <si>
    <t>0435</t>
  </si>
  <si>
    <t>CURRENT ACCOUNT - AMBALANTHOTA</t>
  </si>
  <si>
    <t>0457</t>
  </si>
  <si>
    <t>CURRENT ACCOUNT - BATTARAMULLA</t>
  </si>
  <si>
    <t>0952</t>
  </si>
  <si>
    <t>OTHER RECEIVABLE CONTRA A/C</t>
  </si>
  <si>
    <t>0953</t>
  </si>
  <si>
    <t>REFUNDS ON CANCELLED INSURANCE POLICIES</t>
  </si>
  <si>
    <t>0954</t>
  </si>
  <si>
    <t>PARKING CHARGES RECOVERABLE</t>
  </si>
  <si>
    <t>1151</t>
  </si>
  <si>
    <t>TELEPHONE OVERCHARGES RECOVERABLE</t>
  </si>
  <si>
    <t>1153</t>
  </si>
  <si>
    <t>CURRENT ACCOUNT - BATTICALOA</t>
  </si>
  <si>
    <t>1171</t>
  </si>
  <si>
    <t>RECEIPT CONFIRMATION SUSPENSE</t>
  </si>
  <si>
    <t>1197</t>
  </si>
  <si>
    <t>ADVANCE PAYMENT OF BULK PURCHASE-3W</t>
  </si>
  <si>
    <t>1212</t>
  </si>
  <si>
    <t>DP GLOBAL VENTURES (PVT) LTD</t>
  </si>
  <si>
    <t>1218</t>
  </si>
  <si>
    <t>CURRENT ACCOUNT - PILIYANDALA</t>
  </si>
  <si>
    <t>1219</t>
  </si>
  <si>
    <t>CURRENT ACCOUNT - TRINCOMALEE</t>
  </si>
  <si>
    <t>1259</t>
  </si>
  <si>
    <t>CURRENT ACCOUNT - VAUNIYA</t>
  </si>
  <si>
    <t>1262</t>
  </si>
  <si>
    <t>CURRENT ACCOUNT - KEGALLE</t>
  </si>
  <si>
    <t>1312</t>
  </si>
  <si>
    <t>CURRENT ACCOUNT - HQ (BATTARAMULLA)</t>
  </si>
  <si>
    <t>1314</t>
  </si>
  <si>
    <t>CURRENT ACCOUNT - JAFFNA</t>
  </si>
  <si>
    <t>1321</t>
  </si>
  <si>
    <t>INTER COMPANY RECOVERABLE- ASSETLINE SECURITY</t>
  </si>
  <si>
    <t>1322</t>
  </si>
  <si>
    <t>INTER COMPANY RECOVERABLE- ASSETLINE INSURANCE</t>
  </si>
  <si>
    <t>1323</t>
  </si>
  <si>
    <t>INTER COMPANY RECOVERABLE- ASSETLINE CAPITAL</t>
  </si>
  <si>
    <t>1324</t>
  </si>
  <si>
    <t>INTER COMPANY RECOVERABLE- DP CORPORATE</t>
  </si>
  <si>
    <t>1325</t>
  </si>
  <si>
    <t>INTER COMPANY RECOVERABLE- DPMCFS</t>
  </si>
  <si>
    <t>1367</t>
  </si>
  <si>
    <t>CURRENT ACCOUNT - BALANGODA</t>
  </si>
  <si>
    <t>1416</t>
  </si>
  <si>
    <t>INTEREST RECOVERABLE FROM BANKS</t>
  </si>
  <si>
    <t>1443</t>
  </si>
  <si>
    <t>PREPAID INSURANCE EXPENSES</t>
  </si>
  <si>
    <t>1445</t>
  </si>
  <si>
    <t>DEFERRED EXPENSES</t>
  </si>
  <si>
    <t>1469</t>
  </si>
  <si>
    <t>DP LOGISTICS PVT LTD</t>
  </si>
  <si>
    <t>1482</t>
  </si>
  <si>
    <t>CURRENT ACCOUNT - DENIYAYA BRANCH</t>
  </si>
  <si>
    <t>1774</t>
  </si>
  <si>
    <t>UNIDENTIFIED DEBIT – CURRENT ACCOUNT NO (SAMPATH) – 001210005834</t>
  </si>
  <si>
    <t>1775</t>
  </si>
  <si>
    <t>UNIDENTIFIED DEBIT – CURRENT ACCOUNT NO (SAMPATH) – 001210005826</t>
  </si>
  <si>
    <t>1776</t>
  </si>
  <si>
    <t>UNIDENTIFIED DEBIT – CURRENT ACCOUNT NO (SCB) - 01-3671127-01</t>
  </si>
  <si>
    <t>1777</t>
  </si>
  <si>
    <t>UNIDENTIFIED DEBIT– C/A (PEOPLE'S) - 004-1-001-3-4105239</t>
  </si>
  <si>
    <t>1778</t>
  </si>
  <si>
    <t>UNIDENTIFIED DEBIT CURRENT ACCOUNT NO (COMM) – 1415607201</t>
  </si>
  <si>
    <t>1780</t>
  </si>
  <si>
    <t>UNIDENTIFIED DEBIT HNB-141</t>
  </si>
  <si>
    <t>1824</t>
  </si>
  <si>
    <t>UNIDENTIFIED DEBIT PEOPLE'S BANK NARAHENPITA-119-1-001-0000-7018</t>
  </si>
  <si>
    <t>1838</t>
  </si>
  <si>
    <t>EXPENSES RECOVERABLE FROM SPORT CLUB</t>
  </si>
  <si>
    <t>1858</t>
  </si>
  <si>
    <t>CRIB CHARGES PAYABLE</t>
  </si>
  <si>
    <t>1905</t>
  </si>
  <si>
    <t>INTER COMPANY RECOVERABLE - DPA</t>
  </si>
  <si>
    <t>1906</t>
  </si>
  <si>
    <t>INTER COMPANY RECOVERABLE - DPIT</t>
  </si>
  <si>
    <t>1923</t>
  </si>
  <si>
    <t>ADVANCE PAYMENT &amp; OTHER RECEIVABLE - LISVIN</t>
  </si>
  <si>
    <t>1949</t>
  </si>
  <si>
    <t>INIDENTIFIED DEBIT-SAMPATH SAVING-941</t>
  </si>
  <si>
    <t>2031</t>
  </si>
  <si>
    <t>UNIDENTIFIED DEBIT NTB - 006100022820</t>
  </si>
  <si>
    <t>2066</t>
  </si>
  <si>
    <t>RENT INCOME RECOVERABLE</t>
  </si>
  <si>
    <t>2112</t>
  </si>
  <si>
    <t>CASH SHORT IN EASY PAY MACHINE</t>
  </si>
  <si>
    <t>2126</t>
  </si>
  <si>
    <t>INTER COMPANY RECOVERABLE DPA-(SALE OF VEHICLE)</t>
  </si>
  <si>
    <t>2136</t>
  </si>
  <si>
    <t>EXPENSES RECOVERABLE FROM BUILDING TENANT</t>
  </si>
  <si>
    <t>2250</t>
  </si>
  <si>
    <t>SALE PROCEED RECEIVABLE FROM FIXED ASSETS SALE</t>
  </si>
  <si>
    <t>2260</t>
  </si>
  <si>
    <t>INTER COMPANY RECOVARABLE-HILL COTTAGE NUWARAELIYA</t>
  </si>
  <si>
    <t>2263</t>
  </si>
  <si>
    <t>DIVIDEND TAX PAYABLE</t>
  </si>
  <si>
    <t>2299</t>
  </si>
  <si>
    <t>UNIDINTIFIED DEBIT- CURRENT ACCOUNT- 001210005923</t>
  </si>
  <si>
    <t>2350</t>
  </si>
  <si>
    <t>WHT PAYABLE ON RENT EXPENSE</t>
  </si>
  <si>
    <t>2387</t>
  </si>
  <si>
    <t>INTER COMPNAY RECEIVABLE -DPRL</t>
  </si>
  <si>
    <t>2394</t>
  </si>
  <si>
    <t>WHT RECEIVABLE ON BUILDING RENT INCOME</t>
  </si>
  <si>
    <t>2403</t>
  </si>
  <si>
    <t>ACCURED EXPENSE CONTROL - DPMC LOCATION</t>
  </si>
  <si>
    <t>2409</t>
  </si>
  <si>
    <t>INTER COMPANY PAYABLE - ASPL</t>
  </si>
  <si>
    <t>2412</t>
  </si>
  <si>
    <t>INTER COMPANY PAYABLE - DPIT</t>
  </si>
  <si>
    <t>2424</t>
  </si>
  <si>
    <t>INTER COMPANY RECEIVABLE - DPMCPL</t>
  </si>
  <si>
    <t>2428</t>
  </si>
  <si>
    <t>INTER COMPANY RECOVARABLE DP INFO TECH</t>
  </si>
  <si>
    <t>0253</t>
  </si>
  <si>
    <t>RENT PAYABLE</t>
  </si>
  <si>
    <t>2567</t>
  </si>
  <si>
    <t>OVERPAYMNET- DEALER FINANCE</t>
  </si>
  <si>
    <t>2429</t>
  </si>
  <si>
    <t>INTER COMPANY PAYABLE - DP INFOR TECH</t>
  </si>
  <si>
    <t>0433</t>
  </si>
  <si>
    <t>VAT RECOVERABLE</t>
  </si>
  <si>
    <t>2597</t>
  </si>
  <si>
    <t>DEFERRED INTEREST IN SUSPENSE</t>
  </si>
  <si>
    <t>1460</t>
  </si>
  <si>
    <t>FIXED ASSETS CREDITORS</t>
  </si>
  <si>
    <t>1893</t>
  </si>
  <si>
    <t>INTER COMPANY RECOVERABLE FROM DPMC LANKA (PVT)</t>
  </si>
  <si>
    <t>2423</t>
  </si>
  <si>
    <t>INTER COMPANY RECEIVABLE - DPHPL</t>
  </si>
  <si>
    <t>2335</t>
  </si>
  <si>
    <t>WITHHOLDING TAX RECOVERABLE ON SAVINGS ACCOUNT</t>
  </si>
  <si>
    <t>0258</t>
  </si>
  <si>
    <t>WATER CHARGES PAYABLE</t>
  </si>
  <si>
    <t>2355</t>
  </si>
  <si>
    <t>WITH HOLDING TAX PAYABLE</t>
  </si>
  <si>
    <t>2336</t>
  </si>
  <si>
    <t>WITHHOLDING TAX RECOVERABLE ON FIXED DEPOSITS</t>
  </si>
  <si>
    <t>2690</t>
  </si>
  <si>
    <t>DEFFERED PROVISION FOR PREPAID PROMOTION</t>
  </si>
  <si>
    <t>2691</t>
  </si>
  <si>
    <t>INTER COMPANY RECOVERABLE -  ASSETLINE LANDS</t>
  </si>
  <si>
    <t>0252</t>
  </si>
  <si>
    <t>R.M.V CHARGES PAYABLE</t>
  </si>
  <si>
    <t>2408</t>
  </si>
  <si>
    <t>INTER COMPANY PAYABLE - AIBL</t>
  </si>
  <si>
    <t>0443</t>
  </si>
  <si>
    <t>POSTING SUSPENSE</t>
  </si>
  <si>
    <t>2692</t>
  </si>
  <si>
    <t>INTER COMPANY PAYABLE        -   ASSETLINE LANDS</t>
  </si>
  <si>
    <t>2410</t>
  </si>
  <si>
    <t>INTER COMPANY PAYABLE - DPTECH</t>
  </si>
  <si>
    <t>0288</t>
  </si>
  <si>
    <t>DEFERRED TAX PAYABLE</t>
  </si>
  <si>
    <t>0425</t>
  </si>
  <si>
    <t>GIFT ITEM CHARGES PAYABLE</t>
  </si>
  <si>
    <t>1385</t>
  </si>
  <si>
    <t>MSL CONTRA ACCOUNT</t>
  </si>
  <si>
    <t>0266</t>
  </si>
  <si>
    <t>1150</t>
  </si>
  <si>
    <t>CASH SHORTAGE OR EXCESS - R.M.R.L.RUKSHAN (AM)</t>
  </si>
  <si>
    <t>0406</t>
  </si>
  <si>
    <t>CASH MISAPPROPRIATION</t>
  </si>
  <si>
    <t>2116</t>
  </si>
  <si>
    <t>INTRODCUCER COMMISSION PAYABLE</t>
  </si>
  <si>
    <t>2413</t>
  </si>
  <si>
    <t>INTER COMPANY PAYABLE - DPL</t>
  </si>
  <si>
    <t>000</t>
  </si>
  <si>
    <t>Other Dues from Related Parties</t>
  </si>
  <si>
    <t>0 - 3 Months</t>
  </si>
  <si>
    <t>3 - 6 Months</t>
  </si>
  <si>
    <t>6 - 12 Months</t>
  </si>
  <si>
    <t>1 - 3 Years</t>
  </si>
  <si>
    <t>3 - 5 Years</t>
  </si>
  <si>
    <t>Source of Facility</t>
  </si>
  <si>
    <t>Type of Rate</t>
  </si>
  <si>
    <t>Amount</t>
  </si>
  <si>
    <t>Maturity Date</t>
  </si>
  <si>
    <t>Residual Period</t>
  </si>
  <si>
    <t>Row Labels</t>
  </si>
  <si>
    <t>Sum of Amount</t>
  </si>
  <si>
    <t>BOC</t>
  </si>
  <si>
    <t>STL</t>
  </si>
  <si>
    <t>1. Less than 7 Days</t>
  </si>
  <si>
    <t>HNB</t>
  </si>
  <si>
    <t>2. 7-30 Days</t>
  </si>
  <si>
    <t>3. 1-3 Months</t>
  </si>
  <si>
    <t>Sampath</t>
  </si>
  <si>
    <t>4. 3-6 Months</t>
  </si>
  <si>
    <t>Seylan</t>
  </si>
  <si>
    <t>5. 6-12 Months</t>
  </si>
  <si>
    <t>Seylan LT 3</t>
  </si>
  <si>
    <t>LTL</t>
  </si>
  <si>
    <t>6. 1-3 Years</t>
  </si>
  <si>
    <t>7. 3-5 Years</t>
  </si>
  <si>
    <t>DFCC LT</t>
  </si>
  <si>
    <t>8. Over 5 Years</t>
  </si>
  <si>
    <t>Grand Total</t>
  </si>
  <si>
    <t>NTB LT 3</t>
  </si>
  <si>
    <t>Diff here</t>
  </si>
  <si>
    <t>Seylan LT</t>
  </si>
  <si>
    <t>Commercial Bank</t>
  </si>
  <si>
    <t>Forign Funding</t>
  </si>
  <si>
    <t>NTB LT 2</t>
  </si>
  <si>
    <t>RPT Loan - Capital</t>
  </si>
  <si>
    <t>RPT Loan - Interest</t>
  </si>
  <si>
    <t>Total RPT</t>
  </si>
  <si>
    <t>Bank Borrowings</t>
  </si>
  <si>
    <t>Cargills LT</t>
  </si>
  <si>
    <t>NDB</t>
  </si>
  <si>
    <t>Commercial Bank LT 3</t>
  </si>
  <si>
    <t>Commercial Bank LT 2</t>
  </si>
  <si>
    <t>Sampath Bank LT</t>
  </si>
  <si>
    <t>HNB LT 2</t>
  </si>
  <si>
    <t>PABC</t>
  </si>
  <si>
    <t>NDB LT</t>
  </si>
  <si>
    <t>Seylan LT 4</t>
  </si>
  <si>
    <t>HNB LT</t>
  </si>
  <si>
    <t>Seylan LT 5</t>
  </si>
  <si>
    <t>NTB LT 1</t>
  </si>
  <si>
    <t>Blue Orchard</t>
  </si>
  <si>
    <t>Gross</t>
  </si>
  <si>
    <t>Rec</t>
  </si>
  <si>
    <t>Future Capital</t>
  </si>
  <si>
    <t>NP Total</t>
  </si>
  <si>
    <t>Margin Trading</t>
  </si>
  <si>
    <t>LE - NP</t>
  </si>
  <si>
    <t>Lease &amp; Loan</t>
  </si>
  <si>
    <t>LN - NP</t>
  </si>
  <si>
    <t>P Total</t>
  </si>
  <si>
    <t>(-) IIS</t>
  </si>
  <si>
    <t>LE - P</t>
  </si>
  <si>
    <t>(-) IMP</t>
  </si>
  <si>
    <t>LN - P</t>
  </si>
  <si>
    <t>Base</t>
  </si>
  <si>
    <t>Arrears</t>
  </si>
  <si>
    <t>MOI</t>
  </si>
  <si>
    <t>Int Receivable</t>
  </si>
  <si>
    <t>Deffered Promotion</t>
  </si>
  <si>
    <t>IIS</t>
  </si>
  <si>
    <t>Total IFRS Provision</t>
  </si>
  <si>
    <t>NP</t>
  </si>
  <si>
    <t>Lease</t>
  </si>
  <si>
    <t>Loan</t>
  </si>
  <si>
    <t>P</t>
  </si>
  <si>
    <t>Total Provision</t>
  </si>
  <si>
    <t>MT</t>
  </si>
  <si>
    <t>Future CAP</t>
  </si>
  <si>
    <t>DP</t>
  </si>
  <si>
    <t>FD Loans</t>
  </si>
  <si>
    <t>IMP</t>
  </si>
  <si>
    <t>Total P</t>
  </si>
  <si>
    <t>Front Back</t>
  </si>
  <si>
    <t>Total NP</t>
  </si>
  <si>
    <t>2741</t>
  </si>
  <si>
    <t>LOAN DEBTOR AGAINST FIXED DEPOSIT</t>
  </si>
  <si>
    <t>2740</t>
  </si>
  <si>
    <t>INTEREST RECEIVABLE FOR LOAN DEBTOR FIXED DEPOSIT</t>
  </si>
  <si>
    <t>A</t>
  </si>
  <si>
    <t>0196</t>
  </si>
  <si>
    <t>ECONOMIC SERVICE CHARGES RECOVARABLE</t>
  </si>
  <si>
    <t>0197</t>
  </si>
  <si>
    <t>WITH HOLDING TAX RECOVARABLE</t>
  </si>
  <si>
    <t>0213</t>
  </si>
  <si>
    <t>OVERPAYMENTS - HIRE PURCHASE</t>
  </si>
  <si>
    <t>0214</t>
  </si>
  <si>
    <t>OVERPAYMENTS - LOAN</t>
  </si>
  <si>
    <t>0215</t>
  </si>
  <si>
    <t>OVERPAYMENTS -DEALER FINANCE</t>
  </si>
  <si>
    <t>0216</t>
  </si>
  <si>
    <t>OVERPAYMENTS -DEALER REFINANCE</t>
  </si>
  <si>
    <t>0217</t>
  </si>
  <si>
    <t>OVERPAYMENTS -TRADE FINANCE</t>
  </si>
  <si>
    <t>0242</t>
  </si>
  <si>
    <t>VAT SUSPENCE</t>
  </si>
  <si>
    <t>0246</t>
  </si>
  <si>
    <t>GRATUITY PAYABLE</t>
  </si>
  <si>
    <t>0249</t>
  </si>
  <si>
    <t>LEASE CREDITORS</t>
  </si>
  <si>
    <t>0250</t>
  </si>
  <si>
    <t>LEGAL FEES PAYABLE</t>
  </si>
  <si>
    <t>0251</t>
  </si>
  <si>
    <t>OTHER CHARGES PAYABLE</t>
  </si>
  <si>
    <t>0254</t>
  </si>
  <si>
    <t>SALARIES PAYABLE</t>
  </si>
  <si>
    <t>0255</t>
  </si>
  <si>
    <t>SEIZING CHARGES PAYABLE</t>
  </si>
  <si>
    <t>0256</t>
  </si>
  <si>
    <t>SUNDRY CREDITORS</t>
  </si>
  <si>
    <t>0257</t>
  </si>
  <si>
    <t>TELEPHONE PAYABLE</t>
  </si>
  <si>
    <t>0259</t>
  </si>
  <si>
    <t>ELECTRICITY PAYABLE</t>
  </si>
  <si>
    <t>0260</t>
  </si>
  <si>
    <t>RESIDUAL DEPOSIT</t>
  </si>
  <si>
    <t>0261</t>
  </si>
  <si>
    <t>SECURITY DEPOSITS</t>
  </si>
  <si>
    <t>0262</t>
  </si>
  <si>
    <t>ESC PAYABLE</t>
  </si>
  <si>
    <t>0263</t>
  </si>
  <si>
    <t>VAT CONTROL</t>
  </si>
  <si>
    <t>0264</t>
  </si>
  <si>
    <t>INCOME TAX PAYABLE</t>
  </si>
  <si>
    <t>0265</t>
  </si>
  <si>
    <t>STAMP DUTY PAYABLE</t>
  </si>
  <si>
    <t>0268</t>
  </si>
  <si>
    <t>BANK GUARANTEE DEPOSITS</t>
  </si>
  <si>
    <t>0272</t>
  </si>
  <si>
    <t>OPEN ARC SYSTEMS MANAGEMENT (PVT) LTD.</t>
  </si>
  <si>
    <t>0396</t>
  </si>
  <si>
    <t>E.P.F PAYABLE</t>
  </si>
  <si>
    <t>0397</t>
  </si>
  <si>
    <t>E.T.F PAYABLE</t>
  </si>
  <si>
    <t>0409</t>
  </si>
  <si>
    <t>TRANSFER CREDIT-LEASE DEBTORS LEGAL</t>
  </si>
  <si>
    <t>0416</t>
  </si>
  <si>
    <t>ADVANCE RENTAL COLLECTED ON ARREARS FACILITIES</t>
  </si>
  <si>
    <t>0427</t>
  </si>
  <si>
    <t>VAT ON FINANCIAL SERVICE A/C PAYABLE</t>
  </si>
  <si>
    <t>0436</t>
  </si>
  <si>
    <t>RECEIPTS IN SUSPENSE - UNIDENTIFIED</t>
  </si>
  <si>
    <t>0450</t>
  </si>
  <si>
    <t>TRADE FINANCE - SUSPENSE</t>
  </si>
  <si>
    <t>0460</t>
  </si>
  <si>
    <t>CASH MISAPPROPRIATION - HO (D.D.C.DANGAMPALA)</t>
  </si>
  <si>
    <t>0463</t>
  </si>
  <si>
    <t>CASH SHORTAGE OR EXCESS/A.V.JAYAWARDENA</t>
  </si>
  <si>
    <t>0464</t>
  </si>
  <si>
    <t>MANAGEMENT FEES PAYABLE</t>
  </si>
  <si>
    <t>0955</t>
  </si>
  <si>
    <t>CASH SHORTAGE OR EXCESS/M.K.P.I.KUMARA</t>
  </si>
  <si>
    <t>1148</t>
  </si>
  <si>
    <t>STAMP DUTY PAYABLE - SME</t>
  </si>
  <si>
    <t>1169</t>
  </si>
  <si>
    <t>CASH MISAPROPRIATION - HO (R.Y.MADDUMAHEWA)</t>
  </si>
  <si>
    <t>1170</t>
  </si>
  <si>
    <t>CASH MISAPROPRIATION - HO (K.P.H.SILVA)</t>
  </si>
  <si>
    <t>1179</t>
  </si>
  <si>
    <t>CASH SHORTAGE OR EXCESS- P.V.R.P.A.B.ASMADALA</t>
  </si>
  <si>
    <t>1190</t>
  </si>
  <si>
    <t>TRANSPORT CHARGES INCOME</t>
  </si>
  <si>
    <t>1192</t>
  </si>
  <si>
    <t>UNIDENTIFIED BANK DEPOSIT</t>
  </si>
  <si>
    <t>1244</t>
  </si>
  <si>
    <t>CASH SHORTAGE OR EXCESS - D.G.L.L DEHIGAMPALA</t>
  </si>
  <si>
    <t>1249</t>
  </si>
  <si>
    <t>TRADE CREDITORS - UNPRESENTED CHEQUES</t>
  </si>
  <si>
    <t>1253</t>
  </si>
  <si>
    <t>CASH SHORTAGE OR EXCESS - D.M.L.J.BANDARA (PL)</t>
  </si>
  <si>
    <t>1266</t>
  </si>
  <si>
    <t>CASH SHORTAGE OR EXCESS - PAL ASELA (AM)</t>
  </si>
  <si>
    <t>1330</t>
  </si>
  <si>
    <t>PROVISION FOR BONUS</t>
  </si>
  <si>
    <t>1355</t>
  </si>
  <si>
    <t>VEHICLE TRANSFER FEES CONTROL ACCOUNT</t>
  </si>
  <si>
    <t>1362</t>
  </si>
  <si>
    <t>LEASE ASSET DISPOSAL ACCOUNT</t>
  </si>
  <si>
    <t>1400</t>
  </si>
  <si>
    <t>WHT RECOVERABLE ON COMMERCIAL PAPERS</t>
  </si>
  <si>
    <t>1401</t>
  </si>
  <si>
    <t>ACCRUED INSURANCE EXPENSES</t>
  </si>
  <si>
    <t>1463</t>
  </si>
  <si>
    <t>OVERPAYMENTS - SME</t>
  </si>
  <si>
    <t>1468</t>
  </si>
  <si>
    <t>UNCLAIMED DIVIDENDS</t>
  </si>
  <si>
    <t>1476</t>
  </si>
  <si>
    <t>LOAN INSTALMENTS IN ARREARS - DF -NEW</t>
  </si>
  <si>
    <t>1546</t>
  </si>
  <si>
    <t>SEMI LUXURY TAX PAYABLE</t>
  </si>
  <si>
    <t>1550</t>
  </si>
  <si>
    <t>UNIDENTIFIED DEPOSIT - SAMPATH BANK A/C NO. 001210005923</t>
  </si>
  <si>
    <t>1554</t>
  </si>
  <si>
    <t>EMPLOYEES DEATH DONATION FUND</t>
  </si>
  <si>
    <t>1618</t>
  </si>
  <si>
    <t>UNIDENTIFIED DEPOSIT - PEOPLES BANK 002</t>
  </si>
  <si>
    <t>1669</t>
  </si>
  <si>
    <t>NBT PAYABLE</t>
  </si>
  <si>
    <t>1674</t>
  </si>
  <si>
    <t>PROVISION FOR GUARANTEE FEE</t>
  </si>
  <si>
    <t>1693</t>
  </si>
  <si>
    <t>UNIDENTIFIED DEPOSIT COM-BANK -1415607201</t>
  </si>
  <si>
    <t>1694</t>
  </si>
  <si>
    <t>WHT RECOVERABLE ON LOANS</t>
  </si>
  <si>
    <t>1731</t>
  </si>
  <si>
    <t>Cash Misappropriation Account</t>
  </si>
  <si>
    <t>1756</t>
  </si>
  <si>
    <t>UNIDENTIFIED DEPOSIT-HNB 141</t>
  </si>
  <si>
    <t>1770</t>
  </si>
  <si>
    <t>UNIDENTIFIED DEPOSIT – CURRENT ACCOUNT NO (SAMPATH) – 001210005834</t>
  </si>
  <si>
    <t>1771</t>
  </si>
  <si>
    <t>UNIDENTIFIED DEPOSIT – CURRENT ACCOUNT NO (SAMPATH) - 001210005826</t>
  </si>
  <si>
    <t>1772</t>
  </si>
  <si>
    <t>UNIDENTIFIED DEPOSIT – CURRENT ACCOUNT NO (SCB) - 01-3671127-01</t>
  </si>
  <si>
    <t>1797</t>
  </si>
  <si>
    <t>PAYABLE OF MEMBER'S CONTRIBUTION TO SPORTS CLUB</t>
  </si>
  <si>
    <t>1798</t>
  </si>
  <si>
    <t>EMPLOYEE FACILITY DEDUCTION PAYABLE</t>
  </si>
  <si>
    <t>1823</t>
  </si>
  <si>
    <t>PAYE TAX PAYABLE</t>
  </si>
  <si>
    <t>1825</t>
  </si>
  <si>
    <t>UNIDENTIFIED DEPOSIT- PEOPLE'S BANK NARAHENPITA-119-1-001-0000-7018</t>
  </si>
  <si>
    <t>INTER COMPANY RECOVERABLE FROM DPMC</t>
  </si>
  <si>
    <t>1899</t>
  </si>
  <si>
    <t>UNIDENTIFIED DEPOSIT PEOPLE'S BANK 001- 004-1-001-3-4105239</t>
  </si>
  <si>
    <t>1907</t>
  </si>
  <si>
    <t>INTER COMPANY RECOVERABLE - DP TECHNOLOGIES</t>
  </si>
  <si>
    <t>1908</t>
  </si>
  <si>
    <t>SALARY DEDUCTION FOR INCOME FUND</t>
  </si>
  <si>
    <t>1934</t>
  </si>
  <si>
    <t>MOTOR VEHICLE LEASE RENTALS PAYABLE</t>
  </si>
  <si>
    <t>1935</t>
  </si>
  <si>
    <t>MOTOR VEHICLE LEASE RANTAL PAYABLE</t>
  </si>
  <si>
    <t>1937</t>
  </si>
  <si>
    <t>VAT SURCHARGES PAYABLE</t>
  </si>
  <si>
    <t>1979</t>
  </si>
  <si>
    <t>OVERPAYMENT-PLADGE LOAN</t>
  </si>
  <si>
    <t>1980</t>
  </si>
  <si>
    <t>OVERPAYMENT-REVOLVING LOAN</t>
  </si>
  <si>
    <t>1983</t>
  </si>
  <si>
    <t>OTHER CHARGES PAYABLE-LOAN</t>
  </si>
  <si>
    <t>2076</t>
  </si>
  <si>
    <t>INTRODUCER COMMISSION COLLECTED FROM CLIENT</t>
  </si>
  <si>
    <t>2098</t>
  </si>
  <si>
    <t>OTHER CHARGES PAYABLE-COMMERCAIL CREDIT</t>
  </si>
  <si>
    <t>2100</t>
  </si>
  <si>
    <t>OVERPAYMENT-COMMERCAIL CREDIT</t>
  </si>
  <si>
    <t>2120</t>
  </si>
  <si>
    <t>TRADE CREDITOR UNPRESENTED-COM (202)</t>
  </si>
  <si>
    <t>2143</t>
  </si>
  <si>
    <t>NBT PAYABLE FOR VAT ON FS INCOME</t>
  </si>
  <si>
    <t>2148</t>
  </si>
  <si>
    <t>OVERPAYMENT REFUND PENDING DISBURSED</t>
  </si>
  <si>
    <t>2155</t>
  </si>
  <si>
    <t>OTHER CHARGES PAYABLE-ASSET DRAFT</t>
  </si>
  <si>
    <t>2158</t>
  </si>
  <si>
    <t>OVERPAYMENT-MICRO FINANCE</t>
  </si>
  <si>
    <t>2164</t>
  </si>
  <si>
    <t>UNIDINTIFIED DEPOSIT CURRENT A/C-HNB-003010510426</t>
  </si>
  <si>
    <t>2218</t>
  </si>
  <si>
    <t>JANITORIAL CHARGES-PAYABLE</t>
  </si>
  <si>
    <t>2222</t>
  </si>
  <si>
    <t>ESC RECOVERABLE</t>
  </si>
  <si>
    <t>2226</t>
  </si>
  <si>
    <t>TRADE CREDITOR UNPRESENTED-SCB</t>
  </si>
  <si>
    <t>2253</t>
  </si>
  <si>
    <t>VEHICLE REGISTRATION FEES PAYABLE</t>
  </si>
  <si>
    <t>2266</t>
  </si>
  <si>
    <t>PROVISONAL CUSTOMER ADVANCES</t>
  </si>
  <si>
    <t>2323</t>
  </si>
  <si>
    <t>UN IDENTIFIED DEPOSIT - CURRENT ACCOUNT NO(BOC) - 0081267250</t>
  </si>
  <si>
    <t>2346</t>
  </si>
  <si>
    <t>UNIDENTIFIED DEPOSIT-COMMERCAIL -202</t>
  </si>
  <si>
    <t>2351</t>
  </si>
  <si>
    <t>WHT PAYABLE ON SPECEFIED FEE</t>
  </si>
  <si>
    <t>2404</t>
  </si>
  <si>
    <t>ACCURED EXPENSE MERGE LOCATION - DPMC (PVT) LTD</t>
  </si>
  <si>
    <t>2405</t>
  </si>
  <si>
    <t>INTER COMPANY PAYABLE -DPMCPL</t>
  </si>
  <si>
    <t>2406</t>
  </si>
  <si>
    <t>INTER COMPANY PAYABLE - ACPL</t>
  </si>
  <si>
    <t>2407</t>
  </si>
  <si>
    <t>INTER COMPANY PAYABLE - ACSPL</t>
  </si>
  <si>
    <t>2411</t>
  </si>
  <si>
    <t>INTER COMPANY PAYABLE - DPHPL</t>
  </si>
  <si>
    <t>2414</t>
  </si>
  <si>
    <t>INTER COMPANY PAYABLE - DPMCAHPL</t>
  </si>
  <si>
    <t>2415</t>
  </si>
  <si>
    <t>INTER COMPANY PAYABLE - DPRL</t>
  </si>
  <si>
    <t>2422</t>
  </si>
  <si>
    <t>INTER COMPANY PAYABLE - DPA</t>
  </si>
  <si>
    <t>2435</t>
  </si>
  <si>
    <t>USED VEHICLE TRANSFER FEE PAYABLE</t>
  </si>
  <si>
    <t>2563</t>
  </si>
  <si>
    <t>UNIDENTIFIED DEPOSITS - CARGILLS BANK</t>
  </si>
  <si>
    <t>2676</t>
  </si>
  <si>
    <t>PROVISION FOR IMPAIRMENT FOR TREASURY BOND</t>
  </si>
  <si>
    <t>2673</t>
  </si>
  <si>
    <t>SSCL PAYABLE ACCOUNT</t>
  </si>
  <si>
    <t>0465</t>
  </si>
  <si>
    <t>HIRING/RENT INCOME RECEIVABLE</t>
  </si>
  <si>
    <t>2677</t>
  </si>
  <si>
    <t>MARGIN TRADING CLIENT OVERPAYMENT</t>
  </si>
  <si>
    <t>1981</t>
  </si>
  <si>
    <t>OVERPAYMENT-INVOICE DISCOUNTING</t>
  </si>
  <si>
    <t>RECOVERABLE OF TOP UP INSURANCE PREMIUM FROM STAFF</t>
  </si>
  <si>
    <t>2465</t>
  </si>
  <si>
    <t>REPURCHASE/ PREMATURE SETTLE ACCOUNT (T)</t>
  </si>
  <si>
    <t>0245</t>
  </si>
  <si>
    <t>GARAGE FEES PAYABLE</t>
  </si>
  <si>
    <t>0212</t>
  </si>
  <si>
    <t>OVERPAYMENTS - LEASE</t>
  </si>
  <si>
    <t>0241</t>
  </si>
  <si>
    <t>RECEIPT SUSPENSE - LEASE</t>
  </si>
  <si>
    <t>0243</t>
  </si>
  <si>
    <t>AUDIT FEES PAYABLE</t>
  </si>
  <si>
    <t>0244</t>
  </si>
  <si>
    <t>ADVERTISING &amp; PROMOTION EXPENSES PAYABLE</t>
  </si>
  <si>
    <t>0247</t>
  </si>
  <si>
    <t>INSURANCE PAYABLE</t>
  </si>
  <si>
    <t>1860</t>
  </si>
  <si>
    <t>RENTAL COLLECTED FROM LEASE AND HP CLIENT IN LISVIN</t>
  </si>
  <si>
    <t>2726</t>
  </si>
  <si>
    <t>INTRODUCER COMMISSION PAYABLE -ASSET DRAFT</t>
  </si>
  <si>
    <t>2743</t>
  </si>
  <si>
    <t>WHT PAYEBLE FIXED DEPOSIT</t>
  </si>
  <si>
    <t>2870</t>
  </si>
  <si>
    <t>INTER COMPANY PAYABLE TO DPMC LANKA (PVT) LIMITED</t>
  </si>
  <si>
    <t>Account #</t>
  </si>
  <si>
    <t>Net Balance</t>
  </si>
  <si>
    <t>Vlook</t>
  </si>
  <si>
    <t>1629</t>
  </si>
  <si>
    <t>DOMESTIC COURIER CHARGES - HOROWPATHANA</t>
  </si>
  <si>
    <t>0630</t>
  </si>
  <si>
    <t>SALARIES &amp; WAGES - NEGOMBO</t>
  </si>
  <si>
    <t>0446</t>
  </si>
  <si>
    <t>ELECTRICITY - YAKKALA</t>
  </si>
  <si>
    <t>1898</t>
  </si>
  <si>
    <t>TRADE &amp; REVENUE LICENCES-MANNAR</t>
  </si>
  <si>
    <t>0130</t>
  </si>
  <si>
    <t>LEASE DEBTORS - LEGAL</t>
  </si>
  <si>
    <t>0017</t>
  </si>
  <si>
    <t>SERVICE CHARGES - LEASE</t>
  </si>
  <si>
    <t>1370</t>
  </si>
  <si>
    <t>TEA &amp; MEAL EXPENSES -BATTICALOA</t>
  </si>
  <si>
    <t>2159</t>
  </si>
  <si>
    <t>DEFAULT INTEREST-ASSET DRAFT</t>
  </si>
  <si>
    <t>2475</t>
  </si>
  <si>
    <t>FUNDING FROM SEC ISSUES / FACILITIES A/C (T)</t>
  </si>
  <si>
    <t>0739</t>
  </si>
  <si>
    <t>PRINTING &amp; STATIONERY - RATHNAPURA</t>
  </si>
  <si>
    <t>1384</t>
  </si>
  <si>
    <t>PRINTING &amp; STATIONERY - BALANGODA</t>
  </si>
  <si>
    <t>0664</t>
  </si>
  <si>
    <t>JANITORIAL &amp; SANITORY WORK - DAMBULLA</t>
  </si>
  <si>
    <t>2043</t>
  </si>
  <si>
    <t>TRAVELING &amp; SUBSISTANCE-WELLAWAYA</t>
  </si>
  <si>
    <t>2389</t>
  </si>
  <si>
    <t>POSTAGE &amp; STAMPS - BANDARAWELLA</t>
  </si>
  <si>
    <t>1310</t>
  </si>
  <si>
    <t>TRAVELLING &amp; SUBSISTANCE - WALASMULLA</t>
  </si>
  <si>
    <t>2169</t>
  </si>
  <si>
    <t>PROMOTIONS EXPENSE-ANURADHAPURA</t>
  </si>
  <si>
    <t>0585</t>
  </si>
  <si>
    <t>TELEPHONE CHARGES - MATARA</t>
  </si>
  <si>
    <t>1594</t>
  </si>
  <si>
    <t>PRINTING &amp; STATIONERY  - KULIYAPITIYA</t>
  </si>
  <si>
    <t>1972</t>
  </si>
  <si>
    <t>LOAN INSTALLMENT ARREASE-REVOLVING</t>
  </si>
  <si>
    <t>2294</t>
  </si>
  <si>
    <t>RENT EXPENSE -ELPITIYA</t>
  </si>
  <si>
    <t>1300</t>
  </si>
  <si>
    <t>DOMESTIC COURIER CHARGES - KEGALLE</t>
  </si>
  <si>
    <t>0045</t>
  </si>
  <si>
    <t>ELECTRICITY - HEAD OFFICE</t>
  </si>
  <si>
    <t>1352</t>
  </si>
  <si>
    <t>OFFICE EQUIPMENT MAINTENANCE - JAFFNA</t>
  </si>
  <si>
    <t>0771</t>
  </si>
  <si>
    <t>STAFF WELFARE &amp; BENEFITS - KANDY</t>
  </si>
  <si>
    <t>1221</t>
  </si>
  <si>
    <t>RENT EXPENSES - PILIYANDALA</t>
  </si>
  <si>
    <t>1356</t>
  </si>
  <si>
    <t>BUILDING MAINTENANCE - JAFFNA</t>
  </si>
  <si>
    <t>2538</t>
  </si>
  <si>
    <t>DATA COMMUNICATION CHARGES - BORELLA</t>
  </si>
  <si>
    <t>2438</t>
  </si>
  <si>
    <t>SECURITY EXPENSE - JAFFNA</t>
  </si>
  <si>
    <t>0423</t>
  </si>
  <si>
    <t>EXTRA SERVICE CHARGES RECOVERABLE</t>
  </si>
  <si>
    <t>0611</t>
  </si>
  <si>
    <t>OFFICE EQUIPMENT MAINTENANCE - AMBALANTOTA</t>
  </si>
  <si>
    <t>0659</t>
  </si>
  <si>
    <t>DOMESTIC COURIER CHARGES - AMBALANTOTA</t>
  </si>
  <si>
    <t>1915</t>
  </si>
  <si>
    <t>STAFF TRAINNIG-GAMPOLA</t>
  </si>
  <si>
    <t>1610</t>
  </si>
  <si>
    <t>RECOVERY VISIT EXPENSES - KULIYAPITIYA</t>
  </si>
  <si>
    <t>0754</t>
  </si>
  <si>
    <t>PRINTING &amp; STATIONERY - MATARA</t>
  </si>
  <si>
    <t>1960</t>
  </si>
  <si>
    <t>TELEPHONE CHARGES-GALEWALA</t>
  </si>
  <si>
    <t>0741</t>
  </si>
  <si>
    <t>PRINTING &amp; STATIONERY - TISSAMAHARAMA</t>
  </si>
  <si>
    <t>0053</t>
  </si>
  <si>
    <t>ELECTRICITY - BADULLA</t>
  </si>
  <si>
    <t>0927</t>
  </si>
  <si>
    <t>TRADE &amp; REVENUE LICENSE - KALUTARA</t>
  </si>
  <si>
    <t>2117</t>
  </si>
  <si>
    <t>SAMPATH BANK LTL - 302965000759</t>
  </si>
  <si>
    <t>1467</t>
  </si>
  <si>
    <t>ADVERTISING EXPENSES - MAHIYANGANAYA</t>
  </si>
  <si>
    <t>1166</t>
  </si>
  <si>
    <t>DOMESTIC COURIER CHARGES - BATTICALOA</t>
  </si>
  <si>
    <t>0024</t>
  </si>
  <si>
    <t>DEFAULT INTEREST - LOAN</t>
  </si>
  <si>
    <t>0717</t>
  </si>
  <si>
    <t>POSTAGE &amp; STAMPS - TISSAMAHARAMA</t>
  </si>
  <si>
    <t>1027</t>
  </si>
  <si>
    <t>STAFF BONUS - KALUTARA</t>
  </si>
  <si>
    <t>1914</t>
  </si>
  <si>
    <t>STAFF TRAINNIG-MATALE</t>
  </si>
  <si>
    <t>2068</t>
  </si>
  <si>
    <t>DOMESTIC COURIER CHARGES-HORANA</t>
  </si>
  <si>
    <t>0703</t>
  </si>
  <si>
    <t>WATER CHARGES - CHILAW</t>
  </si>
  <si>
    <t>2110</t>
  </si>
  <si>
    <t>FUEL &amp; OIL-DAMBULLA</t>
  </si>
  <si>
    <t>0452</t>
  </si>
  <si>
    <t>EARNED INCOME - SPARE PARTS</t>
  </si>
  <si>
    <t>1842</t>
  </si>
  <si>
    <t>FUEL &amp; OIL - GALLE</t>
  </si>
  <si>
    <t>2594</t>
  </si>
  <si>
    <t>ADVERTISING EXPENSE - NUGEGODA</t>
  </si>
  <si>
    <t>1144</t>
  </si>
  <si>
    <t>DEPRECIATION - COMPUTER SOFTWARE- BATTARAMULLA</t>
  </si>
  <si>
    <t>2834</t>
  </si>
  <si>
    <t>WATER CHARGES - KANDY CITY</t>
  </si>
  <si>
    <t>1866</t>
  </si>
  <si>
    <t>VEHICLE REPAIRS &amp; MAINTANANCE-MONORAGALA</t>
  </si>
  <si>
    <t>0620</t>
  </si>
  <si>
    <t>SALARIES &amp; WAGES - TISSAMAHARAMA</t>
  </si>
  <si>
    <t>2400</t>
  </si>
  <si>
    <t>TRADE FINANCE OTHER CHRAGES EXPENSE</t>
  </si>
  <si>
    <t>0808</t>
  </si>
  <si>
    <t>SUNDRY EXPENSES - MADAPATHA</t>
  </si>
  <si>
    <t>2854</t>
  </si>
  <si>
    <t>STAFF MEDICAL EXPENSES - KOTTAWA</t>
  </si>
  <si>
    <t>1697</t>
  </si>
  <si>
    <t>NEWS PAPER &amp; PERIODICALS-MATALE</t>
  </si>
  <si>
    <t>1004</t>
  </si>
  <si>
    <t>STAFF BONUS - AMPARA</t>
  </si>
  <si>
    <t>1075</t>
  </si>
  <si>
    <t>E.P.F. CONTRIBUTION - KALUTHARA</t>
  </si>
  <si>
    <t>0014</t>
  </si>
  <si>
    <t>EARNED INCOME-HIRE PURCHASE-P</t>
  </si>
  <si>
    <t>1752</t>
  </si>
  <si>
    <t>SAMPATH BANK-STL</t>
  </si>
  <si>
    <t>1104</t>
  </si>
  <si>
    <t>ENTERTAINMENT - YAKKALA</t>
  </si>
  <si>
    <t>2257</t>
  </si>
  <si>
    <t>SECURITY EXPENSES-KILINOCHCI</t>
  </si>
  <si>
    <t>0137</t>
  </si>
  <si>
    <t>LOAN DEALER REFINANCE - PRAGATHI</t>
  </si>
  <si>
    <t>1848</t>
  </si>
  <si>
    <t>MT BROKER CONTROL-SOFTLOGIC STOCKBROKER</t>
  </si>
  <si>
    <t>0986</t>
  </si>
  <si>
    <t>SALES COMMISSION - EMBILIPITIYA</t>
  </si>
  <si>
    <t>1097</t>
  </si>
  <si>
    <t>E.T.F. CONTRIBUTION- BATTARAMULLA</t>
  </si>
  <si>
    <t>2753</t>
  </si>
  <si>
    <t>CURRENT ACCOUNT - WELLAWATTA</t>
  </si>
  <si>
    <t>2396</t>
  </si>
  <si>
    <t>TRADE FINANCE LC COMMISSION INCOME</t>
  </si>
  <si>
    <t>1237</t>
  </si>
  <si>
    <t>SUNDRY EXPENSES - TRINCO</t>
  </si>
  <si>
    <t>2398</t>
  </si>
  <si>
    <t>TRADE FINANCE CHARGES RECEIVABLE</t>
  </si>
  <si>
    <t>2489</t>
  </si>
  <si>
    <t>PAYMENT SUSPENCE GROUP</t>
  </si>
  <si>
    <t>1359</t>
  </si>
  <si>
    <t>SALES COMMISSION -JAFFNA</t>
  </si>
  <si>
    <t>1804</t>
  </si>
  <si>
    <t>SECURITY EXPENSES- AKKARAPATTU</t>
  </si>
  <si>
    <t>0962</t>
  </si>
  <si>
    <t>RECOVERY VISIT EXPENSES - EMBILIPITIYA</t>
  </si>
  <si>
    <t>2245</t>
  </si>
  <si>
    <t>CURRENT LIABILITY OF SECURITIZATION</t>
  </si>
  <si>
    <t>0289</t>
  </si>
  <si>
    <t>BAD DEBTS-LEASE - SPECIFIC</t>
  </si>
  <si>
    <t>1060</t>
  </si>
  <si>
    <t>E.P.F. CONTRIBUTION - GALLE</t>
  </si>
  <si>
    <t>2583</t>
  </si>
  <si>
    <t>PROFESSIONAL CHARGES - NUGEGODA</t>
  </si>
  <si>
    <t>0982</t>
  </si>
  <si>
    <t>SALES COMMISSION - MADAPATHA</t>
  </si>
  <si>
    <t>2848</t>
  </si>
  <si>
    <t>POSTAGE &amp; STAMPS - KOTTAWA</t>
  </si>
  <si>
    <t>1615</t>
  </si>
  <si>
    <t>POSTAGE &amp; STAMPS - AKKARAIPATTU</t>
  </si>
  <si>
    <t>2474</t>
  </si>
  <si>
    <t>FUNDING SEC ISSUES COUP / FACILITIES A/C (TT)</t>
  </si>
  <si>
    <t>0124</t>
  </si>
  <si>
    <t>STAMP DUTY</t>
  </si>
  <si>
    <t>0152</t>
  </si>
  <si>
    <t>PETTYCASH CONTROL</t>
  </si>
  <si>
    <t>0030</t>
  </si>
  <si>
    <t>CHEQUE RETURN CHARGES</t>
  </si>
  <si>
    <t>1722</t>
  </si>
  <si>
    <t>TEA &amp; MEAL EXPENSES-KEKIRAWA</t>
  </si>
  <si>
    <t>1514</t>
  </si>
  <si>
    <t>ELECTRICITY - NIKAWERATIYA</t>
  </si>
  <si>
    <t>1195</t>
  </si>
  <si>
    <t>CURRENT ACCOUNT NO (SAMPATH) - 001210005923</t>
  </si>
  <si>
    <t>0831</t>
  </si>
  <si>
    <t>TEA &amp; MEAL EXPENSES - ANURADHAPURA</t>
  </si>
  <si>
    <t>2213</t>
  </si>
  <si>
    <t>DIRECTOR'S REMUNERATIONS</t>
  </si>
  <si>
    <t>0026</t>
  </si>
  <si>
    <t xml:space="preserve">Earned Income Pledge Loan </t>
  </si>
  <si>
    <t>0764</t>
  </si>
  <si>
    <t>STAFF WELFARE &amp; BENEFITS - EMBILIPITIYA</t>
  </si>
  <si>
    <t>1954</t>
  </si>
  <si>
    <t>STAFF WELFARE &amp; BENEFITS - GALEWELLA</t>
  </si>
  <si>
    <t>1666</t>
  </si>
  <si>
    <t>Water Charges - Matale</t>
  </si>
  <si>
    <t>0759</t>
  </si>
  <si>
    <t>STAFF WELFARE &amp; BENEFITS - ANURADHAPURA</t>
  </si>
  <si>
    <t>0679</t>
  </si>
  <si>
    <t>JANITORIAL &amp; SANITORY WORK - CHILAW</t>
  </si>
  <si>
    <t>1522</t>
  </si>
  <si>
    <t>TRAVELLING &amp; SUBSISTANCE - NIKAWERATIYA</t>
  </si>
  <si>
    <t>0652</t>
  </si>
  <si>
    <t>DOMESTIC COURIER CHARGES - NUWARA ELIYA</t>
  </si>
  <si>
    <t>0769</t>
  </si>
  <si>
    <t>STAFF WELFARE &amp; BENEFITS - POLONNARUWA</t>
  </si>
  <si>
    <t>2825</t>
  </si>
  <si>
    <t>RENT EXPENSES - KANDY CITY</t>
  </si>
  <si>
    <t>1260</t>
  </si>
  <si>
    <t>BUILDING MAINTENANCE - TRINCO</t>
  </si>
  <si>
    <t>2171</t>
  </si>
  <si>
    <t>PROMOTIONS EXPENSE-BADULLA</t>
  </si>
  <si>
    <t>SALE PROCEED RECEIVE FROM AUCTION VEHICLE</t>
  </si>
  <si>
    <t>1657</t>
  </si>
  <si>
    <t>ELECTRICITY CHARGES - MATALE</t>
  </si>
  <si>
    <t>2516</t>
  </si>
  <si>
    <t>CASH TRANSPORT CHARGES - AMBALANGODA</t>
  </si>
  <si>
    <t>2178</t>
  </si>
  <si>
    <t>PROMOTIONS EXPENSE-EMBILIPITIYA</t>
  </si>
  <si>
    <t>1395</t>
  </si>
  <si>
    <t>DATA COMMUNICATION CHARGES - BALANGODA</t>
  </si>
  <si>
    <t>0054</t>
  </si>
  <si>
    <t>ELECTRICITY - PUTTALAM</t>
  </si>
  <si>
    <t>1360</t>
  </si>
  <si>
    <t>DATA COMMUNICATION CHARGES - JAFFNA</t>
  </si>
  <si>
    <t>0597</t>
  </si>
  <si>
    <t>OFFICE EQUIPMENT MAINTENANCE - GALLE</t>
  </si>
  <si>
    <t>1577</t>
  </si>
  <si>
    <t>WATER CHARGES  - GAMPOLA</t>
  </si>
  <si>
    <t>2078</t>
  </si>
  <si>
    <t>OFFICE EQUIPMENT MAINTENANCE-MULLAITTIVU</t>
  </si>
  <si>
    <t>1157</t>
  </si>
  <si>
    <t>INTEREST INCOME ON MORATORIUM DEBTOR - LEASE</t>
  </si>
  <si>
    <t>2857</t>
  </si>
  <si>
    <t>TEA &amp; MEAL EXPENSES - KOTTAWA</t>
  </si>
  <si>
    <t>1573</t>
  </si>
  <si>
    <t>TELEPHONE CHARGES  - GAMPOLA</t>
  </si>
  <si>
    <t>2008</t>
  </si>
  <si>
    <t>CURRENT A/C- (UNION BANK)- 0080 1010 0001 2220</t>
  </si>
  <si>
    <t>0552</t>
  </si>
  <si>
    <t>DATA COMMUNICATION CHARGES - DEHIATTAKANDIYA</t>
  </si>
  <si>
    <t>1394</t>
  </si>
  <si>
    <t>TELEPHONE CHARGES - BALANGODA</t>
  </si>
  <si>
    <t>2837</t>
  </si>
  <si>
    <t>POSTAGE &amp; STAMPS - MAWANELLA</t>
  </si>
  <si>
    <t>2862</t>
  </si>
  <si>
    <t>REALIZED EXCHANGE GAIN / LOSS ON FOREIGN EXCHANGE</t>
  </si>
  <si>
    <t>1708</t>
  </si>
  <si>
    <t>POSTAGE &amp; STAMPS-MATALE</t>
  </si>
  <si>
    <t>1270</t>
  </si>
  <si>
    <t>TRADE &amp; REVENUE LICENSE - VAUNIYA</t>
  </si>
  <si>
    <t>0482</t>
  </si>
  <si>
    <t>ADVERTISING EXPENSES - NUWARA ELIYA</t>
  </si>
  <si>
    <t>2377</t>
  </si>
  <si>
    <t>SHORT TERM LOAN - ACPL</t>
  </si>
  <si>
    <t>2744</t>
  </si>
  <si>
    <t>CHEQUE COLLECTION FOR FIXED DEPOSIT</t>
  </si>
  <si>
    <t>1580</t>
  </si>
  <si>
    <t>SALES COMMISSION - KULIYAPITIYA</t>
  </si>
  <si>
    <t>0006</t>
  </si>
  <si>
    <t>ACCUMULATED PROFITS</t>
  </si>
  <si>
    <t>1670</t>
  </si>
  <si>
    <t>FAIR VALUE ADJUSTMENT FOR AFS</t>
  </si>
  <si>
    <t>2073</t>
  </si>
  <si>
    <t>FAIRE VALUE GAIN OR LOSS ON INVESTMENT PROPERTY</t>
  </si>
  <si>
    <t>1748</t>
  </si>
  <si>
    <t>COM BANK STL-01-240MN</t>
  </si>
  <si>
    <t>1256</t>
  </si>
  <si>
    <t>CURRENT ACCOUNT NO (DEUTSCHE) 0041236-00-1</t>
  </si>
  <si>
    <t>1433</t>
  </si>
  <si>
    <t>RECOVERY VISIT EXPENSES - MAHIYANGANAYA</t>
  </si>
  <si>
    <t>0007</t>
  </si>
  <si>
    <t>RESERVE FUND</t>
  </si>
  <si>
    <t>0995</t>
  </si>
  <si>
    <t>SALES COMMISSION - NUWARAELIYA</t>
  </si>
  <si>
    <t>2728</t>
  </si>
  <si>
    <t>CURRENT ACCOUNT - CUSTODIAN NDB 111260000884</t>
  </si>
  <si>
    <t>1582</t>
  </si>
  <si>
    <t>GARAGE CHARGES - KULIYAPITIYA</t>
  </si>
  <si>
    <t>1913</t>
  </si>
  <si>
    <t>STAFF TRAINNIG-KEKIRAWA</t>
  </si>
  <si>
    <t>1874</t>
  </si>
  <si>
    <t>VEHICLE REPAIRS &amp; MAINTANANCE-MADAPATHA</t>
  </si>
  <si>
    <t>1122</t>
  </si>
  <si>
    <t>ENTERTAINMENT - AMBALANTOTA</t>
  </si>
  <si>
    <t>0233</t>
  </si>
  <si>
    <t>DPMC FINANCIAL SERVICES (PVT) LTD.</t>
  </si>
  <si>
    <t>2385</t>
  </si>
  <si>
    <t>SHORT TERM LOAN-SEYLAN</t>
  </si>
  <si>
    <t>1841</t>
  </si>
  <si>
    <t>FUEL &amp; OIL - DENIYAYA</t>
  </si>
  <si>
    <t>2479</t>
  </si>
  <si>
    <t>REPO CONTROL ACCOUNT (T)</t>
  </si>
  <si>
    <t>2129</t>
  </si>
  <si>
    <t>INVESTMENT OF FIXED DEPOSIT-SCB</t>
  </si>
  <si>
    <t>2379</t>
  </si>
  <si>
    <t>SHORT TERM LOAN - DPAH</t>
  </si>
  <si>
    <t>2386</t>
  </si>
  <si>
    <t>SAVING ACCOUNT- (UNION BANK-997-02-01-00000112-7)</t>
  </si>
  <si>
    <t>1350</t>
  </si>
  <si>
    <t>NEWS PAPERS &amp; PERIOD - JAFFNA</t>
  </si>
  <si>
    <t>1127</t>
  </si>
  <si>
    <t>DEPRECIATION - COMPUTER SOFTWARE- YAKKALA</t>
  </si>
  <si>
    <t>2630</t>
  </si>
  <si>
    <t>FURNITURE &amp; FITTINGS MAINTENANCE  - JAFFNA</t>
  </si>
  <si>
    <t>0801</t>
  </si>
  <si>
    <t>STAFF MEDICAL EXPENSES - MATHUGAMA</t>
  </si>
  <si>
    <t>2244</t>
  </si>
  <si>
    <t>CURRENT LIABILITY OF LTL - UNION 9974001000009506</t>
  </si>
  <si>
    <t>1408</t>
  </si>
  <si>
    <t>NEWS PAPERS &amp; PERIOD - BALANGODA</t>
  </si>
  <si>
    <t>2523</t>
  </si>
  <si>
    <t>STAFF MEDICAL EXPENSES - MATALE</t>
  </si>
  <si>
    <t>2040</t>
  </si>
  <si>
    <t>VEHICLE REPAIRE &amp; MAINTANANCE-MALIGAWATTA</t>
  </si>
  <si>
    <t>1402</t>
  </si>
  <si>
    <t>COMMERCIAL BANK LOAN - 860873</t>
  </si>
  <si>
    <t>2234</t>
  </si>
  <si>
    <t>CURRENT LIABILITY OF LTL - SAMPATH 302965000913</t>
  </si>
  <si>
    <t>2360</t>
  </si>
  <si>
    <t>DP LOGISTICS- SHORT TERM LOANS</t>
  </si>
  <si>
    <t>0011</t>
  </si>
  <si>
    <t>EARNED INCOME-LEASING - P</t>
  </si>
  <si>
    <t>1857</t>
  </si>
  <si>
    <t>CRIB CHARGES RECOVERABLE</t>
  </si>
  <si>
    <t>2149</t>
  </si>
  <si>
    <t>CURRENT ACCOUNT-HNB-003010510426</t>
  </si>
  <si>
    <t>0009</t>
  </si>
  <si>
    <t>CURRENT ACCOUNT NO (PEOPLE'S) - 004-1-001-3-4105239</t>
  </si>
  <si>
    <t>1575</t>
  </si>
  <si>
    <t>TRAVELLING &amp; SUBSISTANCE - GAMPOLA</t>
  </si>
  <si>
    <t>2598</t>
  </si>
  <si>
    <t>SECURITIES ASSET ACCOUNT-HTM</t>
  </si>
  <si>
    <t>1653</t>
  </si>
  <si>
    <t>BUILDING MAINTENANCE - MATALE</t>
  </si>
  <si>
    <t>1946</t>
  </si>
  <si>
    <t>BUILDING MAINTANACE-GALEWELA</t>
  </si>
  <si>
    <t>0556</t>
  </si>
  <si>
    <t>DATA COMMUNICATION CHARGES - PUTTALAM</t>
  </si>
  <si>
    <t>2819</t>
  </si>
  <si>
    <t>JANITORIAL &amp; SANITORY WORK - KANDY CITY</t>
  </si>
  <si>
    <t>1623</t>
  </si>
  <si>
    <t>BUILDING MAINTENANCE – HOROWPATHANA</t>
  </si>
  <si>
    <t>1490</t>
  </si>
  <si>
    <t>OFFICE EQUIPMENT MAINTENANCE - DENIYAYA</t>
  </si>
  <si>
    <t>0602</t>
  </si>
  <si>
    <t>OFFICE EQUIPMENT MAINTENANCE - KANDY</t>
  </si>
  <si>
    <t>1346</t>
  </si>
  <si>
    <t>TELEPHONE CHARGES - JAFFNA</t>
  </si>
  <si>
    <t>2672</t>
  </si>
  <si>
    <t>SSCL EXPENSE ACCOUNT</t>
  </si>
  <si>
    <t>2514</t>
  </si>
  <si>
    <t>ELECTRICITY EXPENSE - AMBALANGODA</t>
  </si>
  <si>
    <t>0432</t>
  </si>
  <si>
    <t>PROFESSIONAL CHARGES - HO</t>
  </si>
  <si>
    <t>2816</t>
  </si>
  <si>
    <t>ELECTRICITY - KANDY CITY</t>
  </si>
  <si>
    <t>1964</t>
  </si>
  <si>
    <t>WATER CHARGES-GALEWELA</t>
  </si>
  <si>
    <t>1471</t>
  </si>
  <si>
    <t>BUILDING MAINTENANCE -MAHIYANGANAYA</t>
  </si>
  <si>
    <t>2201</t>
  </si>
  <si>
    <t>PROMOTIONS EXPENSE-NIKAWERATIYA</t>
  </si>
  <si>
    <t>2363</t>
  </si>
  <si>
    <t>CASH TRANSPORT FEES - MAWANELLA</t>
  </si>
  <si>
    <t>0408</t>
  </si>
  <si>
    <t>RENT EXPENSES- MADAPATHA</t>
  </si>
  <si>
    <t>1766</t>
  </si>
  <si>
    <t>PRINTING &amp; STATIONERY-WALASMULLA</t>
  </si>
  <si>
    <t>0569</t>
  </si>
  <si>
    <t>TELEPHONE CHARGES - YAKKALA</t>
  </si>
  <si>
    <t>0604</t>
  </si>
  <si>
    <t>OFFICE EQUIPMENT MAINTENANCE - NUWARA ELIYA</t>
  </si>
  <si>
    <t>0069</t>
  </si>
  <si>
    <t>VEHICLE REPAIRS &amp; MAINTENANCE</t>
  </si>
  <si>
    <t>0641</t>
  </si>
  <si>
    <t>DOMESTIC COURIER CHARGES - YAKKALA</t>
  </si>
  <si>
    <t>0499</t>
  </si>
  <si>
    <t>CASH TRANSPORT FEES - GALLE</t>
  </si>
  <si>
    <t>0542</t>
  </si>
  <si>
    <t>DATA COMMUNICATION CHARGES - MADAPATHA</t>
  </si>
  <si>
    <t>0095</t>
  </si>
  <si>
    <t>BAD DEBTS DEALER REFINANCE - SPECIFIC</t>
  </si>
  <si>
    <t>2000</t>
  </si>
  <si>
    <t>FUEL &amp; OIL-MALIGAWATTA</t>
  </si>
  <si>
    <t>2293</t>
  </si>
  <si>
    <t>PROMOTIONS EXPENSE-KIRIBATHGODA</t>
  </si>
  <si>
    <t>2575</t>
  </si>
  <si>
    <t>TELEPHONE CHARGES - NUGEGODA</t>
  </si>
  <si>
    <t>0583</t>
  </si>
  <si>
    <t>TELEPHONE CHARGES - CHILAW</t>
  </si>
  <si>
    <t>0647</t>
  </si>
  <si>
    <t>DOMESTIC COURIER CHARGES - MONARAGALA</t>
  </si>
  <si>
    <t>0566</t>
  </si>
  <si>
    <t>TELEPHONE CHARGES - ANURADHAPURA</t>
  </si>
  <si>
    <t>1715</t>
  </si>
  <si>
    <t>DATA COMMUNICATION CHARGES-KEKIRAWA</t>
  </si>
  <si>
    <t>1680</t>
  </si>
  <si>
    <t>DATA COMMUNICATION CHARGES-KILINOCHCHI</t>
  </si>
  <si>
    <t>1411</t>
  </si>
  <si>
    <t>STAFF TRAINNING - BALANGODA</t>
  </si>
  <si>
    <t>0493</t>
  </si>
  <si>
    <t>CASH TRANSPORT FEES - MADAPATHA</t>
  </si>
  <si>
    <t>2204</t>
  </si>
  <si>
    <t>PROMOTIONS EXPENSE-POLLONNARUWA</t>
  </si>
  <si>
    <t>2450</t>
  </si>
  <si>
    <t>SECURITES TRADING ACCOUNT (T)</t>
  </si>
  <si>
    <t>2247</t>
  </si>
  <si>
    <t>COMMERCIAL BANK LTL - 1714288</t>
  </si>
  <si>
    <t>1337</t>
  </si>
  <si>
    <t>HSBC BANK LOAN 01</t>
  </si>
  <si>
    <t>0092</t>
  </si>
  <si>
    <t>BAD DEBTS HIRE PURCHASE - SPECIFIC</t>
  </si>
  <si>
    <t>2827</t>
  </si>
  <si>
    <t>STAFF MEDICAL EXPENSES - KANDY CITY</t>
  </si>
  <si>
    <t>2108</t>
  </si>
  <si>
    <t>INTEREST RECEIVABLE ON FIXED DEPOSIT</t>
  </si>
  <si>
    <t>2401</t>
  </si>
  <si>
    <t>FUEL &amp; OIL - MAWANELLA</t>
  </si>
  <si>
    <t>2548</t>
  </si>
  <si>
    <t>CURRENT ACCOUNT -BORELLA</t>
  </si>
  <si>
    <t>2557</t>
  </si>
  <si>
    <t>TRADE &amp; REVENUE LICENSE - BORELLA</t>
  </si>
  <si>
    <t>0114</t>
  </si>
  <si>
    <t>INTEREST ON SHORT TERM BORROWINGS</t>
  </si>
  <si>
    <t>0728</t>
  </si>
  <si>
    <t>POSTAGE &amp; STAMPS - CHILAW</t>
  </si>
  <si>
    <t>2432</t>
  </si>
  <si>
    <t>INTERCOMPANY BULLET LOAN-ASPL</t>
  </si>
  <si>
    <t>0918</t>
  </si>
  <si>
    <t>TRADE &amp; REVENUE LICENSE - KURUNEGALA</t>
  </si>
  <si>
    <t>1125</t>
  </si>
  <si>
    <t>DEPRECIATION - COMPUTER SOFTWARE- MADAPATHA</t>
  </si>
  <si>
    <t>1353</t>
  </si>
  <si>
    <t xml:space="preserve"> HATTON NATIONAL BANK LTD. - LOAN 03</t>
  </si>
  <si>
    <t>0899</t>
  </si>
  <si>
    <t>NEWS PAPERS &amp; PERIOD - MATARA</t>
  </si>
  <si>
    <t>0915</t>
  </si>
  <si>
    <t>TRADE &amp; REVENUE LICENSE - POLONNARUWA</t>
  </si>
  <si>
    <t>0020</t>
  </si>
  <si>
    <t>SERVICE CHARGES - HP</t>
  </si>
  <si>
    <t>2815</t>
  </si>
  <si>
    <t>DOMESTIC COURIER CHARGES - KANDY CITY</t>
  </si>
  <si>
    <t>1909</t>
  </si>
  <si>
    <t>COMMISSION ON DIALOG eZ CASH PAYMENT</t>
  </si>
  <si>
    <t>2161</t>
  </si>
  <si>
    <t>RESCHEDULEMENT CLOSURE-MICRO FINANCE</t>
  </si>
  <si>
    <t>1108</t>
  </si>
  <si>
    <t>ENTERTAINMENT - GALLE</t>
  </si>
  <si>
    <t>0098</t>
  </si>
  <si>
    <t>NATIONAL WATER SUPPLY &amp; DRAINAGE BOARD</t>
  </si>
  <si>
    <t>2426</t>
  </si>
  <si>
    <t>PROVISION FOR IMPAIRMENT- FIXED DEPOSIT</t>
  </si>
  <si>
    <t>0921</t>
  </si>
  <si>
    <t>TRADE &amp; REVENUE LICENSE - NEGOMBO</t>
  </si>
  <si>
    <t>2504</t>
  </si>
  <si>
    <t>STAFF TRAINING EXPENSE - AMBALANGODA</t>
  </si>
  <si>
    <t>1419</t>
  </si>
  <si>
    <t>INTEREST RECEIVABLE ON TREASURY BONDS</t>
  </si>
  <si>
    <t>0138</t>
  </si>
  <si>
    <t xml:space="preserve">Pledge Loan Debtor </t>
  </si>
  <si>
    <t>0140</t>
  </si>
  <si>
    <t>LOAN DEBTORS - DEALER FINANCE - P</t>
  </si>
  <si>
    <t>1092</t>
  </si>
  <si>
    <t>E.T.F. CONTRIBUTION- PUTTALAM</t>
  </si>
  <si>
    <t>1012</t>
  </si>
  <si>
    <t>STAFF BONUS - GALLE</t>
  </si>
  <si>
    <t>0815</t>
  </si>
  <si>
    <t>SUNDRY EXPENSES - BADULLA</t>
  </si>
  <si>
    <t>2624</t>
  </si>
  <si>
    <t>FURNITURE &amp; FITTINGS MAINTENANCE  - EMBILIPITIYA</t>
  </si>
  <si>
    <t>0790</t>
  </si>
  <si>
    <t>STAFF MEDICAL EXPENSES - GALLE</t>
  </si>
  <si>
    <t>2228</t>
  </si>
  <si>
    <t>INTEREST RECEIVABLE ON REPO INVESTMENT</t>
  </si>
  <si>
    <t>1475</t>
  </si>
  <si>
    <t>UN EARNED INCOME - DF - NEW</t>
  </si>
  <si>
    <t>2334</t>
  </si>
  <si>
    <t>Investment in Fixed Deposit - NDB</t>
  </si>
  <si>
    <t>1086</t>
  </si>
  <si>
    <t>E.T.F. CONTRIBUTION- MONARAGALA</t>
  </si>
  <si>
    <t>1096</t>
  </si>
  <si>
    <t>E.T.F. CONTRIBUTION- MATARA</t>
  </si>
  <si>
    <t>0688</t>
  </si>
  <si>
    <t>WATER CHARGES - MADAPATHA</t>
  </si>
  <si>
    <t>0203</t>
  </si>
  <si>
    <t>SHARES IN QUOTED COMPANIES</t>
  </si>
  <si>
    <t>2095</t>
  </si>
  <si>
    <t>DEFAULT INTEREST-COMMERCAIL CREDIT</t>
  </si>
  <si>
    <t>1205</t>
  </si>
  <si>
    <t>UNEARNED INCOME - SME LOAN</t>
  </si>
  <si>
    <t>1204</t>
  </si>
  <si>
    <t>EARNED INCOME - SME LOAN</t>
  </si>
  <si>
    <t>1377</t>
  </si>
  <si>
    <t>DEALER COMMISION ON CASH COLLECTING CENTRES</t>
  </si>
  <si>
    <t>2733</t>
  </si>
  <si>
    <t>FIXED DEPOSIT BORROWING CONTROL</t>
  </si>
  <si>
    <t>1303</t>
  </si>
  <si>
    <t>BUILDING MAINTENANCE - VAUNIYA</t>
  </si>
  <si>
    <t>0120</t>
  </si>
  <si>
    <t>BANK CHARGES - PEOPLE'S BANK</t>
  </si>
  <si>
    <t>1207</t>
  </si>
  <si>
    <t>CLOSURES - SME LOAN</t>
  </si>
  <si>
    <t>1430</t>
  </si>
  <si>
    <t>RENT EXPENSES - MAHIYANGANAYA</t>
  </si>
  <si>
    <t>2732</t>
  </si>
  <si>
    <t>FIXED DEPOSIT BORROWING</t>
  </si>
  <si>
    <t>0000</t>
  </si>
  <si>
    <t>CURRENT ACCOUNT NO (COMM) - 1415607201</t>
  </si>
  <si>
    <t>1641</t>
  </si>
  <si>
    <t>STAFF WELFARE &amp; BENEFITS - HOROWPATHANA</t>
  </si>
  <si>
    <t>0033</t>
  </si>
  <si>
    <t>INVESTMENT INCOME ON SAVING ACCOUNTS</t>
  </si>
  <si>
    <t>0049</t>
  </si>
  <si>
    <t>ELECTRICITY - KURUNEGALA</t>
  </si>
  <si>
    <t>0291</t>
  </si>
  <si>
    <t>CUMULATIVE AMORTIZATION - INTANGIBLE ASSETS</t>
  </si>
  <si>
    <t>0868</t>
  </si>
  <si>
    <t>TRAVELLING &amp; SUBSISTANCE - KANDY</t>
  </si>
  <si>
    <t>1213</t>
  </si>
  <si>
    <t>GARAGE CHARGES - KURUNEGALA</t>
  </si>
  <si>
    <t>1203</t>
  </si>
  <si>
    <t>ELECTRICITY- EMBILIPITIYA</t>
  </si>
  <si>
    <t>1489</t>
  </si>
  <si>
    <t>JANITORIAL &amp; SANITORY WORK - DENIYAYA</t>
  </si>
  <si>
    <t>1723</t>
  </si>
  <si>
    <t>TELEPHONE CHARGES- KEKIRAWA</t>
  </si>
  <si>
    <t>0838</t>
  </si>
  <si>
    <t>TEA &amp; MEAL EXPENSES - GALLE</t>
  </si>
  <si>
    <t>2849</t>
  </si>
  <si>
    <t>PRINTING &amp; STATIONERY - KOTTAWA</t>
  </si>
  <si>
    <t>2391</t>
  </si>
  <si>
    <t>OFFICE EQUIPMENTS MAINTANANCE - BANDARAWELLA</t>
  </si>
  <si>
    <t>0121</t>
  </si>
  <si>
    <t>BANK CHARGES - SEYLAN BANK</t>
  </si>
  <si>
    <t>2666</t>
  </si>
  <si>
    <t>PROVISION FOR BAD DEBTS-TERM LOANS - OVER 12</t>
  </si>
  <si>
    <t>0657</t>
  </si>
  <si>
    <t>DOMESTIC COURIER CHARGES - MATARA</t>
  </si>
  <si>
    <t>2810</t>
  </si>
  <si>
    <t>NTB LTL</t>
  </si>
  <si>
    <t>1736</t>
  </si>
  <si>
    <t>DOMESTIC COURIER CHARGES-WALASMULLA</t>
  </si>
  <si>
    <t>1320</t>
  </si>
  <si>
    <t>DISPOSAL OF LEASE HOLD IMPROVEMENT</t>
  </si>
  <si>
    <t>0946</t>
  </si>
  <si>
    <t>STAFF TRAINING - CHILAW</t>
  </si>
  <si>
    <t>1714</t>
  </si>
  <si>
    <t>BUILDING MAINTENANCE -KEKIRAWA</t>
  </si>
  <si>
    <t>2044</t>
  </si>
  <si>
    <t>WATER CHARGES-WELLAWAYA</t>
  </si>
  <si>
    <t>0710</t>
  </si>
  <si>
    <t>POSTAGE &amp; STAMPS - AMPARA</t>
  </si>
  <si>
    <t>0650</t>
  </si>
  <si>
    <t>DOMESTIC COURIER CHARGES - KANDY</t>
  </si>
  <si>
    <t>2179</t>
  </si>
  <si>
    <t>PROMOTIONS EXPENSE-GALEWELLA</t>
  </si>
  <si>
    <t>2449</t>
  </si>
  <si>
    <t>SECURITY EXPENSES - KEGALLA</t>
  </si>
  <si>
    <t>2784</t>
  </si>
  <si>
    <t>BUILDING RENT INCOME - JAFFNA</t>
  </si>
  <si>
    <t>0110</t>
  </si>
  <si>
    <t>RECOVERY VISIT EXPENSES - HO</t>
  </si>
  <si>
    <t>1585</t>
  </si>
  <si>
    <t>POSTAGE &amp; STAMPS  - GAMPOLA</t>
  </si>
  <si>
    <t>2029</t>
  </si>
  <si>
    <t>BUILDING MAINTANANCE-MULLAITTIVE</t>
  </si>
  <si>
    <t>1863</t>
  </si>
  <si>
    <t>DB SECURITISATION TRUST 06</t>
  </si>
  <si>
    <t>0476</t>
  </si>
  <si>
    <t>ADVERTISING EXPENSES - BADULLA</t>
  </si>
  <si>
    <t>2640</t>
  </si>
  <si>
    <t xml:space="preserve">FURNITURE &amp; FITTINGS MAINTENANCE  - HEAD OFFICE </t>
  </si>
  <si>
    <t>0989</t>
  </si>
  <si>
    <t>SALES COMMISSION - BADULLA</t>
  </si>
  <si>
    <t>2091</t>
  </si>
  <si>
    <t>DIFFERED TAX TO OCI FROM GRATIUTY PROVISION</t>
  </si>
  <si>
    <t>1383</t>
  </si>
  <si>
    <t>ADVERTISING EXPENSES - BALANGODA</t>
  </si>
  <si>
    <t>1000</t>
  </si>
  <si>
    <t>SALES COMMISSION - MATARA</t>
  </si>
  <si>
    <t>2872</t>
  </si>
  <si>
    <t>FUEL &amp; OIL-BORELLA</t>
  </si>
  <si>
    <t>2392</t>
  </si>
  <si>
    <t>NEWS PAPER &amp; PERIODICALS - BANDARAWELLA</t>
  </si>
  <si>
    <t>0414</t>
  </si>
  <si>
    <t>DISPOSAL OF MOTOR VEHICLES</t>
  </si>
  <si>
    <t>1326</t>
  </si>
  <si>
    <t>SUNDRY EXPENSES - BATTICALOA</t>
  </si>
  <si>
    <t>1608</t>
  </si>
  <si>
    <t>SUNDRY EXPENSES - KULIYAPITIYA</t>
  </si>
  <si>
    <t>0614</t>
  </si>
  <si>
    <t>SALARIES &amp; WAGES - ANURADHAPURA</t>
  </si>
  <si>
    <t>0809</t>
  </si>
  <si>
    <t>SUNDRY EXPENSES - DAMBULLA</t>
  </si>
  <si>
    <t>1054</t>
  </si>
  <si>
    <t>E.P.F. CONTRIBUTION - MADAPATHA</t>
  </si>
  <si>
    <t>1031</t>
  </si>
  <si>
    <t>PROFESSIONAL CHARGES - DAMBULLA</t>
  </si>
  <si>
    <t>1977</t>
  </si>
  <si>
    <t>UNEARNED INCOME-INVOICE DISCOUNTING</t>
  </si>
  <si>
    <t>0894</t>
  </si>
  <si>
    <t>NEWS PAPERS &amp; PERIOD - NUWARAELIYA</t>
  </si>
  <si>
    <t>1889</t>
  </si>
  <si>
    <t>VEHICLE REPAIRS &amp; MAINTANANCE-MATHUGAMA</t>
  </si>
  <si>
    <t>0922</t>
  </si>
  <si>
    <t>TRADE &amp; REVENUE LICENSE - CHILAW</t>
  </si>
  <si>
    <t>0442</t>
  </si>
  <si>
    <t>BANK CHARGES - DEUTSCHE BANK</t>
  </si>
  <si>
    <t>2278</t>
  </si>
  <si>
    <t>INVESTMENT IN TREASURY BONDS-CURRENT</t>
  </si>
  <si>
    <t>2654</t>
  </si>
  <si>
    <t>FURNITURE &amp; FITTINGS MAINTENANCE  - POLONNARUWA</t>
  </si>
  <si>
    <t>0617</t>
  </si>
  <si>
    <t>SALARIES &amp; WAGES - YAKKALA</t>
  </si>
  <si>
    <t>2300</t>
  </si>
  <si>
    <t>CURRENT ACCOUNT - ELPITIYA</t>
  </si>
  <si>
    <t>2481</t>
  </si>
  <si>
    <t>FUNDING FROM SEC ISSUES / FACILITIES A/C</t>
  </si>
  <si>
    <t>0826</t>
  </si>
  <si>
    <t>SUNDRY EXPENSES - MATARA</t>
  </si>
  <si>
    <t>0115</t>
  </si>
  <si>
    <t>INTEREST ON PROMISSORY NOTES / COMMERCIAL PAPERS</t>
  </si>
  <si>
    <t>0626</t>
  </si>
  <si>
    <t>SALARIES &amp; WAGES - KANDY</t>
  </si>
  <si>
    <t>1462</t>
  </si>
  <si>
    <t>ADVERTISING EXPENSES - MANNAR</t>
  </si>
  <si>
    <t>1298</t>
  </si>
  <si>
    <t>POSTAGE &amp; STAMPS - VAUNIYA</t>
  </si>
  <si>
    <t>2669</t>
  </si>
  <si>
    <t>PROVISION FOR BAD DEBTS-FACTORING - OVER 12</t>
  </si>
  <si>
    <t>2025</t>
  </si>
  <si>
    <t>DPMC LANKA-BULLET LOAN</t>
  </si>
  <si>
    <t>0192</t>
  </si>
  <si>
    <t>SEIZING CHARGES RECOVERABLE</t>
  </si>
  <si>
    <t>OVERPAYMENT-ASSET DRAFT</t>
  </si>
  <si>
    <t>2274</t>
  </si>
  <si>
    <t>TEA &amp; MEAL EXPENSES  - KIRIBATHGODA</t>
  </si>
  <si>
    <t>2461</t>
  </si>
  <si>
    <t>RECEIPT SUSPENSE - DEALS - ACCOUNT (TT)</t>
  </si>
  <si>
    <t>2591</t>
  </si>
  <si>
    <t>CASH TRANSPORT CHARGES-NUGEGODA</t>
  </si>
  <si>
    <t>0434</t>
  </si>
  <si>
    <t>PROMOTIONS EXPENSES</t>
  </si>
  <si>
    <t>0524</t>
  </si>
  <si>
    <t>BUILDING MAINTENANCE - BADULLA</t>
  </si>
  <si>
    <t>0767</t>
  </si>
  <si>
    <t>STAFF WELFARE &amp; BENEFITS - BADULLA</t>
  </si>
  <si>
    <t>0051</t>
  </si>
  <si>
    <t>ELECTRICITY - NEGOMBO</t>
  </si>
  <si>
    <t>0663</t>
  </si>
  <si>
    <t>JANITORIAL &amp; SANITORY WORK - MADAPATHA</t>
  </si>
  <si>
    <t>1624</t>
  </si>
  <si>
    <t>CASH TRANSPORT FEES - AKKARAIPATTU</t>
  </si>
  <si>
    <t>0856</t>
  </si>
  <si>
    <t>TRAVELLING &amp; SUBSISTANCE - ANURADHAPURA</t>
  </si>
  <si>
    <t>0437</t>
  </si>
  <si>
    <t>RENT EXPENSES - TISSAMAHARAMA</t>
  </si>
  <si>
    <t>2686</t>
  </si>
  <si>
    <t>FIXED DEPOSIT BORROWINGS-INDIVIDUAL</t>
  </si>
  <si>
    <t>1485</t>
  </si>
  <si>
    <t>CASH TRANSPORT FEES - DENIYAYA</t>
  </si>
  <si>
    <t>2175</t>
  </si>
  <si>
    <t>PROMOTIONS EXPENSE-DAMBULLA</t>
  </si>
  <si>
    <t>2727</t>
  </si>
  <si>
    <t xml:space="preserve">DOMESTIC COURIER CHARGES- KIRIBATHGODA </t>
  </si>
  <si>
    <t>2280</t>
  </si>
  <si>
    <t>RENT EXPENSES-KIRIBATHGODA</t>
  </si>
  <si>
    <t>0872</t>
  </si>
  <si>
    <t>TRAVELLING &amp; SUBSISTANCE - NEGOMBO</t>
  </si>
  <si>
    <t>0449</t>
  </si>
  <si>
    <t>RENT EXPENSES-AMPARA</t>
  </si>
  <si>
    <t>0461</t>
  </si>
  <si>
    <t>VAT UNCLAIMABLE</t>
  </si>
  <si>
    <t>2370</t>
  </si>
  <si>
    <t>JANITORIAL &amp; SANITORY WORK - MAWANELLA</t>
  </si>
  <si>
    <t>1364</t>
  </si>
  <si>
    <t>STAFF RECRUITMENT EXPENSES</t>
  </si>
  <si>
    <t>1222</t>
  </si>
  <si>
    <t>GARAGE CHARGES - DAMBULLA</t>
  </si>
  <si>
    <t>2670</t>
  </si>
  <si>
    <t>IMPAIRMENT REVERSAL FOR DISPOSAL OF REPOSSED VEHICLE</t>
  </si>
  <si>
    <t>0081</t>
  </si>
  <si>
    <t>ELECTRONIC COMPUTER ALL RISK INSURANCE</t>
  </si>
  <si>
    <t>1510</t>
  </si>
  <si>
    <t>BUILDING MAINTENANCE - NIKAWERATIYA</t>
  </si>
  <si>
    <t>2777</t>
  </si>
  <si>
    <t>TELEPHONE CHARGES - WELLAWATTA</t>
  </si>
  <si>
    <t>1434</t>
  </si>
  <si>
    <t>TELEPHONE CHARGES -  MAHIYANGANAYA</t>
  </si>
  <si>
    <t>0588</t>
  </si>
  <si>
    <t>TELEPHONE CHARGES - KALUTARA</t>
  </si>
  <si>
    <t>1819</t>
  </si>
  <si>
    <t>SECURITY EXPENSES (GARAGE)- DAMBULLA</t>
  </si>
  <si>
    <t>0576</t>
  </si>
  <si>
    <t>TELEPHONE CHARGES - POLONNARUWA</t>
  </si>
  <si>
    <t>1808</t>
  </si>
  <si>
    <t>SECURITY EXPENSES- DEHIATTAKANDIYA</t>
  </si>
  <si>
    <t>2529</t>
  </si>
  <si>
    <t>SAVINGS ACCOUNT - DFCC  007115007675</t>
  </si>
  <si>
    <t>1647</t>
  </si>
  <si>
    <t>WATER CHARGES - HOROWPATHANA</t>
  </si>
  <si>
    <t>1328</t>
  </si>
  <si>
    <t>GARAGE CHARGES - CHILAW</t>
  </si>
  <si>
    <t>1793</t>
  </si>
  <si>
    <t>STAFF WELFARE &amp; BENIFIT-AWISSAWELLA</t>
  </si>
  <si>
    <t>1616</t>
  </si>
  <si>
    <t>PRINTING &amp; STATIONERY - AKKARAIPATTU</t>
  </si>
  <si>
    <t>0656</t>
  </si>
  <si>
    <t>DOMESTIC COURIER CHARGES - MATHUGAMA</t>
  </si>
  <si>
    <t>2556</t>
  </si>
  <si>
    <t>TELEPHONE CHARGES - BORELLA</t>
  </si>
  <si>
    <t>1971</t>
  </si>
  <si>
    <t>LOAN DEBTOR-REVOLVING</t>
  </si>
  <si>
    <t>0729</t>
  </si>
  <si>
    <t>POSTAGE &amp; STAMPS - MATHUGAMA</t>
  </si>
  <si>
    <t>2766</t>
  </si>
  <si>
    <t>OFFICE EQUIPMENT MAINTENANCE - WELLAWATTA</t>
  </si>
  <si>
    <t>0571</t>
  </si>
  <si>
    <t>TELEPHONE CHARGES - EMBILIPITIYA</t>
  </si>
  <si>
    <t>2881</t>
  </si>
  <si>
    <t>WATER CHARGES - JA ELA</t>
  </si>
  <si>
    <t>0077</t>
  </si>
  <si>
    <t>WORKMEN COMPENSATION INSURANCE</t>
  </si>
  <si>
    <t>2493</t>
  </si>
  <si>
    <t>SALES PROMOTION EXPENSE - PETROL BONANZA</t>
  </si>
  <si>
    <t>0914</t>
  </si>
  <si>
    <t>TRADE &amp; REVENUE LICENSE - MONARAGALA</t>
  </si>
  <si>
    <t>1588</t>
  </si>
  <si>
    <t>NEWS PAPERS &amp; PERIOD - KULIYAPITIYA</t>
  </si>
  <si>
    <t>2380</t>
  </si>
  <si>
    <t>SHORT TERM LOAN - ASPL</t>
  </si>
  <si>
    <t>2101</t>
  </si>
  <si>
    <t>LOAN INSTALMENT ARREASE-COMMERCAIL CREDIT</t>
  </si>
  <si>
    <t>0454</t>
  </si>
  <si>
    <t>OTHER CHARGES RECOVERABLE - TF</t>
  </si>
  <si>
    <t>2048</t>
  </si>
  <si>
    <t>POSTAGE &amp; STAMPS-WELLAWAYA</t>
  </si>
  <si>
    <t>1283</t>
  </si>
  <si>
    <t>SUNDRY EXPENSES - VAUNIYA</t>
  </si>
  <si>
    <t>2847</t>
  </si>
  <si>
    <t>OFFICE EQUIPMENT MAINTENANCE - KOTTAWA</t>
  </si>
  <si>
    <t>2467</t>
  </si>
  <si>
    <t>MARK TO MARKET GAINS LOSSES PROVISION (T)</t>
  </si>
  <si>
    <t>0221</t>
  </si>
  <si>
    <t>PREPAID RENTAL HIRE PURCHASE - NP</t>
  </si>
  <si>
    <t>0817</t>
  </si>
  <si>
    <t>SUNDRY EXPENSES - POLONNARUWA</t>
  </si>
  <si>
    <t>1010</t>
  </si>
  <si>
    <t>STAFF BONUS - EMBILIPITIYA</t>
  </si>
  <si>
    <t>2042</t>
  </si>
  <si>
    <t>VEHICLE REPAIRE &amp; MAINTANANCE-WELLAWAYA</t>
  </si>
  <si>
    <t>0948</t>
  </si>
  <si>
    <t>STAFF TRAINING - MATARA</t>
  </si>
  <si>
    <t>0956</t>
  </si>
  <si>
    <t>RECOVERY VISIT EXPENSES - AMPARA</t>
  </si>
  <si>
    <t>1188</t>
  </si>
  <si>
    <t>NEWS PAPERS &amp; PERIOD - BATTICALOA</t>
  </si>
  <si>
    <t>2130</t>
  </si>
  <si>
    <t>COMMISSION ON EASY PAY MACHINE COLLECTION</t>
  </si>
  <si>
    <t>2094</t>
  </si>
  <si>
    <t>CLOUSER-COMMERCAIL CREDIT</t>
  </si>
  <si>
    <t>2891</t>
  </si>
  <si>
    <t>SECURITY EXPENSE-JA ELA</t>
  </si>
  <si>
    <t>1719</t>
  </si>
  <si>
    <t>RECOVERY VISIT EXPENSES- KEKIRAWA</t>
  </si>
  <si>
    <t>2525</t>
  </si>
  <si>
    <t>MORATORIUM INTEREST RECEIVABLE - LOAN</t>
  </si>
  <si>
    <t>2884</t>
  </si>
  <si>
    <t>TELEPHONE CHARGES - JA ELA</t>
  </si>
  <si>
    <t>1121</t>
  </si>
  <si>
    <t>ENTERTAINMENT - BATTARAMULLA</t>
  </si>
  <si>
    <t>2790</t>
  </si>
  <si>
    <t>BROKER SETTLEMENT SUSPENSE ACCOUNT-MARGIN TRADING</t>
  </si>
  <si>
    <t>1936</t>
  </si>
  <si>
    <t xml:space="preserve"> MOTOR VEHICLE LEASE INTERSET IN SUSPENCE </t>
  </si>
  <si>
    <t>0109</t>
  </si>
  <si>
    <t>INITAIL LOSS ON MORATORIUM DEBTORS - LOAN</t>
  </si>
  <si>
    <t>1872</t>
  </si>
  <si>
    <t>VEHICLE REPAIRS &amp; MAINTANANCE-POLONNARUWA</t>
  </si>
  <si>
    <t>2058</t>
  </si>
  <si>
    <t>FUEL &amp; OIL-WELLAWAYA</t>
  </si>
  <si>
    <t>1066</t>
  </si>
  <si>
    <t>E.P.F. CONTRIBUTION - KURUNEGALA</t>
  </si>
  <si>
    <t>1481</t>
  </si>
  <si>
    <t>OTHER INCOME - DF- NEW</t>
  </si>
  <si>
    <t>0235</t>
  </si>
  <si>
    <t>LOAN - DAVID PIERIS MOTOR COMPANY LTD.</t>
  </si>
  <si>
    <t>0631</t>
  </si>
  <si>
    <t>SALARIES &amp; WAGES - CHILAW</t>
  </si>
  <si>
    <t>0518</t>
  </si>
  <si>
    <t>BUILDING MAINTENANCE - DAMBULLA</t>
  </si>
  <si>
    <t>2111</t>
  </si>
  <si>
    <t>FUEL &amp; OIL-KULIYAPITIYA</t>
  </si>
  <si>
    <t>1225</t>
  </si>
  <si>
    <t>JANITORIAL &amp; SANITORY WORKS - TRINCO</t>
  </si>
  <si>
    <t>0841</t>
  </si>
  <si>
    <t>TEA &amp; MEAL EXPENSES - POLONNARUWA</t>
  </si>
  <si>
    <t>0854</t>
  </si>
  <si>
    <t>TRAVELLING &amp; SUBSISTANCE - BATTARAMULLA</t>
  </si>
  <si>
    <t>1959</t>
  </si>
  <si>
    <t>TEA &amp; MEAL EXPENSES-GALEWELA</t>
  </si>
  <si>
    <t>2555</t>
  </si>
  <si>
    <t>TEA &amp; MEAL - BORELLA</t>
  </si>
  <si>
    <t>1458</t>
  </si>
  <si>
    <t>TRAVELLING &amp; SUBSISTANCE - MANNAR</t>
  </si>
  <si>
    <t>2820</t>
  </si>
  <si>
    <t>OFFICE EQUIPMENT MAINTENANCE - KANDY CITY</t>
  </si>
  <si>
    <t>0689</t>
  </si>
  <si>
    <t>WATER CHARGES - DAMBULLA</t>
  </si>
  <si>
    <t>2013</t>
  </si>
  <si>
    <t>DEFAULT INTEREST- PLADGE LOAN</t>
  </si>
  <si>
    <t xml:space="preserve">RECEIPTS IN SUSPENSE - UNIDENTIFIED </t>
  </si>
  <si>
    <t>2596</t>
  </si>
  <si>
    <t>SECURITY EXPENSES- DAMBULLA</t>
  </si>
  <si>
    <t>1183</t>
  </si>
  <si>
    <t>RENT EXPENSES - KALUTARA</t>
  </si>
  <si>
    <t>0683</t>
  </si>
  <si>
    <t>JANITORIAL &amp; SANITORY WORK - AMBALANTHOTA</t>
  </si>
  <si>
    <t>0836</t>
  </si>
  <si>
    <t>TEA &amp; MEAL EXPENSES - EMBILIPITIYA</t>
  </si>
  <si>
    <t>1264</t>
  </si>
  <si>
    <t>TRAVELLING &amp; SUBSISTANCE - VAUNIYA</t>
  </si>
  <si>
    <t>0581</t>
  </si>
  <si>
    <t>TELEPHONE CHARGES - PUTTALAM</t>
  </si>
  <si>
    <t>0545</t>
  </si>
  <si>
    <t>DATA COMMUNICATION CHARGES - RATHNAPURA</t>
  </si>
  <si>
    <t>2680</t>
  </si>
  <si>
    <t>FIXED DEPOSIT INTEREST EXPENSE-CORPORATE</t>
  </si>
  <si>
    <t>0720</t>
  </si>
  <si>
    <t>POSTAGE &amp; STAMPS - MONARAGALA</t>
  </si>
  <si>
    <t>1168</t>
  </si>
  <si>
    <t>TELEPHONE CHARGES - BATTICALOA</t>
  </si>
  <si>
    <t>1864</t>
  </si>
  <si>
    <t>MARGINE TRADING INCOME</t>
  </si>
  <si>
    <t>2181</t>
  </si>
  <si>
    <t>PROMOTIONS EXPENSE-GAMPOLA</t>
  </si>
  <si>
    <t>0126</t>
  </si>
  <si>
    <t>CURRENT ACCOUNT NO (NDB) - 101000105172</t>
  </si>
  <si>
    <t>0080</t>
  </si>
  <si>
    <t>FIRE COMMERCIAL INSURANCE</t>
  </si>
  <si>
    <t>1592</t>
  </si>
  <si>
    <t>DOMESTIC COURIER CHARGES - KULIYAPITIYA</t>
  </si>
  <si>
    <t>1136</t>
  </si>
  <si>
    <t>DEPRECIATION - COMPUTER SOFTWARE- KANDY</t>
  </si>
  <si>
    <t>1996</t>
  </si>
  <si>
    <t>BUILDING MAINTENANCE-MALIGAWATTA</t>
  </si>
  <si>
    <t>2860</t>
  </si>
  <si>
    <t>TRAVELLING &amp; SUBSISTANCE - KOTTAWA</t>
  </si>
  <si>
    <t>0125</t>
  </si>
  <si>
    <t>VAT ON FINANCIAL SERVICES</t>
  </si>
  <si>
    <t>0412</t>
  </si>
  <si>
    <t>RENT EXPENSES- NEGOMBO</t>
  </si>
  <si>
    <t>1511</t>
  </si>
  <si>
    <t>CASH TRANSPORT FEES - NIKAWERATIYA</t>
  </si>
  <si>
    <t>1660</t>
  </si>
  <si>
    <t>RECOVERY VISIT EXPENSES - MATALE</t>
  </si>
  <si>
    <t>1495</t>
  </si>
  <si>
    <t>TELEPHONE CHARGES - DENIYAYA</t>
  </si>
  <si>
    <t>2863</t>
  </si>
  <si>
    <t>PABC LTL</t>
  </si>
  <si>
    <t>1742</t>
  </si>
  <si>
    <t>TRADE &amp; REVENUE LICENCE-WALASMULLA</t>
  </si>
  <si>
    <t>1186</t>
  </si>
  <si>
    <t>PRINTING &amp; STATIONERY - BATTICALOA</t>
  </si>
  <si>
    <t>0930</t>
  </si>
  <si>
    <t>STAFF TRAINING - MADAPATHA</t>
  </si>
  <si>
    <t>2200</t>
  </si>
  <si>
    <t>PROMOTIONS EXPENSE-NEGAMBO</t>
  </si>
  <si>
    <t>1020</t>
  </si>
  <si>
    <t>STAFF BONUS - PUTTALAM</t>
  </si>
  <si>
    <t>1044</t>
  </si>
  <si>
    <t>PROFESSIONAL CHARGES - PUTTALAM</t>
  </si>
  <si>
    <t>0633</t>
  </si>
  <si>
    <t>SALARIES &amp; WAGES - MATARA</t>
  </si>
  <si>
    <t>0932</t>
  </si>
  <si>
    <t>STAFF TRAINING - YAKKALA</t>
  </si>
  <si>
    <t>0824</t>
  </si>
  <si>
    <t>SUNDRY EXPENSES - CHILAW</t>
  </si>
  <si>
    <t>2105</t>
  </si>
  <si>
    <t>UNERANED INCOME-COMMERCAIL CREDIT</t>
  </si>
  <si>
    <t>0980</t>
  </si>
  <si>
    <t>SALES COMMISSION - AMPARA</t>
  </si>
  <si>
    <t>2618</t>
  </si>
  <si>
    <t>FURNITURE &amp; FITTINGS MAINTENANCE  - BORELLA</t>
  </si>
  <si>
    <t>1919</t>
  </si>
  <si>
    <t>VEHICLE REPAIRE &amp; MAINTANANCE-KEGALLA</t>
  </si>
  <si>
    <t>0467</t>
  </si>
  <si>
    <t>ADVERTISING EXPENSES - AMPARA</t>
  </si>
  <si>
    <t>1407</t>
  </si>
  <si>
    <t>GARAGE FEES - BALANGODA</t>
  </si>
  <si>
    <t>2005</t>
  </si>
  <si>
    <t>RESCHEDULEMENT CLOUSER-PLEDGE LOAN</t>
  </si>
  <si>
    <t>2133</t>
  </si>
  <si>
    <t>REALIZED GAIN/LOSS ON SALE OF TB AND BONDS</t>
  </si>
  <si>
    <t>2890</t>
  </si>
  <si>
    <t>STAFF MEDICAL EXPENSES - JA ELA</t>
  </si>
  <si>
    <t>2451</t>
  </si>
  <si>
    <t>FVOCI - SECURITIES TRADING ACCOUNT (T)</t>
  </si>
  <si>
    <t>2774</t>
  </si>
  <si>
    <t>STAFF TRAINING - WELLAWATTA</t>
  </si>
  <si>
    <t>1139</t>
  </si>
  <si>
    <t>DEPRECIATION - COMPUTER SOFTWARE- PUTTALAM</t>
  </si>
  <si>
    <t>1677</t>
  </si>
  <si>
    <t>CURRENT ACCOUNT - KILINOCHCHI</t>
  </si>
  <si>
    <t>2748</t>
  </si>
  <si>
    <t>SAVINGS DEPOSITS CLOSING FEE</t>
  </si>
  <si>
    <t>2750</t>
  </si>
  <si>
    <t>SAVING DEPOSIT STANDING ODER PAYABLE</t>
  </si>
  <si>
    <t>1993</t>
  </si>
  <si>
    <t>NEWS PAPER &amp; PERIOD-GALEWELA</t>
  </si>
  <si>
    <t>2491</t>
  </si>
  <si>
    <t>PRFESSIONAL FEES - MAHIYANGANAYA</t>
  </si>
  <si>
    <t>2818</t>
  </si>
  <si>
    <t>GARAGE CHARGES - KANDY CITY</t>
  </si>
  <si>
    <t>1257</t>
  </si>
  <si>
    <t>CURRENT ACCOUNT NO (PAN ASIA) 100166000923</t>
  </si>
  <si>
    <t>2086</t>
  </si>
  <si>
    <t>INTEREST PAYABLE ON INTER COMPANY BORROWING</t>
  </si>
  <si>
    <t>1870</t>
  </si>
  <si>
    <t>VEHICLE REPAIRS &amp; MAINTANANCE-RATHNAPURA</t>
  </si>
  <si>
    <t>1110</t>
  </si>
  <si>
    <t>ENTERTAINMENT - MONARAGALA</t>
  </si>
  <si>
    <t>1109</t>
  </si>
  <si>
    <t>ENTERTAINMENT - BADULLA</t>
  </si>
  <si>
    <t>2853</t>
  </si>
  <si>
    <t>SECURITY EXPENSE-KOTTAWA</t>
  </si>
  <si>
    <t>2393</t>
  </si>
  <si>
    <t>NEWS PAPER &amp; PERIODICALS - KIRIBATHGODA</t>
  </si>
  <si>
    <t>0453</t>
  </si>
  <si>
    <t>DEFAULT INTEREST - SPARE PARTS</t>
  </si>
  <si>
    <t>1852</t>
  </si>
  <si>
    <t>MT BROKER CONTROL-NATION LANKA EQUITIES</t>
  </si>
  <si>
    <t>2903</t>
  </si>
  <si>
    <t>CASH TRANSPORT FEES - JA ELA</t>
  </si>
  <si>
    <t>2446</t>
  </si>
  <si>
    <t>SECURITY EXPENSE - GALEWELA</t>
  </si>
  <si>
    <t>1017</t>
  </si>
  <si>
    <t>STAFF BONUS - KANDY</t>
  </si>
  <si>
    <t>0455</t>
  </si>
  <si>
    <t>ORZONE WATERCOR</t>
  </si>
  <si>
    <t>2652</t>
  </si>
  <si>
    <t>FURNITURE &amp; FITTINGS MAINTENANCE  - NUGEGODA</t>
  </si>
  <si>
    <t>2017</t>
  </si>
  <si>
    <t>UNION BANK STL-500MN</t>
  </si>
  <si>
    <t>2608</t>
  </si>
  <si>
    <t>FURNITURE &amp; FITTINGS MAINTENANCE  - AMBALANGODA</t>
  </si>
  <si>
    <t>0900</t>
  </si>
  <si>
    <t>NEWS PAPERS &amp; PERIOD - BATTARAMULLA</t>
  </si>
  <si>
    <t>2644</t>
  </si>
  <si>
    <t>FURNITURE &amp; FITTINGS MAINTENANCE  - MATALE</t>
  </si>
  <si>
    <t>2613</t>
  </si>
  <si>
    <t>FURNITURE &amp; FITTINGS MAINTENANCE  - BADULLA</t>
  </si>
  <si>
    <t>2312</t>
  </si>
  <si>
    <t>INTEREST RECEIVABLE ON HIRE PURCHASE</t>
  </si>
  <si>
    <t>2348</t>
  </si>
  <si>
    <t>GOODWILL WRITE-OFF</t>
  </si>
  <si>
    <t>1992</t>
  </si>
  <si>
    <t>VEHICLE REPAIRE AND MAINTAINCE-GALEWELA</t>
  </si>
  <si>
    <t>0933</t>
  </si>
  <si>
    <t>STAFF TRAINING - RATHNAPURA</t>
  </si>
  <si>
    <t>1673</t>
  </si>
  <si>
    <t>GUARANTEE FEE EXPENSES</t>
  </si>
  <si>
    <t>1901</t>
  </si>
  <si>
    <t>UNIDENTIFIED DEPOSIT  (SEYLAN) - 0864-00041323-001</t>
  </si>
  <si>
    <t>2650</t>
  </si>
  <si>
    <t>FURNITURE &amp; FITTINGS MAINTENANCE  - NEGOMBO</t>
  </si>
  <si>
    <t>0232</t>
  </si>
  <si>
    <t>STANDARD CHARTERED BANK - LOAN</t>
  </si>
  <si>
    <t>2306</t>
  </si>
  <si>
    <t>FUEL &amp; OIL - ELPITIYA</t>
  </si>
  <si>
    <t>1745</t>
  </si>
  <si>
    <t>TELEPHONE CHARGES-WALASMULLA</t>
  </si>
  <si>
    <t>0013</t>
  </si>
  <si>
    <t>DEFAULT INTEREST - LEASE</t>
  </si>
  <si>
    <t>1228</t>
  </si>
  <si>
    <t>TEA &amp; MEALS EXPENSES  - TRINCO</t>
  </si>
  <si>
    <t>0018</t>
  </si>
  <si>
    <t>TRANSFER FEE - LEASE</t>
  </si>
  <si>
    <t>2812</t>
  </si>
  <si>
    <t>BUILDING MAINTENANCE - KANDY CITY</t>
  </si>
  <si>
    <t>2739</t>
  </si>
  <si>
    <t>INTEREST PAYABLE FD BORROWING - MONTHLY</t>
  </si>
  <si>
    <t>2152</t>
  </si>
  <si>
    <t>SERVICE CHARGE INCOME-ASSET DRAFT</t>
  </si>
  <si>
    <t>1846</t>
  </si>
  <si>
    <t>MARGIN TRADING DEBTOR</t>
  </si>
  <si>
    <t>0037</t>
  </si>
  <si>
    <t>SALARIES &amp; WAGES - HO</t>
  </si>
  <si>
    <t>1234</t>
  </si>
  <si>
    <t>PRINTING &amp; STATIONERY  - TRINCO</t>
  </si>
  <si>
    <t>1567</t>
  </si>
  <si>
    <t>TEA &amp; MEAL EXPENSES - GAMPOLA</t>
  </si>
  <si>
    <t>2388</t>
  </si>
  <si>
    <t>PRINTING &amp; STATIONARY - BANDARAWELLA</t>
  </si>
  <si>
    <t>1428</t>
  </si>
  <si>
    <t xml:space="preserve">TEA &amp; MEALS EXPENSES - MAHIYANGANAYA </t>
  </si>
  <si>
    <t>2830</t>
  </si>
  <si>
    <t>TEA &amp; MEAL EXPENSES - KANDY CITY</t>
  </si>
  <si>
    <t>1340</t>
  </si>
  <si>
    <t>ELECTRICITY - JAFFNA</t>
  </si>
  <si>
    <t>2340</t>
  </si>
  <si>
    <t>CASH TRANSPORT FEES - ELPITIYA</t>
  </si>
  <si>
    <t>2804</t>
  </si>
  <si>
    <t>RE.REPO EXCHANGE REVALUATION</t>
  </si>
  <si>
    <t>0418</t>
  </si>
  <si>
    <t>ELECTRICITY - POLONNARUWA</t>
  </si>
  <si>
    <t>0609</t>
  </si>
  <si>
    <t>OFFICE EQUIPMENT MAINTENANCE - MATARA</t>
  </si>
  <si>
    <t>0589</t>
  </si>
  <si>
    <t>OFFICE EQUIPMENT MAINTENANCE - AMPARA</t>
  </si>
  <si>
    <t>2001</t>
  </si>
  <si>
    <t>TRAVELLING &amp; SUBSISTANCE-MALIGAWATTA</t>
  </si>
  <si>
    <t>0605</t>
  </si>
  <si>
    <t>OFFICE EQUIPMENT MAINTENANCE - PUTTALAM</t>
  </si>
  <si>
    <t>1961</t>
  </si>
  <si>
    <t>DATA COMMUNICATION CHARGES-GALEWELA</t>
  </si>
  <si>
    <t>1291</t>
  </si>
  <si>
    <t>TELEPHONE CHARGES - VAUNIYA</t>
  </si>
  <si>
    <t>1614</t>
  </si>
  <si>
    <t>TEA &amp; MEAL EXPENSES - AKKARAIPATTU</t>
  </si>
  <si>
    <t>0076</t>
  </si>
  <si>
    <t>PERSONAL ACCIDENT INSURANCE</t>
  </si>
  <si>
    <t>0612</t>
  </si>
  <si>
    <t>OFFICE EQUIPMENT MAINTENANCE - KALUTHARA</t>
  </si>
  <si>
    <t>1211</t>
  </si>
  <si>
    <t>ELECTRICITY - DEHIATTAKANDIYA</t>
  </si>
  <si>
    <t>0752</t>
  </si>
  <si>
    <t>PRINTING &amp; STATIONERY - CHILAW</t>
  </si>
  <si>
    <t>0516</t>
  </si>
  <si>
    <t>BUILDING MAINTENANCE - ANURADHAPURA</t>
  </si>
  <si>
    <t>1617</t>
  </si>
  <si>
    <t>TRAVELLING &amp; SUBSISTANCE - AKKARAIPATTU</t>
  </si>
  <si>
    <t>0529</t>
  </si>
  <si>
    <t>BUILDING MAINTENANCE - KURUNEGALA</t>
  </si>
  <si>
    <t>0734</t>
  </si>
  <si>
    <t>PRINTING &amp; STATIONERY - AMPARA</t>
  </si>
  <si>
    <t>2584</t>
  </si>
  <si>
    <t>PRINTING &amp; STATIONERY  - NUGEGODA</t>
  </si>
  <si>
    <t>2696</t>
  </si>
  <si>
    <t>COMMERCIAL BANK LONG TERM LOAN</t>
  </si>
  <si>
    <t>1339</t>
  </si>
  <si>
    <t>WATER CHARGES - JAFFNA</t>
  </si>
  <si>
    <t>1557</t>
  </si>
  <si>
    <t>RESCHEDULMENT CLOSURE - SME</t>
  </si>
  <si>
    <t>0273</t>
  </si>
  <si>
    <t>PROVISION FOR DEPRECIATION - FURNITURE &amp; FITTINGS</t>
  </si>
  <si>
    <t>1600</t>
  </si>
  <si>
    <t>DATA COMMUNICATION CHARGES - KULIYAPITIYA</t>
  </si>
  <si>
    <t>1143</t>
  </si>
  <si>
    <t>DEPRECIATION - COMPUTER SOFTWARE- MATARA</t>
  </si>
  <si>
    <t>1210</t>
  </si>
  <si>
    <t>TRANSPORT COST</t>
  </si>
  <si>
    <t>0711</t>
  </si>
  <si>
    <t>POSTAGE &amp; STAMPS - ANURADHAPURA</t>
  </si>
  <si>
    <t>1216</t>
  </si>
  <si>
    <t>PARKING CHARGES - HO</t>
  </si>
  <si>
    <t>0779</t>
  </si>
  <si>
    <t>STAFF WELFARE &amp; BENEFITS - BATTARAMULLA</t>
  </si>
  <si>
    <t>0787</t>
  </si>
  <si>
    <t>STAFF MEDICAL EXPENSES - RATHNAPURA</t>
  </si>
  <si>
    <t>0992</t>
  </si>
  <si>
    <t>SALES COMMISSION - DEHIATTAKANDIYA</t>
  </si>
  <si>
    <t>2757</t>
  </si>
  <si>
    <t>DATA COMMUNICATION CHARGES - WELLAWATTA</t>
  </si>
  <si>
    <t>1002</t>
  </si>
  <si>
    <t>SALES COMMISSION - AMBALANTHOTA</t>
  </si>
  <si>
    <t>2606</t>
  </si>
  <si>
    <t>SECURITY EXPENSES - BATTICALOA</t>
  </si>
  <si>
    <t>0924</t>
  </si>
  <si>
    <t>TRADE &amp; REVENUE LICENSE - MATARA</t>
  </si>
  <si>
    <t>2265</t>
  </si>
  <si>
    <t>STAFF TRAINING - BATICOLOA</t>
  </si>
  <si>
    <t>2802</t>
  </si>
  <si>
    <t>INVESTMENT INCOME SAVING ACCOUNT USD -  NTB</t>
  </si>
  <si>
    <t>2865</t>
  </si>
  <si>
    <t>FUEL &amp; OIL- NUGEGODA</t>
  </si>
  <si>
    <t>2617</t>
  </si>
  <si>
    <t>FURNITURE &amp; FITTINGS MAINTENANCE  - BATTICALOA</t>
  </si>
  <si>
    <t>2551</t>
  </si>
  <si>
    <t>SECURITY EXPENSES - BORELLA</t>
  </si>
  <si>
    <t>2430</t>
  </si>
  <si>
    <t>PROVISION FOR WRITE OFF INVESTMENT PROPERTY</t>
  </si>
  <si>
    <t>1757</t>
  </si>
  <si>
    <t>STAFF TRAINING-NIKAWERATIYA</t>
  </si>
  <si>
    <t>2492</t>
  </si>
  <si>
    <t>PROFESSIONAL FEES - KEKIRAWA</t>
  </si>
  <si>
    <t>1045</t>
  </si>
  <si>
    <t>PROFESSIONAL CHARGES - NEGOMBO</t>
  </si>
  <si>
    <t>1517</t>
  </si>
  <si>
    <t>RECOVERY VISIT EXPENSES - NIKAWERATIYA</t>
  </si>
  <si>
    <t>1581</t>
  </si>
  <si>
    <t>GARAGE CHARGES - GAMPOLA</t>
  </si>
  <si>
    <t>1371</t>
  </si>
  <si>
    <t>GARAGE CHARGES - POLONNARUWA</t>
  </si>
  <si>
    <t>1478</t>
  </si>
  <si>
    <t>INTEREST IN SUSPENCE - DF- NEW</t>
  </si>
  <si>
    <t>1862</t>
  </si>
  <si>
    <t>CURRENT ACCOUNT (DEUTSCHE) 0041236-00-4</t>
  </si>
  <si>
    <t>1032</t>
  </si>
  <si>
    <t>PROFESSIONAL CHARGES - YAKKALA</t>
  </si>
  <si>
    <t>2082</t>
  </si>
  <si>
    <t>FUEL &amp; OIL-BALANGODA</t>
  </si>
  <si>
    <t>2623</t>
  </si>
  <si>
    <t>FURNITURE &amp; FITTINGS MAINTENANCE  - ELPITIYA</t>
  </si>
  <si>
    <t>1827</t>
  </si>
  <si>
    <t>NATIONS TRUST BANK- STL</t>
  </si>
  <si>
    <t>1174</t>
  </si>
  <si>
    <t>COMMERCIAL BANK LOAN REF 542112</t>
  </si>
  <si>
    <t>2536</t>
  </si>
  <si>
    <t>ADVERTISING EXPENSE - BORELLA</t>
  </si>
  <si>
    <t>2224</t>
  </si>
  <si>
    <t>SAMPATH BANK LTL - 302965000913</t>
  </si>
  <si>
    <t>1037</t>
  </si>
  <si>
    <t>PROFESSIONAL CHARGES - BADULLA</t>
  </si>
  <si>
    <t>2631</t>
  </si>
  <si>
    <t>FURNITURE &amp; FITTINGS MAINTENANCE  - KALUTHARA</t>
  </si>
  <si>
    <t>1741</t>
  </si>
  <si>
    <t>RECOVERY VISIT EXPENSES-WALASMULLA</t>
  </si>
  <si>
    <t>2838</t>
  </si>
  <si>
    <t>ADVERTISING EXPENSES - KOTTAWA</t>
  </si>
  <si>
    <t>2662</t>
  </si>
  <si>
    <t>FURNITURE &amp; FITTINGS MAINTENANCE  - YAKKALA</t>
  </si>
  <si>
    <t>2356</t>
  </si>
  <si>
    <t>CURRENT ACCOUNTS</t>
  </si>
  <si>
    <t>2478</t>
  </si>
  <si>
    <t>SECURITIES REVALUATION (T)</t>
  </si>
  <si>
    <t>1621</t>
  </si>
  <si>
    <t>CURRENT ACCOUNT - (DEUTSCHE) 0041236-00-3</t>
  </si>
  <si>
    <t>1891</t>
  </si>
  <si>
    <t>VEHICLE REPAIRS &amp; MAINTANANCE-HOROWPATHANA</t>
  </si>
  <si>
    <t>1374</t>
  </si>
  <si>
    <t>NDB SECURITISATION TRUST 03</t>
  </si>
  <si>
    <t>2016</t>
  </si>
  <si>
    <t>CURRENT ACCOUNT - WELLAWAYA</t>
  </si>
  <si>
    <t>0994</t>
  </si>
  <si>
    <t>SALES COMMISSION - KURUNEGALA</t>
  </si>
  <si>
    <t>2490</t>
  </si>
  <si>
    <t xml:space="preserve">MORATORUIM DEBTOR CONTROL - 2ND </t>
  </si>
  <si>
    <t>2791</t>
  </si>
  <si>
    <t>OD INTEREST INCOME -MARGIN TRADING</t>
  </si>
  <si>
    <t>0278</t>
  </si>
  <si>
    <t>PROVISION FOR BAD DEBTS-PLADGE LOAN</t>
  </si>
  <si>
    <t>1883</t>
  </si>
  <si>
    <t>VEHICLE REPAIRS &amp; MAINTANANCE-TRINCO</t>
  </si>
  <si>
    <t>1978</t>
  </si>
  <si>
    <t>EARNED INCOME-INVOICE DICOUNTING</t>
  </si>
  <si>
    <t>0270</t>
  </si>
  <si>
    <t>I.O.U.CONTROL ACCOUNT</t>
  </si>
  <si>
    <t>1263</t>
  </si>
  <si>
    <t>TRAVELLING &amp; SUBSISTANCE - KEGALLE</t>
  </si>
  <si>
    <t>2421</t>
  </si>
  <si>
    <t>HNB SAVING ACCOUNT (MONEY MARKET)-003020810466</t>
  </si>
  <si>
    <t>2154</t>
  </si>
  <si>
    <t>OTHER CHARGES RECOVARABLE-ASSET DRAFT</t>
  </si>
  <si>
    <t>2302</t>
  </si>
  <si>
    <t>TEA &amp; MEAL EXPENSES - ELPITIYA</t>
  </si>
  <si>
    <t>0839</t>
  </si>
  <si>
    <t>TEA &amp; MEAL EXPENSES - BADULLA</t>
  </si>
  <si>
    <t>0695</t>
  </si>
  <si>
    <t>WATER CHARGES - BADULLA</t>
  </si>
  <si>
    <t>1787</t>
  </si>
  <si>
    <t>TEA &amp; MEALS EXPENSES - AVISSAWELLA</t>
  </si>
  <si>
    <t>1678</t>
  </si>
  <si>
    <t>BUILDING MAINTENANCE-KILINOCHCHI</t>
  </si>
  <si>
    <t>2065</t>
  </si>
  <si>
    <t>CASH TRANSPORT FEES-MULLAITTIVU</t>
  </si>
  <si>
    <t>0745</t>
  </si>
  <si>
    <t>PRINTING &amp; STATIONERY - POLONNARUWA</t>
  </si>
  <si>
    <t>0845</t>
  </si>
  <si>
    <t>TEA &amp; MEAL EXPENSES - NUWARAELIYA</t>
  </si>
  <si>
    <t>1894</t>
  </si>
  <si>
    <t>FUEL &amp; OIL- BADULLA</t>
  </si>
  <si>
    <t>0863</t>
  </si>
  <si>
    <t>TRAVELLING &amp; SUBSISTANCE - GALLE</t>
  </si>
  <si>
    <t>0905</t>
  </si>
  <si>
    <t>TRADE &amp; REVENUE LICENSE - ANURADHAPURA</t>
  </si>
  <si>
    <t>2118</t>
  </si>
  <si>
    <t>ELECTRICITY-HORANA</t>
  </si>
  <si>
    <t>0116</t>
  </si>
  <si>
    <t>OVERDRAFT INTEREST - SAMPATH BANK</t>
  </si>
  <si>
    <t>1532</t>
  </si>
  <si>
    <t>INTEREST IN SUSPENSE - SME</t>
  </si>
  <si>
    <t>0747</t>
  </si>
  <si>
    <t>PRINTING &amp; STATIONERY - KANDY</t>
  </si>
  <si>
    <t>1630</t>
  </si>
  <si>
    <t>ELECTRICITY - AKKARAIPATTU</t>
  </si>
  <si>
    <t>1646</t>
  </si>
  <si>
    <t>WATER CHARGES - AKKARIPATTU</t>
  </si>
  <si>
    <t>0735</t>
  </si>
  <si>
    <t>PRINTING &amp; STATIONERY - ANURADHAPURA</t>
  </si>
  <si>
    <t>0751</t>
  </si>
  <si>
    <t>PRINTING &amp; STATIONERY - NEGOMBO</t>
  </si>
  <si>
    <t>2202</t>
  </si>
  <si>
    <t>PROMOTIONS EXPENSE-NUWERAELIYA</t>
  </si>
  <si>
    <t>0521</t>
  </si>
  <si>
    <t>BUILDING MAINTENANCE - EMBILIPITIYA</t>
  </si>
  <si>
    <t>1487</t>
  </si>
  <si>
    <t>DOMESTIC COURIER CHARGES - DENIYAYA</t>
  </si>
  <si>
    <t>0869</t>
  </si>
  <si>
    <t>TRAVELLING &amp; SUBSISTANCE - KURUNEGALA</t>
  </si>
  <si>
    <t>2436</t>
  </si>
  <si>
    <t>OFFICE EQUIPMENT MAINTANANCE-MAWANELLA</t>
  </si>
  <si>
    <t>0579</t>
  </si>
  <si>
    <t>TELEPHONE CHARGES - KURUNEGALA</t>
  </si>
  <si>
    <t>2558</t>
  </si>
  <si>
    <t>TRAVELLING &amp; SUBSISTANCE - BORELLA</t>
  </si>
  <si>
    <t>2507</t>
  </si>
  <si>
    <t>PROMOTION EXPENSE - AMBALANGODA</t>
  </si>
  <si>
    <t>1542</t>
  </si>
  <si>
    <t>ADVERTISING EXPENSES - NIKAWARATIYA</t>
  </si>
  <si>
    <t>2341</t>
  </si>
  <si>
    <t>COMMISSION ON BOC COLLECTION A/C</t>
  </si>
  <si>
    <t>2420</t>
  </si>
  <si>
    <t>CURRENT ACCOUNT - HNB (TRUST ) 003010525899</t>
  </si>
  <si>
    <t>2581</t>
  </si>
  <si>
    <t>RENT EXPENSE - NUGEGODA</t>
  </si>
  <si>
    <t>0078</t>
  </si>
  <si>
    <t>GROUP LIFE INSURANCE</t>
  </si>
  <si>
    <t>2780</t>
  </si>
  <si>
    <t>WATER CHARGES - WELLAWATTA</t>
  </si>
  <si>
    <t>2786</t>
  </si>
  <si>
    <t>HNB LTL</t>
  </si>
  <si>
    <t>2714</t>
  </si>
  <si>
    <t>SECURITY EXPENSE-PANADURA</t>
  </si>
  <si>
    <t>0541</t>
  </si>
  <si>
    <t>DATA COMMUNICATION CHARGES - ANURADHAPURA</t>
  </si>
  <si>
    <t>1231</t>
  </si>
  <si>
    <t>TELEPHONE CHARGES  - TRINCO</t>
  </si>
  <si>
    <t>2742</t>
  </si>
  <si>
    <t>TEMPORARY REFUND AGAINST FD CONTROL ACCOUNT</t>
  </si>
  <si>
    <t>1747</t>
  </si>
  <si>
    <t xml:space="preserve">POSTAGE &amp; STAMPS - KILINOCHCHI </t>
  </si>
  <si>
    <t>2833</t>
  </si>
  <si>
    <t>TRAVELLING &amp; SUBSISTANCE - KANDY CITY</t>
  </si>
  <si>
    <t>2368</t>
  </si>
  <si>
    <t>PROMOTIONS EXPENSES - MAWANELLA</t>
  </si>
  <si>
    <t>0686</t>
  </si>
  <si>
    <t>WATER CHARGES - AMPARA</t>
  </si>
  <si>
    <t>1048</t>
  </si>
  <si>
    <t>PROFESSIONAL CHARGES - MATARA</t>
  </si>
  <si>
    <t>1417</t>
  </si>
  <si>
    <t>FUEL &amp; OIL - KD</t>
  </si>
  <si>
    <t>2534</t>
  </si>
  <si>
    <t>SAVINGS COMMERCIAL BANK 8012360105</t>
  </si>
  <si>
    <t>1589</t>
  </si>
  <si>
    <t>ADVERTISING EXPENSES - GAMPOLA</t>
  </si>
  <si>
    <t>0951</t>
  </si>
  <si>
    <t>STAFF TRAINING - KALUTHARA</t>
  </si>
  <si>
    <t>0715</t>
  </si>
  <si>
    <t>POSTAGE &amp; STAMPS - RATHNAPURA</t>
  </si>
  <si>
    <t>2724</t>
  </si>
  <si>
    <t>ADVERTISING EXPENSES - ELPITIYA</t>
  </si>
  <si>
    <t>1924</t>
  </si>
  <si>
    <t>CURRENT A/C COMMERCAIL FOREIGN (LISVIN)-1030009903</t>
  </si>
  <si>
    <t>1880</t>
  </si>
  <si>
    <t>VEHICLE REPAIRS &amp; MAINTANANCE-MANNAR</t>
  </si>
  <si>
    <t>1802</t>
  </si>
  <si>
    <t xml:space="preserve">FUEL &amp; OIL-WALASMULLA </t>
  </si>
  <si>
    <t>0881</t>
  </si>
  <si>
    <t>NEWS PAPERS &amp; PERIOD - MADAPATHA</t>
  </si>
  <si>
    <t>0099</t>
  </si>
  <si>
    <t>SECRETARIAL FEES - S.S.P. CORPORATE SERVICES</t>
  </si>
  <si>
    <t>2800</t>
  </si>
  <si>
    <t>INTEREST EXPENSE ON USD BORROWING</t>
  </si>
  <si>
    <t>2821</t>
  </si>
  <si>
    <t>POSTAGE &amp; STAMPS - KANDY CITY</t>
  </si>
  <si>
    <t>2099</t>
  </si>
  <si>
    <t>OTHER CHARGES RECOVERABLE-COMMERCAIL CREDIT</t>
  </si>
  <si>
    <t>0911</t>
  </si>
  <si>
    <t>TRADE &amp; REVENUE LICENSE - TISSAMAHARAMA</t>
  </si>
  <si>
    <t>0903</t>
  </si>
  <si>
    <t xml:space="preserve">TRADE,REVENUE AND OTHER LICENSE - HO </t>
  </si>
  <si>
    <t>1033</t>
  </si>
  <si>
    <t>PROFESSIONAL CHARGES - RATHNAPURA</t>
  </si>
  <si>
    <t>0813</t>
  </si>
  <si>
    <t>SUNDRY EXPENSES - TISSAMAHARAMA</t>
  </si>
  <si>
    <t>1845</t>
  </si>
  <si>
    <t>FUEL &amp; OIL-KILINOCHCHI</t>
  </si>
  <si>
    <t>2844</t>
  </si>
  <si>
    <t>FUEL &amp; OIL- KOTTAWA</t>
  </si>
  <si>
    <t>2142</t>
  </si>
  <si>
    <t>DPMC LOAN-BULLET-01</t>
  </si>
  <si>
    <t>2572</t>
  </si>
  <si>
    <t>VEHICLE REPAIRE &amp; MAINTAINCE-NUGEGODA</t>
  </si>
  <si>
    <t>1107</t>
  </si>
  <si>
    <t>ENTERTAINMENT - TISSAMAHARAMA</t>
  </si>
  <si>
    <t>2127</t>
  </si>
  <si>
    <t>INVESTMENT IN FIXED DEPOSIT-UNION BANK</t>
  </si>
  <si>
    <t>2241</t>
  </si>
  <si>
    <t>CURRENT LIABILITY OF LTL - HNB 003040175739</t>
  </si>
  <si>
    <t>1424</t>
  </si>
  <si>
    <t xml:space="preserve">DEFERRED STRUCTURING FEE - SCB LOAN </t>
  </si>
  <si>
    <t>2089</t>
  </si>
  <si>
    <t>INVESTMENT INCOME ON FIXED DEPOSIT</t>
  </si>
  <si>
    <t>0459</t>
  </si>
  <si>
    <t>STAFF LOANS</t>
  </si>
  <si>
    <t>1255</t>
  </si>
  <si>
    <t>GARAGE CHARGES - EMBILIPITIYA</t>
  </si>
  <si>
    <t>1369</t>
  </si>
  <si>
    <t>PROFESSIONAL CHARGES - BALANGODA</t>
  </si>
  <si>
    <t>2505</t>
  </si>
  <si>
    <t>STAFF MEDICALE EXPENSE - AMBALANGODA</t>
  </si>
  <si>
    <t>1902</t>
  </si>
  <si>
    <t>UNEARNED INCOME - TREASURY BILLS</t>
  </si>
  <si>
    <t>0129</t>
  </si>
  <si>
    <t>LEASE DEBTORS - NP</t>
  </si>
  <si>
    <t>0209</t>
  </si>
  <si>
    <t>UN EARNED INCOME HIRE PURCHASE - NP</t>
  </si>
  <si>
    <t>1116</t>
  </si>
  <si>
    <t>ENTERTAINMENT - PUTTALAM</t>
  </si>
  <si>
    <t>2121</t>
  </si>
  <si>
    <t xml:space="preserve">NEWS PAPERS &amp; PERIOD-HORANA </t>
  </si>
  <si>
    <t>2256</t>
  </si>
  <si>
    <t>SECURITY EXPENSES-MANNAR</t>
  </si>
  <si>
    <t>0004</t>
  </si>
  <si>
    <t>ORDINARY SHARECAPITAL</t>
  </si>
  <si>
    <t>1717</t>
  </si>
  <si>
    <t>JANITORIAL &amp; SANITORY WORK-KEKIRAWA</t>
  </si>
  <si>
    <t>1191</t>
  </si>
  <si>
    <t>TRANSPORT CHARGES RECOVERABLE</t>
  </si>
  <si>
    <t>0415</t>
  </si>
  <si>
    <t>RENT EXPENSES-POLONNARUWA</t>
  </si>
  <si>
    <t>2737</t>
  </si>
  <si>
    <t>INTEREST EXPENSE FD BORROWING - MONTHLY</t>
  </si>
  <si>
    <t>2162</t>
  </si>
  <si>
    <t>DUPLICATE DELETION CHARGES</t>
  </si>
  <si>
    <t>0699</t>
  </si>
  <si>
    <t>WATER CHARGES - KANDY</t>
  </si>
  <si>
    <t>2358</t>
  </si>
  <si>
    <t>STAFF WELFAIRE &amp; BENIFITS - MAWANELLA</t>
  </si>
  <si>
    <t>2447</t>
  </si>
  <si>
    <t>MORATORUIM INTEREST RECEIVABLE</t>
  </si>
  <si>
    <t>2604</t>
  </si>
  <si>
    <t>PAN ASIA BANK CURRENT ACCOUNT NO - 100311009522</t>
  </si>
  <si>
    <t>2002</t>
  </si>
  <si>
    <t>TRAVELING &amp; SUBSISTANCE-GALEWELLA</t>
  </si>
  <si>
    <t>1406</t>
  </si>
  <si>
    <t>CASH TRANSPORT FEES - KEKIRAWA</t>
  </si>
  <si>
    <t>0684</t>
  </si>
  <si>
    <t>JANITORIAL &amp; SANITORY WORK - KALUTARA</t>
  </si>
  <si>
    <t>1317</t>
  </si>
  <si>
    <t>TEA &amp; MEAL EXPENSES - KEGALLE</t>
  </si>
  <si>
    <t>2028</t>
  </si>
  <si>
    <t>PRINTING &amp; STATIONERY-MULLAITTVU</t>
  </si>
  <si>
    <t>1333</t>
  </si>
  <si>
    <t>TRAVELLING &amp; SUBSISTANCE - JAFFNA</t>
  </si>
  <si>
    <t>1984</t>
  </si>
  <si>
    <t>CLOUSER-PLEDGE LOAN</t>
  </si>
  <si>
    <t>2325</t>
  </si>
  <si>
    <t>BUILDING MAINTENANCE-BANDARAWELA</t>
  </si>
  <si>
    <t>0640</t>
  </si>
  <si>
    <t>DOMESTIC COURIER CHARGES - DAMBULLA</t>
  </si>
  <si>
    <t>1396</t>
  </si>
  <si>
    <t>RENT EXPENSES - BALANGODA</t>
  </si>
  <si>
    <t>0668</t>
  </si>
  <si>
    <t>JANITORIAL &amp; SANITORY WORK - TISSAMAHARAMA</t>
  </si>
  <si>
    <t>2034</t>
  </si>
  <si>
    <t>BUILDING MAINTANANCE - MULLAITIVU</t>
  </si>
  <si>
    <t>2688</t>
  </si>
  <si>
    <t>FIXED DEPOSIT INTEREST EXPENSES-INDIVIDUAL</t>
  </si>
  <si>
    <t>2033</t>
  </si>
  <si>
    <t>FUEL &amp; OIL- MULLAITIVU</t>
  </si>
  <si>
    <t>1713</t>
  </si>
  <si>
    <t>PRINTING &amp; STATIONERY- KILINOCHCHI</t>
  </si>
  <si>
    <t>2297</t>
  </si>
  <si>
    <t>FUEL &amp; OIL - KIRIBATHGODA</t>
  </si>
  <si>
    <t>0651</t>
  </si>
  <si>
    <t>DOMESTIC COURIER CHARGES - KURUNEGALA</t>
  </si>
  <si>
    <t>0565</t>
  </si>
  <si>
    <t>TELEPHONE CHARGES - AMPARA</t>
  </si>
  <si>
    <t>1990</t>
  </si>
  <si>
    <t>CURRENT ACCOUNT - MALIGAWATTA</t>
  </si>
  <si>
    <t>0429</t>
  </si>
  <si>
    <t>CURRENT ACCOUNT NO (DEUTSCHE) - 0041236-00-0</t>
  </si>
  <si>
    <t>1553</t>
  </si>
  <si>
    <t>DOMESTIC COURIER CHARGES - MAHIYANGANAYA</t>
  </si>
  <si>
    <t>1267</t>
  </si>
  <si>
    <t>DATA COMMUNICATION CHARGES - VAUNIYA</t>
  </si>
  <si>
    <t>2484</t>
  </si>
  <si>
    <t>OVERDRAFT INTEREST - SCB</t>
  </si>
  <si>
    <t>0544</t>
  </si>
  <si>
    <t>DATA COMMUNICATION CHARGES - YAKKALA</t>
  </si>
  <si>
    <t>0574</t>
  </si>
  <si>
    <t>TELEPHONE CHARGES - BADULLA</t>
  </si>
  <si>
    <t>2067</t>
  </si>
  <si>
    <t>DOMESTIC COURIER CHARGES-MULLAITTUV</t>
  </si>
  <si>
    <t>0913</t>
  </si>
  <si>
    <t>TRADE &amp; REVENUE LICENSE - BADULLA</t>
  </si>
  <si>
    <t>1102</t>
  </si>
  <si>
    <t>ENTERTAINMENT - MADAPATHA</t>
  </si>
  <si>
    <t>2085</t>
  </si>
  <si>
    <t>INTEREST PAYABLE ON COMMERCAIL PAPER</t>
  </si>
  <si>
    <t>2783</t>
  </si>
  <si>
    <t>BUILDING RENT INCOME - CHILAW</t>
  </si>
  <si>
    <t>1358</t>
  </si>
  <si>
    <t>SALES COMMISSION -VAUNIYA</t>
  </si>
  <si>
    <t xml:space="preserve">INTER COMPANY RECOVERABLE FROM DPMC LANKA (PVT) </t>
  </si>
  <si>
    <t>2861</t>
  </si>
  <si>
    <t>WATER CHARGES - KOTTAWA</t>
  </si>
  <si>
    <t>1453</t>
  </si>
  <si>
    <t>RECOVERY VISIT EXPENSES - MANNAR</t>
  </si>
  <si>
    <t>2725</t>
  </si>
  <si>
    <t>TRADE &amp; REVENUE LICENCE - ELPITIYA</t>
  </si>
  <si>
    <t>1865</t>
  </si>
  <si>
    <t>FUEL &amp; OIL-MONORAGALA</t>
  </si>
  <si>
    <t>0485</t>
  </si>
  <si>
    <t>ADVERTISING EXPENSES - CHILAW</t>
  </si>
  <si>
    <t>0945</t>
  </si>
  <si>
    <t>STAFF TRAINING - NEGOMBO</t>
  </si>
  <si>
    <t>0940</t>
  </si>
  <si>
    <t>STAFF TRAINING - DEHIATTAKANDIYA</t>
  </si>
  <si>
    <t>2902</t>
  </si>
  <si>
    <t>DATA COMMUNICATION CHARGES - JA ELA</t>
  </si>
  <si>
    <t>0938</t>
  </si>
  <si>
    <t>STAFF TRAINING - MONARAGALA</t>
  </si>
  <si>
    <t>1226</t>
  </si>
  <si>
    <t>STAFF TRAINING - TRINCO</t>
  </si>
  <si>
    <t>1606</t>
  </si>
  <si>
    <t>ENTERTAINMENT - KULIYAPITIYA</t>
  </si>
  <si>
    <t>1389</t>
  </si>
  <si>
    <t>OTHER INCOME - SPARE PARTS</t>
  </si>
  <si>
    <t>0929</t>
  </si>
  <si>
    <t>STAFF TRAINING - ANURADHAPURA</t>
  </si>
  <si>
    <t>1227</t>
  </si>
  <si>
    <t>STAFF MEDICAL EXPENSES  - TRINCO</t>
  </si>
  <si>
    <t>0097</t>
  </si>
  <si>
    <t>ACCESS NATURAL WATER</t>
  </si>
  <si>
    <t>0782</t>
  </si>
  <si>
    <t>STAFF MEDICAL EXPENSES - AMPARA</t>
  </si>
  <si>
    <t>1376</t>
  </si>
  <si>
    <t xml:space="preserve"> DEFERRED SECURITIZATION EXPENSE </t>
  </si>
  <si>
    <t>2485</t>
  </si>
  <si>
    <t>PROFESSIONAL FEES - TRINCOMALEE</t>
  </si>
  <si>
    <t>2655</t>
  </si>
  <si>
    <t>FURNITURE &amp; FITTINGS MAINTENANCE  - PUTTALAM</t>
  </si>
  <si>
    <t>0199</t>
  </si>
  <si>
    <t>UN EARNED INCOME - PRAGATHI</t>
  </si>
  <si>
    <t>0895</t>
  </si>
  <si>
    <t>NEWS PAPERS &amp; PERIOD - PUTTALAM</t>
  </si>
  <si>
    <t>1423</t>
  </si>
  <si>
    <t>RECOVERY VISIT EXPENSES - JAFFNA</t>
  </si>
  <si>
    <t>2235</t>
  </si>
  <si>
    <t>CURRENT LIABILITY OF LTL - COMMERCIAL 1490755</t>
  </si>
  <si>
    <t>1265</t>
  </si>
  <si>
    <t>PAN ASIA BANK LOAN</t>
  </si>
  <si>
    <t>0142</t>
  </si>
  <si>
    <t>LOAN DEBTORS - DEALER FINANCE - LEGAL</t>
  </si>
  <si>
    <t xml:space="preserve">OVERPAYMENTS -TRADE FINANCE </t>
  </si>
  <si>
    <t>1431</t>
  </si>
  <si>
    <t>NEWS PAPERS &amp; PERIODICALS - MAHIYANGANAYA</t>
  </si>
  <si>
    <t>1920</t>
  </si>
  <si>
    <t>COST OF CONTROL (AMALAGAMATION-LISVIN)</t>
  </si>
  <si>
    <t>0220</t>
  </si>
  <si>
    <t>PREPAID RENTAL HIRE PURCHASE - P</t>
  </si>
  <si>
    <t>0532</t>
  </si>
  <si>
    <t>BUILDING MAINTENANCE - NEGOMBO</t>
  </si>
  <si>
    <t>0685</t>
  </si>
  <si>
    <t>WATER CHARGES - HO</t>
  </si>
  <si>
    <t>0048</t>
  </si>
  <si>
    <t>ELECTRICITY - MATHUGAMA</t>
  </si>
  <si>
    <t>1281</t>
  </si>
  <si>
    <t>NEWS PAPERS &amp; PERIOD - KEGALLE</t>
  </si>
  <si>
    <t>1421</t>
  </si>
  <si>
    <t>Profit &amp; Loss a/c</t>
  </si>
  <si>
    <t>0271</t>
  </si>
  <si>
    <t>OTHER CHARGES RECOVARABLE</t>
  </si>
  <si>
    <t>1672</t>
  </si>
  <si>
    <t>DEFERRED PROMOTION EXPENSES</t>
  </si>
  <si>
    <t>1201</t>
  </si>
  <si>
    <t>SERVICE CHARGES - SME</t>
  </si>
  <si>
    <t>1245</t>
  </si>
  <si>
    <t>DATA COMMUNICATION CHARGES - TRINCO</t>
  </si>
  <si>
    <t>2369</t>
  </si>
  <si>
    <t>ELECTRICITY EXPENSES - MAWANELLA</t>
  </si>
  <si>
    <t>0600</t>
  </si>
  <si>
    <t>OFFICE EQUIPMENT MAINTENANCE - POLONNARUWA</t>
  </si>
  <si>
    <t>1209</t>
  </si>
  <si>
    <t>SERVICE CHARGES - TF</t>
  </si>
  <si>
    <t>2381</t>
  </si>
  <si>
    <t>RENT EXPENSE - MAWANELLA</t>
  </si>
  <si>
    <t>0666</t>
  </si>
  <si>
    <t>JANITORIAL &amp; SANITORY WORK - RATHNAPURA</t>
  </si>
  <si>
    <t>0676</t>
  </si>
  <si>
    <t>JANITORIAL &amp; SANITORY WORK - NUWARA ELIYA</t>
  </si>
  <si>
    <t>2528</t>
  </si>
  <si>
    <t>CURRENT A/C DFCC 007001014689</t>
  </si>
  <si>
    <t>2437</t>
  </si>
  <si>
    <t>CASH TRANSPORT CHARGES - BANDARAWELLA</t>
  </si>
  <si>
    <t>2522</t>
  </si>
  <si>
    <t>TRADE REVENUE &amp; LICENCES - KIRIBATHGODA</t>
  </si>
  <si>
    <t>1450</t>
  </si>
  <si>
    <t>ELECTRICITY - MANNAR</t>
  </si>
  <si>
    <t>0550</t>
  </si>
  <si>
    <t>DATA COMMUNICATION CHARGES - MONARAGALA</t>
  </si>
  <si>
    <t>2339</t>
  </si>
  <si>
    <t>DOMESTIC COURIER CHARGES - ELPITIYA</t>
  </si>
  <si>
    <t>2762</t>
  </si>
  <si>
    <t>ELECTRICITY - WELLAWATTA</t>
  </si>
  <si>
    <t>0123</t>
  </si>
  <si>
    <t>BANK CHARGES - NDB BANK</t>
  </si>
  <si>
    <t>1365</t>
  </si>
  <si>
    <t>CASH TRANSPORT FEES - JAFFNA</t>
  </si>
  <si>
    <t>0772</t>
  </si>
  <si>
    <t>STAFF WELFARE &amp; BENEFITS - KURUNEGALA</t>
  </si>
  <si>
    <t>0441</t>
  </si>
  <si>
    <t>RENT EXPENSES - MONARAGALA</t>
  </si>
  <si>
    <t>2722</t>
  </si>
  <si>
    <t>WATER CHARGES - PANADURA</t>
  </si>
  <si>
    <t>1839</t>
  </si>
  <si>
    <t>FUEL &amp; OIL- MADAPATHA</t>
  </si>
  <si>
    <t>1871</t>
  </si>
  <si>
    <t>VEHICLE REPAIRS &amp; MAINTANANCE-ANURADHAPURA</t>
  </si>
  <si>
    <t>2295</t>
  </si>
  <si>
    <t>SECURITY EXPENSE-KIRIBATHGODA</t>
  </si>
  <si>
    <t>2286</t>
  </si>
  <si>
    <t>TELEPHONE CHARGES-KIRIBATHGODA</t>
  </si>
  <si>
    <t>2768</t>
  </si>
  <si>
    <t>PRINTING &amp; STATIONERY - WELLAWATTA</t>
  </si>
  <si>
    <t>2390</t>
  </si>
  <si>
    <t>DOMESTIC COURIER CHARGES - BANDARAWELLA</t>
  </si>
  <si>
    <t>1022</t>
  </si>
  <si>
    <t>STAFF BONUS - CHILAW</t>
  </si>
  <si>
    <t>0204</t>
  </si>
  <si>
    <t>SHARES IN UNQUOTED COMPANIES</t>
  </si>
  <si>
    <t>2106</t>
  </si>
  <si>
    <t>WATER CHARGES-HORANA</t>
  </si>
  <si>
    <t>0547</t>
  </si>
  <si>
    <t>DATA COMMUNICATION CHARGES - TISSAMAHARAMA</t>
  </si>
  <si>
    <t>2851</t>
  </si>
  <si>
    <t>PROMOTIONS EXPENSE-KOTTAWA</t>
  </si>
  <si>
    <t>2889</t>
  </si>
  <si>
    <t>STAFF TRAINING - JA ELA</t>
  </si>
  <si>
    <t>2268</t>
  </si>
  <si>
    <t>DOCUMENTATION FEE INCOME-FACTORING</t>
  </si>
  <si>
    <t>2616</t>
  </si>
  <si>
    <t>FURNITURE &amp; FITTINGS MAINTENANCE  - BATTARAMULLA</t>
  </si>
  <si>
    <t>1280</t>
  </si>
  <si>
    <t>RECOVERY VISIT EXPENSES - KEGALLE</t>
  </si>
  <si>
    <t>2547</t>
  </si>
  <si>
    <t>PROFESSIONAL CHARGES - BORELLA</t>
  </si>
  <si>
    <t>2874</t>
  </si>
  <si>
    <t>TRAVELLING ALLOWANCE</t>
  </si>
  <si>
    <t>0035</t>
  </si>
  <si>
    <t>COMMISSION ON GURANTEES</t>
  </si>
  <si>
    <t>2633</t>
  </si>
  <si>
    <t>FURNITURE &amp; FITTINGS MAINTENANCE  - KEGALLE</t>
  </si>
  <si>
    <t>2261</t>
  </si>
  <si>
    <t>EARNED INCOME NP-DF</t>
  </si>
  <si>
    <t>2627</t>
  </si>
  <si>
    <t>FURNITURE &amp; FITTINGS MAINTENANCE   - GAMPOLA</t>
  </si>
  <si>
    <t>1159</t>
  </si>
  <si>
    <t>DEFAULT INTEREST - KALYANA</t>
  </si>
  <si>
    <t>1758</t>
  </si>
  <si>
    <t>STAFF TRAINING-KULIYAPITIYA</t>
  </si>
  <si>
    <t>1287</t>
  </si>
  <si>
    <t>STAFF TRAINING - VAUNIYA</t>
  </si>
  <si>
    <t>1124</t>
  </si>
  <si>
    <t>DEPRECIATION - COMPUTER SOFTWARE-ANURADHAPURA</t>
  </si>
  <si>
    <t>2103</t>
  </si>
  <si>
    <t>SERVICE CHARGE-COMMERCAIL CREDIT</t>
  </si>
  <si>
    <t>0458</t>
  </si>
  <si>
    <t>INVESTMENT INCOME - DPMCFS</t>
  </si>
  <si>
    <t>2888</t>
  </si>
  <si>
    <t>RENT EXPENSES - JA ELA</t>
  </si>
  <si>
    <t>1055</t>
  </si>
  <si>
    <t>E.P.F. CONTRIBUTION - DAMBULLA</t>
  </si>
  <si>
    <t>0143</t>
  </si>
  <si>
    <t xml:space="preserve">LOAN DEBTORS - DEALER REFINANCE - P </t>
  </si>
  <si>
    <t>1950</t>
  </si>
  <si>
    <t xml:space="preserve">SAMPATH BANK LTL - 302965000719 </t>
  </si>
  <si>
    <t>2665</t>
  </si>
  <si>
    <t>PROVISION FOR BAD DEBTS-PLADGE LOAN - OVER 12</t>
  </si>
  <si>
    <t>1119</t>
  </si>
  <si>
    <t>ENTERTAINMENT - MATHUGAMA</t>
  </si>
  <si>
    <t>0783</t>
  </si>
  <si>
    <t>STAFF MEDICAL EXPENSES - ANURADHAPURA</t>
  </si>
  <si>
    <t>0484</t>
  </si>
  <si>
    <t>ADVERTISING EXPENSES - NEGOMBO</t>
  </si>
  <si>
    <t>1533</t>
  </si>
  <si>
    <t>INVESTMENT IN FIXED DEPOSIT - COM BANK</t>
  </si>
  <si>
    <t xml:space="preserve">CASH SHORTAGE OR EXCESS/M.K.P.I.KUMARA </t>
  </si>
  <si>
    <t>0829</t>
  </si>
  <si>
    <t>SUNDRY EXPENSES - KALUTARA</t>
  </si>
  <si>
    <t>1535</t>
  </si>
  <si>
    <t>SALES COMMISSION - DENIYAYA</t>
  </si>
  <si>
    <t>1991</t>
  </si>
  <si>
    <t>VEHICLE REPAIRE AND MAINTENANCE-HORANA</t>
  </si>
  <si>
    <t>0093</t>
  </si>
  <si>
    <t>BAD DEBTS LOAN - SPECIFIC</t>
  </si>
  <si>
    <t>1112</t>
  </si>
  <si>
    <t>ENTERTAINMENT - DEHIATTAKANDIYA</t>
  </si>
  <si>
    <t>1498</t>
  </si>
  <si>
    <t>GARAGE FEES - DENIYAYA</t>
  </si>
  <si>
    <t>0692</t>
  </si>
  <si>
    <t>WATER CHARGES - EMBILIPITIYA</t>
  </si>
  <si>
    <t>1028</t>
  </si>
  <si>
    <t>PROFESSIONAL CHARGES - AMPARA</t>
  </si>
  <si>
    <t>0537</t>
  </si>
  <si>
    <t>BUILDING MAINTENANCE - AMBALANTHOTA</t>
  </si>
  <si>
    <t>2145</t>
  </si>
  <si>
    <t>POSTAGE &amp; STAMPS-MALIGAWATTA</t>
  </si>
  <si>
    <t>2561</t>
  </si>
  <si>
    <t>BANK CHARGES -CARGIILS  BANK</t>
  </si>
  <si>
    <t>1531</t>
  </si>
  <si>
    <t>DEFAULT INTEREST - SME</t>
  </si>
  <si>
    <t>0848</t>
  </si>
  <si>
    <t>TEA &amp; MEAL EXPENSES - CHILAW</t>
  </si>
  <si>
    <t>2452</t>
  </si>
  <si>
    <t>SECURITIES ASSET ACCOUNT (T)</t>
  </si>
  <si>
    <t>0601</t>
  </si>
  <si>
    <t>OFFICE EQUIPMENT MAINTENANCE - DEHIATTAKANDIYA</t>
  </si>
  <si>
    <t>0661</t>
  </si>
  <si>
    <t>JANITORIAL &amp; SANITORY WORK - AMPARA</t>
  </si>
  <si>
    <t>0118</t>
  </si>
  <si>
    <t>BANK CHARGES - COMMECIAL BANK</t>
  </si>
  <si>
    <t>0039</t>
  </si>
  <si>
    <t>E.T.F. CONTRIBUTION- HO</t>
  </si>
  <si>
    <t>0082</t>
  </si>
  <si>
    <t>CASH IN TRANSIT INSURANCE</t>
  </si>
  <si>
    <t>1438</t>
  </si>
  <si>
    <t>CASH TRANSPORT FEES - BALANGODA</t>
  </si>
  <si>
    <t>0519</t>
  </si>
  <si>
    <t>BUILDING MAINTENANCE - YAKKALA</t>
  </si>
  <si>
    <t>1627</t>
  </si>
  <si>
    <t>DATA COMMUNICATION CHARGES - HOROWPATHANA</t>
  </si>
  <si>
    <t>2081</t>
  </si>
  <si>
    <t>JANITORIAL &amp; SANITORY WORKS-GALEWELLA</t>
  </si>
  <si>
    <t>0538</t>
  </si>
  <si>
    <t>BUILDING MAINTENANCE - KALUTHARA</t>
  </si>
  <si>
    <t>1696</t>
  </si>
  <si>
    <t>COMMUNITY WELFARE EXPENSES</t>
  </si>
  <si>
    <t>0773</t>
  </si>
  <si>
    <t>STAFF WELFARE &amp; BENEFITS - NUWARAELIYA</t>
  </si>
  <si>
    <t>0147</t>
  </si>
  <si>
    <t>FURNITURE &amp; FITTINGS</t>
  </si>
  <si>
    <t>2092</t>
  </si>
  <si>
    <t>TRAVELING &amp; SUBSISTANCE-MULLAITTIVU</t>
  </si>
  <si>
    <t>1199</t>
  </si>
  <si>
    <t>ELECTRICITY - BATTICALOA</t>
  </si>
  <si>
    <t>1457</t>
  </si>
  <si>
    <t>TELEPHONE CHARGES - MANNAR</t>
  </si>
  <si>
    <t>0046</t>
  </si>
  <si>
    <t>ELECTRICITY - KANDY</t>
  </si>
  <si>
    <t>1598</t>
  </si>
  <si>
    <t>CASH TRANSPORT FEES - KULIYAPITIYA</t>
  </si>
  <si>
    <t>2210</t>
  </si>
  <si>
    <t>PROMOTIONS EXPENSE-WALASMULLA</t>
  </si>
  <si>
    <t>1509</t>
  </si>
  <si>
    <t>SECURITY EXPENSES - RATHNAPURA</t>
  </si>
  <si>
    <t>1737</t>
  </si>
  <si>
    <t>ELECTRICITY CHARGES-WALASMULLA</t>
  </si>
  <si>
    <t>0606</t>
  </si>
  <si>
    <t>OFFICE EQUIPMENT MAINTENANCE - NEGOMBO</t>
  </si>
  <si>
    <t>1974</t>
  </si>
  <si>
    <t>EARNED INCOME-REVOLVIN</t>
  </si>
  <si>
    <t>2540</t>
  </si>
  <si>
    <t>DOMESTIC COURIER CHARGES - BORELLA</t>
  </si>
  <si>
    <t>1241</t>
  </si>
  <si>
    <t>OFFICE EQUIPMENTS &amp; MAINTENANCE - TRINCO</t>
  </si>
  <si>
    <t>2708</t>
  </si>
  <si>
    <t>OFFICE EQUIPMENT MAINTENANCE - PANADURA</t>
  </si>
  <si>
    <t>2549</t>
  </si>
  <si>
    <t>PROMOTIONS EXPENSE-BORELLA</t>
  </si>
  <si>
    <t>1141</t>
  </si>
  <si>
    <t>DEPRECIATION - COMPUTER SOFTWARE- CHILAW</t>
  </si>
  <si>
    <t>2659</t>
  </si>
  <si>
    <t>FURNITURE &amp; FITTINGS MAINTENANCE  - VAUNIYA</t>
  </si>
  <si>
    <t>1250</t>
  </si>
  <si>
    <t>GARAGE CHARGES - KANDY</t>
  </si>
  <si>
    <t>2858</t>
  </si>
  <si>
    <t>TELEPHONE CHARGES - KOTTAWA</t>
  </si>
  <si>
    <t>1479</t>
  </si>
  <si>
    <t>CLOSURES -DF - NEW</t>
  </si>
  <si>
    <t>1149</t>
  </si>
  <si>
    <t>ELECTRICITY - BATTARAMULLA</t>
  </si>
  <si>
    <t>2785</t>
  </si>
  <si>
    <t>CARGILLS BANK LTL</t>
  </si>
  <si>
    <t>1783</t>
  </si>
  <si>
    <t>DATA COMUNICATION CHARGES- AWISSAWELLA</t>
  </si>
  <si>
    <t>2123</t>
  </si>
  <si>
    <t>VEHICLE REPAIRE &amp; MAINTANANCE-KALUTHARA</t>
  </si>
  <si>
    <t>2367</t>
  </si>
  <si>
    <t>TRADE &amp; REVENUE LICENCES - MAWANELLA</t>
  </si>
  <si>
    <t>0919</t>
  </si>
  <si>
    <t>TRADE &amp; REVENUE LICENSE - NUWARAELIYA</t>
  </si>
  <si>
    <t>2460</t>
  </si>
  <si>
    <t>RECEIPT SUSPENCE MATURITIES ACCOUNTS (TT)</t>
  </si>
  <si>
    <t>2207</t>
  </si>
  <si>
    <t>PROMOTIONS EXPENSE-TISSAMAHARAMA</t>
  </si>
  <si>
    <t>2113</t>
  </si>
  <si>
    <t>POSTAGE &amp; STAMPS-GALEWELLA</t>
  </si>
  <si>
    <t>1856</t>
  </si>
  <si>
    <t>FUEL &amp; OIL-HOROWPATHANA</t>
  </si>
  <si>
    <t>0240</t>
  </si>
  <si>
    <t>EARNED INCOME LOAN -NP</t>
  </si>
  <si>
    <t>2770</t>
  </si>
  <si>
    <t>PROMOTIONS EXPENSE-WELLAWATTA</t>
  </si>
  <si>
    <t>2131</t>
  </si>
  <si>
    <t>FUEL &amp; OIL-MATARA</t>
  </si>
  <si>
    <t>1233</t>
  </si>
  <si>
    <t>POSTAGE &amp; STAMPS  - TRINCO</t>
  </si>
  <si>
    <t>1129</t>
  </si>
  <si>
    <t>DEPRECIATION - COMPUTER SOFTWARE- EMBILIPITIYA</t>
  </si>
  <si>
    <t>1583</t>
  </si>
  <si>
    <t>TRADE &amp; REVENUE LICENCE - GAMPOLA</t>
  </si>
  <si>
    <t>2150</t>
  </si>
  <si>
    <t>TRADE &amp; REVENUE LICENSE-GALEWELA</t>
  </si>
  <si>
    <t>0019</t>
  </si>
  <si>
    <t>PROFIT ON DISPOSAL OF ASSETS - LEASE</t>
  </si>
  <si>
    <t>2418</t>
  </si>
  <si>
    <t>PROVISION FOR BAD DEBT - SME</t>
  </si>
  <si>
    <t>2653</t>
  </si>
  <si>
    <t>FURNITURE &amp; FITTINGS MAINTENANCE  - NUWARAELIYA</t>
  </si>
  <si>
    <t>0785</t>
  </si>
  <si>
    <t>STAFF MEDICAL EXPENSES - DAMBULLA</t>
  </si>
  <si>
    <t>1483</t>
  </si>
  <si>
    <t>SALES COMMISSION - MAHIYANGANAYA</t>
  </si>
  <si>
    <t>0629</t>
  </si>
  <si>
    <t>SALARIES &amp; WAGES - PUTTALAM</t>
  </si>
  <si>
    <t>0490</t>
  </si>
  <si>
    <t>ADVERTISING EXPENSES - KALUTHARA</t>
  </si>
  <si>
    <t>2397</t>
  </si>
  <si>
    <t>LC COMMISSION RECEIVABLE – TF</t>
  </si>
  <si>
    <t>2841</t>
  </si>
  <si>
    <t>DATA COMMUNICATION CHARGES - KOTTAWA</t>
  </si>
  <si>
    <t>0002</t>
  </si>
  <si>
    <t>CURRENT ACCOUNT NO (HNB) - 003010275997</t>
  </si>
  <si>
    <t>1065</t>
  </si>
  <si>
    <t>E.P.F. CONTRIBUTION - KANDY</t>
  </si>
  <si>
    <t>0725</t>
  </si>
  <si>
    <t>POSTAGE &amp; STAMPS - NUWARAELIYA</t>
  </si>
  <si>
    <t>1928</t>
  </si>
  <si>
    <t>SAVING ACCOUNT - DFCC VARDANA (LISVIN) - 001-107019-717</t>
  </si>
  <si>
    <t>1043</t>
  </si>
  <si>
    <t>PROFESSIONAL CHARGES - NUWARAELIYA</t>
  </si>
  <si>
    <t>2163</t>
  </si>
  <si>
    <t>COMMERCIAL BANK LTL - 1989383</t>
  </si>
  <si>
    <t>1412</t>
  </si>
  <si>
    <t>STAFF TRAINNING - MAHIYANGANAYA</t>
  </si>
  <si>
    <t>1538</t>
  </si>
  <si>
    <t>PEOPLE'S BANK COLLECTION ACCOUNT</t>
  </si>
  <si>
    <t>2625</t>
  </si>
  <si>
    <t>FURNITURE &amp; FITTINGS MAINTENANCE - GALEWELA</t>
  </si>
  <si>
    <t>0880</t>
  </si>
  <si>
    <t>NEWS PAPERS &amp; PERIOD - ANURADHAPURA</t>
  </si>
  <si>
    <t>1698</t>
  </si>
  <si>
    <t>NEWS PAPER &amp; PERIODICALS-HOROWPATHANA</t>
  </si>
  <si>
    <t>1074</t>
  </si>
  <si>
    <t>E.P.F. CONTRIBUTION - AMBALANTHOTA</t>
  </si>
  <si>
    <t>1273</t>
  </si>
  <si>
    <t>PROFESSIONAL CHARGES - KEGALLE</t>
  </si>
  <si>
    <t>2473</t>
  </si>
  <si>
    <t>FVOCI - SECURITIES COUPON INTEREST (T)</t>
  </si>
  <si>
    <t>2689</t>
  </si>
  <si>
    <t>FIXED DEPOSIT PENALTY INTEREST-INDIVIDUAL</t>
  </si>
  <si>
    <t>2637</t>
  </si>
  <si>
    <t>FURNITURE &amp; FITTINGS MAINTENANCE   - KULIYAPITIYA</t>
  </si>
  <si>
    <t>1985</t>
  </si>
  <si>
    <t>CLOUSER-REVOLVING LOAN</t>
  </si>
  <si>
    <t>2124</t>
  </si>
  <si>
    <t>NEWS PAPERS &amp; PERIOD-MULLAITTUVE</t>
  </si>
  <si>
    <t>1202</t>
  </si>
  <si>
    <t>SAMPATH BANK LOAN- NO 393065000420</t>
  </si>
  <si>
    <t>0470</t>
  </si>
  <si>
    <t>ADVERTISING EXPENSES - DAMBULLA</t>
  </si>
  <si>
    <t>1801</t>
  </si>
  <si>
    <t>FUEL &amp; OIL- MATALE</t>
  </si>
  <si>
    <t>2288</t>
  </si>
  <si>
    <t>ELECTRICITY CHARGES-KIRIBATHGODA</t>
  </si>
  <si>
    <t>0189</t>
  </si>
  <si>
    <t>INSURANCE RECOVERABLE</t>
  </si>
  <si>
    <t>2738</t>
  </si>
  <si>
    <t>INTEREST PAYABLE FD BORROWING - MATURITY</t>
  </si>
  <si>
    <t>0877</t>
  </si>
  <si>
    <t>TRAVELLING &amp; SUBSISTANCE - AMBALANTHOTA</t>
  </si>
  <si>
    <t>1687</t>
  </si>
  <si>
    <t>STAFF WELFARE &amp; BENEFITS-KILINOCHCHI</t>
  </si>
  <si>
    <t>2046</t>
  </si>
  <si>
    <t>ELECTRICITY-ELPITIYA</t>
  </si>
  <si>
    <t>1945</t>
  </si>
  <si>
    <t>FUEL &amp; OIL-PUTTALAM</t>
  </si>
  <si>
    <t>2734</t>
  </si>
  <si>
    <t>FIXED DEPOSIT BORROWING CONTROL - MATURITY</t>
  </si>
  <si>
    <t>1295</t>
  </si>
  <si>
    <t>RENT EXPENSES- VAUNIYA</t>
  </si>
  <si>
    <t>1595</t>
  </si>
  <si>
    <t>JANITORIAL &amp; SANITORY WORK - GAMPOLA</t>
  </si>
  <si>
    <t>1236</t>
  </si>
  <si>
    <t>CASH TRANSPORT FEES - TRINCO</t>
  </si>
  <si>
    <t>0750</t>
  </si>
  <si>
    <t>PRINTING &amp; STATIONERY - PUTTALAM</t>
  </si>
  <si>
    <t>0798</t>
  </si>
  <si>
    <t>STAFF MEDICAL EXPENSES - PUTTALAM</t>
  </si>
  <si>
    <t>0744</t>
  </si>
  <si>
    <t>PRINTING &amp; STATIONERY - MONARAGALA</t>
  </si>
  <si>
    <t>2167</t>
  </si>
  <si>
    <t>PROMOTIONS EXPENSE-AMBALANTOTA</t>
  </si>
  <si>
    <t>2755</t>
  </si>
  <si>
    <t>BUILDING MAINTENANCE - WELLAWATTA</t>
  </si>
  <si>
    <t>1654</t>
  </si>
  <si>
    <t>CASH TRANSPORT FEES - MATALE</t>
  </si>
  <si>
    <t>1650</t>
  </si>
  <si>
    <t>RENT EXPENSE - KILINOCHCHI</t>
  </si>
  <si>
    <t>1161</t>
  </si>
  <si>
    <t>STAFF WELFARE &amp; BENEFITS - BATTICALOA</t>
  </si>
  <si>
    <t>0445</t>
  </si>
  <si>
    <t>ELECTRICITY - MONARAGALA</t>
  </si>
  <si>
    <t>2172</t>
  </si>
  <si>
    <t>PROMOTIONS EXPENSE-BALANGODA</t>
  </si>
  <si>
    <t>2030</t>
  </si>
  <si>
    <t>RENT EXPENSES-WELLAWAYA</t>
  </si>
  <si>
    <t>1379</t>
  </si>
  <si>
    <t>DOMESTIC COURIER CHARGES - BALANGODA</t>
  </si>
  <si>
    <t>1154</t>
  </si>
  <si>
    <t>RENT EXPENSES - BATTARAMULLA</t>
  </si>
  <si>
    <t>0087</t>
  </si>
  <si>
    <t>DEPRECIATION - FURNITURE &amp; FITTINGS</t>
  </si>
  <si>
    <t>0578</t>
  </si>
  <si>
    <t>TELEPHONE CHARGES - KANDY</t>
  </si>
  <si>
    <t>2315</t>
  </si>
  <si>
    <t>INTEREST RECEIVABLE ON REVOLVIN LOAN</t>
  </si>
  <si>
    <t>0628</t>
  </si>
  <si>
    <t>SALARIES &amp; WAGES - NUWARA ELIYA</t>
  </si>
  <si>
    <t>1807</t>
  </si>
  <si>
    <t>SECURITY EXPENSES- DENIYAYA</t>
  </si>
  <si>
    <t>1643</t>
  </si>
  <si>
    <t>TELEPHONE CHARGES - AKKARAIPATTU</t>
  </si>
  <si>
    <t>2775</t>
  </si>
  <si>
    <t>STAFF WELFARE &amp; BENEFITS - WELLAWATTA</t>
  </si>
  <si>
    <t>2021</t>
  </si>
  <si>
    <t>STAFF WALFARE &amp; BENIFITS-ELPITIYA</t>
  </si>
  <si>
    <t>1655</t>
  </si>
  <si>
    <t>DATA COMMUNICATION CHARGES - MATALE</t>
  </si>
  <si>
    <t>1042</t>
  </si>
  <si>
    <t>PROFESSIONAL CHARGES - KURUNEGALA</t>
  </si>
  <si>
    <t>1597</t>
  </si>
  <si>
    <t>CASH TRANSPORT FEES - GAMPOLA</t>
  </si>
  <si>
    <t>1016</t>
  </si>
  <si>
    <t>STAFF BONUS - DEHIATTAKANDIYA</t>
  </si>
  <si>
    <t>2682</t>
  </si>
  <si>
    <t>LAND &amp; BUILDING</t>
  </si>
  <si>
    <t>2577</t>
  </si>
  <si>
    <t>STAFF WELFARE &amp; BENEFITS - NUGEGODA</t>
  </si>
  <si>
    <t>2699</t>
  </si>
  <si>
    <t>CASH TRANSPORT FEES - PANADURA</t>
  </si>
  <si>
    <t>2469</t>
  </si>
  <si>
    <t>FVOCI - CAPITAL/PREMATURE GAIN/LOSS (T)</t>
  </si>
  <si>
    <t>1459</t>
  </si>
  <si>
    <t>SECURITY EXPENSES - NUWARA ELIYA</t>
  </si>
  <si>
    <t>2614</t>
  </si>
  <si>
    <t>FURNITURE &amp; FITTINGS MAINTENANCE  - BALANGODA</t>
  </si>
  <si>
    <t>0287</t>
  </si>
  <si>
    <t>INTEREST PAYABLE ON SECURITISATIONS</t>
  </si>
  <si>
    <t>1833</t>
  </si>
  <si>
    <t>FUEL &amp; OIL- POLONNARUWA</t>
  </si>
  <si>
    <t>1444</t>
  </si>
  <si>
    <t>CURRENT ACCOUNT - MANNAR BRANCH</t>
  </si>
  <si>
    <t>1215</t>
  </si>
  <si>
    <t>GARAGE CHARGES - GALLE</t>
  </si>
  <si>
    <t>2135</t>
  </si>
  <si>
    <t>VEHICLE REPAIRS &amp; MAINTENANCE-MAHIYANGANAYA</t>
  </si>
  <si>
    <t>1584</t>
  </si>
  <si>
    <t>TRADE &amp; REVENUE LICENCE - KULIYAPITIYA</t>
  </si>
  <si>
    <t>2647</t>
  </si>
  <si>
    <t>FURNITURE &amp; FITTINGS MAINTENANCE  -MAWENELLA</t>
  </si>
  <si>
    <t>2773</t>
  </si>
  <si>
    <t>STAFF MEDICAL EXPENSES - WELLAWATTA</t>
  </si>
  <si>
    <t>1749</t>
  </si>
  <si>
    <t>COMMERCIAL BANK LTL - 1702068</t>
  </si>
  <si>
    <t>1912</t>
  </si>
  <si>
    <t>FUEL &amp; OIL - MATHUGAMA</t>
  </si>
  <si>
    <t>1007</t>
  </si>
  <si>
    <t>STAFF BONUS - DAMBULLA</t>
  </si>
  <si>
    <t>1849</t>
  </si>
  <si>
    <t>MT BROKER CONTROL-BARTLEET RELIGARE SECURITIES</t>
  </si>
  <si>
    <t>0888</t>
  </si>
  <si>
    <t>NEWS PAPERS &amp; PERIOD - BADULLA</t>
  </si>
  <si>
    <t>2231</t>
  </si>
  <si>
    <t xml:space="preserve">CURRENT LIABILITY OF LTL - SAMPATH 302965000494 </t>
  </si>
  <si>
    <t>0479</t>
  </si>
  <si>
    <t>ADVERTISING EXPENSES - DEHIATTAKANDIYA</t>
  </si>
  <si>
    <t>0089</t>
  </si>
  <si>
    <t>DEPRECIATION - MOTOR VEHICLES</t>
  </si>
  <si>
    <t>2239</t>
  </si>
  <si>
    <t>CURRENT LIABILITY OF LTL - COMMERCIAL 1714288</t>
  </si>
  <si>
    <t xml:space="preserve">OVERPAYMENTS -DEALER REFINANCE </t>
  </si>
  <si>
    <t>1053</t>
  </si>
  <si>
    <t>E.P.F. CONTRIBUTION - ANURADHAPURA</t>
  </si>
  <si>
    <t>1230</t>
  </si>
  <si>
    <t xml:space="preserve">WATER CHARGES  - </t>
  </si>
  <si>
    <t>0179</t>
  </si>
  <si>
    <t>LOAN INSTALMENTS IN ARREARS - P</t>
  </si>
  <si>
    <t>1258</t>
  </si>
  <si>
    <t>CURRENT ACCOUNT NO (PAN ASIA)-100111000668</t>
  </si>
  <si>
    <t>0015</t>
  </si>
  <si>
    <t>INTEREST RECEIVED ON CASH BASIS - HP</t>
  </si>
  <si>
    <t>2132</t>
  </si>
  <si>
    <t>SURCHARGES &amp; PENALTIES</t>
  </si>
  <si>
    <t>0176</t>
  </si>
  <si>
    <t>LEASE RENTALS IN ARREARS - NP</t>
  </si>
  <si>
    <t>2439</t>
  </si>
  <si>
    <t>DEPRECIATION ON LEASE RIGHT TO USE ASSET</t>
  </si>
  <si>
    <t>1285</t>
  </si>
  <si>
    <t>STAFF WELFARE &amp; BENIFITS - KEGALLE</t>
  </si>
  <si>
    <t>1547</t>
  </si>
  <si>
    <t>SEMI LUXURY TAX RECOVERABLE</t>
  </si>
  <si>
    <t>2736</t>
  </si>
  <si>
    <t>INTEREST EXPENSE FD BORROWING - MATURITY</t>
  </si>
  <si>
    <t>2359</t>
  </si>
  <si>
    <t>PEOPLE'S BANK SAVINGS ACCOUNT - 004-2-001-1-4105239</t>
  </si>
  <si>
    <t>2320</t>
  </si>
  <si>
    <t>STAFF WELFARE &amp; BENIFITS - BANDARAWELLA</t>
  </si>
  <si>
    <t>2599</t>
  </si>
  <si>
    <t>SECURITIES COUPON INTEREST ACCOUNT-HTM</t>
  </si>
  <si>
    <t>0570</t>
  </si>
  <si>
    <t>TELEPHONE CHARGES - RATHNAPURA</t>
  </si>
  <si>
    <t>1515</t>
  </si>
  <si>
    <t>JANITORIAL &amp; SANITORY WORK - NIKAWERATIYA</t>
  </si>
  <si>
    <t>0505</t>
  </si>
  <si>
    <t>CASH TRANSPORT FEES - KURUNEGALA</t>
  </si>
  <si>
    <t>2050</t>
  </si>
  <si>
    <t>PRINTING &amp; STATIONERY-HORANA</t>
  </si>
  <si>
    <t>1953</t>
  </si>
  <si>
    <t>TEA &amp; MEAL EXPENSES- MULLAITTIVU</t>
  </si>
  <si>
    <t>0065</t>
  </si>
  <si>
    <t>POSTAGE &amp; STAMPS - HO</t>
  </si>
  <si>
    <t>0523</t>
  </si>
  <si>
    <t>BUILDING MAINTENANCE - GALLE</t>
  </si>
  <si>
    <t>1738</t>
  </si>
  <si>
    <t>JANITORIAL &amp; SANITORY WORK-WALASMULLA</t>
  </si>
  <si>
    <t>2270</t>
  </si>
  <si>
    <t>PENDING DEPOSIT-FACTORING</t>
  </si>
  <si>
    <t>2663</t>
  </si>
  <si>
    <t>OVERDRAFT INTEREST - PABC</t>
  </si>
  <si>
    <t>1293</t>
  </si>
  <si>
    <t>ELECTRICITY - KEGALLE</t>
  </si>
  <si>
    <t>0712</t>
  </si>
  <si>
    <t>POSTAGE &amp; STAMPS - MADAPATHA</t>
  </si>
  <si>
    <t>0061</t>
  </si>
  <si>
    <t>RENT EXPENSES - KANDY</t>
  </si>
  <si>
    <t>1965</t>
  </si>
  <si>
    <t>CASH TRANSPORT CHARGES-GALEWELA</t>
  </si>
  <si>
    <t>0608</t>
  </si>
  <si>
    <t>OFFICE EQUIPMENT MAINTENANCE - MATHUGAMA</t>
  </si>
  <si>
    <t>0941</t>
  </si>
  <si>
    <t>STAFF TRAINING - KANDY</t>
  </si>
  <si>
    <t>1415</t>
  </si>
  <si>
    <t>TRADE &amp; REVENUE LICENCE - BALANGODA</t>
  </si>
  <si>
    <t>2693</t>
  </si>
  <si>
    <t>DEFERRED TAX ON AFS GAIN / LOSS</t>
  </si>
  <si>
    <t>2147</t>
  </si>
  <si>
    <t>ADVERTISING EXPENSE-WALASMULLA</t>
  </si>
  <si>
    <t>0526</t>
  </si>
  <si>
    <t>BUILDING MAINTENANCE - POLONNARUWA</t>
  </si>
  <si>
    <t>0507</t>
  </si>
  <si>
    <t>CASH TRANSPORT FEES - PUTTALAM</t>
  </si>
  <si>
    <t>1540</t>
  </si>
  <si>
    <t>CURRENT ACCOUNT - NIKAWARATIYA BRANCH</t>
  </si>
  <si>
    <t xml:space="preserve">OVERPAYMENTS -DEALER FINANCE </t>
  </si>
  <si>
    <t>0502</t>
  </si>
  <si>
    <t>CASH TRANSPORT FEES - POLONNARUWA</t>
  </si>
  <si>
    <t>1347</t>
  </si>
  <si>
    <t>DOMESTIC COURIER CHARGES - JAFFNA</t>
  </si>
  <si>
    <t>1795</t>
  </si>
  <si>
    <t>POSTAGE &amp; STAMPS - AWISSAWELLA</t>
  </si>
  <si>
    <t>2011</t>
  </si>
  <si>
    <t>DOMESTIC COURIER CHARGES-MALIGAWATTA</t>
  </si>
  <si>
    <t>1786</t>
  </si>
  <si>
    <t>OFFICE EQUIPMENT MAINTANCE-AWISSAWELLA</t>
  </si>
  <si>
    <t>1247</t>
  </si>
  <si>
    <t>WRITE OFF - BAD DEBTS</t>
  </si>
  <si>
    <t>0756</t>
  </si>
  <si>
    <t>PRINTING &amp; STATIONERY - AMBALANTHOTA</t>
  </si>
  <si>
    <t>1661</t>
  </si>
  <si>
    <t>Trade and Revenue License - Matale</t>
  </si>
  <si>
    <t>0284</t>
  </si>
  <si>
    <t>LEAN PROJECT EXPENSES - HO</t>
  </si>
  <si>
    <t>1843</t>
  </si>
  <si>
    <t>FUEL &amp; OIL - CHILAW</t>
  </si>
  <si>
    <t>2592</t>
  </si>
  <si>
    <t>DATA COMMUNICATION CHARGES - NUGEGODA</t>
  </si>
  <si>
    <t>2483</t>
  </si>
  <si>
    <t>PROFESSIONAL FEES - GALEWELA</t>
  </si>
  <si>
    <t>0040</t>
  </si>
  <si>
    <t>STAFF TRAINING - HO</t>
  </si>
  <si>
    <t>2445</t>
  </si>
  <si>
    <t>ACCUMILATED DEPRECEATION FOR RIGHT TO USE ASSET</t>
  </si>
  <si>
    <t>2789</t>
  </si>
  <si>
    <t>PORTFOLIO MANAGEMENT FEE INCOME-MARGIN TRADING</t>
  </si>
  <si>
    <t>0882</t>
  </si>
  <si>
    <t>NEWS PAPERS &amp; PERIOD - DAMBULLA</t>
  </si>
  <si>
    <t>0023</t>
  </si>
  <si>
    <t>INTEREST INCOME ON MORATORIUM DEBTOR - LOAN</t>
  </si>
  <si>
    <t>2352</t>
  </si>
  <si>
    <t>FUEL &amp; OIL - JAFFNA</t>
  </si>
  <si>
    <t>0478</t>
  </si>
  <si>
    <t>ADVERTISING EXPENSES - POLONNARUWA</t>
  </si>
  <si>
    <t>0424</t>
  </si>
  <si>
    <t>EXTRA SERVICE CHARGES INCOME</t>
  </si>
  <si>
    <t>1529</t>
  </si>
  <si>
    <t>LEGAL DEBTOR - DF</t>
  </si>
  <si>
    <t>0961</t>
  </si>
  <si>
    <t>RECOVERY VISIT EXPENSES - RATHNAPURA</t>
  </si>
  <si>
    <t>1351</t>
  </si>
  <si>
    <t>CHANGE CASH CONTROL</t>
  </si>
  <si>
    <t>0401</t>
  </si>
  <si>
    <t>REVENUE LICENCES</t>
  </si>
  <si>
    <t>2527</t>
  </si>
  <si>
    <t>STAFF MEDICAL EXPENSES -MAWANELLE</t>
  </si>
  <si>
    <t>2362</t>
  </si>
  <si>
    <t>ADVERTISING EXPENSE - MAWANELLA</t>
  </si>
  <si>
    <t>1947</t>
  </si>
  <si>
    <t>TRADE REVENUE LICENCE-MALIGAWATTA</t>
  </si>
  <si>
    <t>1072</t>
  </si>
  <si>
    <t>E.P.F. CONTRIBUTION - MATARA</t>
  </si>
  <si>
    <t>1881</t>
  </si>
  <si>
    <t>VEHICLE REPAIRS &amp; MAINTANANCE-VAUNIYA</t>
  </si>
  <si>
    <t>0960</t>
  </si>
  <si>
    <t>RECOVERY VISIT EXPENSES - YAKKALA</t>
  </si>
  <si>
    <t>2047</t>
  </si>
  <si>
    <t>NEWS PAPER &amp; PERIOD-WELLAWAYA</t>
  </si>
  <si>
    <t>0400</t>
  </si>
  <si>
    <t>INSURANCE-COMPANY &amp; STAFF MEMBERS VEHICLES</t>
  </si>
  <si>
    <t>2651</t>
  </si>
  <si>
    <t>FURNITURE &amp; FITTINGS MAINTENANCE  - NIKAWARATIYA</t>
  </si>
  <si>
    <t>0887</t>
  </si>
  <si>
    <t>NEWS PAPERS &amp; PERIOD - GALLE</t>
  </si>
  <si>
    <t>0799</t>
  </si>
  <si>
    <t>STAFF MEDICAL EXPENSES - NEGOMBO</t>
  </si>
  <si>
    <t>1561</t>
  </si>
  <si>
    <t>Kuliyapitiya</t>
  </si>
  <si>
    <t>0969</t>
  </si>
  <si>
    <t>RECOVERY VISIT EXPENSES - KANDY</t>
  </si>
  <si>
    <t>1986</t>
  </si>
  <si>
    <t>CLOUSER-INVOICE DISCOUNTING</t>
  </si>
  <si>
    <t>1098</t>
  </si>
  <si>
    <t>E.T.F. CONTRIBUTION- AMBALANTHOTA</t>
  </si>
  <si>
    <t>1932</t>
  </si>
  <si>
    <t>CURRENT ACCOUNT-BOC (LISVIN)-00006942346</t>
  </si>
  <si>
    <t>1425</t>
  </si>
  <si>
    <t>RECOVERIES SPECAIL PROMOTIONS EXPENSES</t>
  </si>
  <si>
    <t>0883</t>
  </si>
  <si>
    <t>NEWS PAPERS &amp; PERIOD - YAKKALA</t>
  </si>
  <si>
    <t>2083</t>
  </si>
  <si>
    <t>INTEREST EXPENSE ON SECURITIZATIONS</t>
  </si>
  <si>
    <t>0965</t>
  </si>
  <si>
    <t>RECOVERY VISIT EXPENSES - BADULLA</t>
  </si>
  <si>
    <t>2242</t>
  </si>
  <si>
    <t>CURRENT LIABILITY OF LTL - HNB 003040119085</t>
  </si>
  <si>
    <t>2279</t>
  </si>
  <si>
    <t xml:space="preserve">UNEARNED INCOME TREASURY BONDS- CURRENT </t>
  </si>
  <si>
    <t>2084</t>
  </si>
  <si>
    <t>INTEREST PAYABLE ON BANK LOAN</t>
  </si>
  <si>
    <t>1115</t>
  </si>
  <si>
    <t>ENTERTAINMENT - NUWARAELIYA</t>
  </si>
  <si>
    <t>2605</t>
  </si>
  <si>
    <t>PAN ASIA BANK-BLUE CHIP SAVINGS A/C NO  - 200325000550</t>
  </si>
  <si>
    <t>0042</t>
  </si>
  <si>
    <t>SRI LANKA TELECOM LTD.</t>
  </si>
  <si>
    <t>1726</t>
  </si>
  <si>
    <t>PRINTING &amp; STATIONERY-KEKIRAWA</t>
  </si>
  <si>
    <t>0999</t>
  </si>
  <si>
    <t>SALES COMMISSION - MATHUGAMA</t>
  </si>
  <si>
    <t>1571</t>
  </si>
  <si>
    <t>ELECTRICITY - GAMPOLA</t>
  </si>
  <si>
    <t>0003</t>
  </si>
  <si>
    <t>CURRENT ACCOUNT NO (HNB) - 003010145141</t>
  </si>
  <si>
    <t>1173</t>
  </si>
  <si>
    <t>CURRENT ACCOUNT NO (SAMPATH) - 001210005826</t>
  </si>
  <si>
    <t>2463</t>
  </si>
  <si>
    <t>BANK CHARGES ON BORROWING  (T)</t>
  </si>
  <si>
    <t>1432</t>
  </si>
  <si>
    <t>OFFICE EQUIPMENT MAINTENANCE - MAHIYANGANAYA</t>
  </si>
  <si>
    <t>0274</t>
  </si>
  <si>
    <t>PROVISION FOR DEPRECIATION - LEASE HOLD IMPROVEMENTS</t>
  </si>
  <si>
    <t>2805</t>
  </si>
  <si>
    <t>RE.REPO EXCHANGE REVALUATION GAIN / LOSS-UN REALIZED</t>
  </si>
  <si>
    <t>2494</t>
  </si>
  <si>
    <t>CURRENT ACCOUNT (SAYLAN) - 0868-00041323-001</t>
  </si>
  <si>
    <t>1451</t>
  </si>
  <si>
    <t>JANITORIAL &amp; SANITORY WORK - MANNAR</t>
  </si>
  <si>
    <t>2018</t>
  </si>
  <si>
    <t>ELECTRICITY - MALIGAWATTA</t>
  </si>
  <si>
    <t>2560</t>
  </si>
  <si>
    <t>WATER CHARGES - BORELLA</t>
  </si>
  <si>
    <t>SSCL PAYABLE FOR VAT ON FS INCOME</t>
  </si>
  <si>
    <t>0590</t>
  </si>
  <si>
    <t>OFFICE EQUIPMENT MAINTENANCE - ANURADHAPURA</t>
  </si>
  <si>
    <t>2684</t>
  </si>
  <si>
    <t>PROVISION FOR DEPRECIATION LAND &amp; BUILDING</t>
  </si>
  <si>
    <t>2196</t>
  </si>
  <si>
    <t>PROMOTIONS EXPENSE-MATALE</t>
  </si>
  <si>
    <t>1543</t>
  </si>
  <si>
    <t>PRINTING &amp; STATIONERY - NIKAWARATIYA</t>
  </si>
  <si>
    <t>1743</t>
  </si>
  <si>
    <t>STAFF WELFARE &amp; BENIFITS- WALASMULLA</t>
  </si>
  <si>
    <t>1710</t>
  </si>
  <si>
    <t>COMMISSION ON PEOPLES BANK COLLECTION-002</t>
  </si>
  <si>
    <t>0106</t>
  </si>
  <si>
    <t>TRAVELLING &amp; SUBSISTANCE</t>
  </si>
  <si>
    <t>0062</t>
  </si>
  <si>
    <t>RENT EXPENSES - MATARA</t>
  </si>
  <si>
    <t>2721</t>
  </si>
  <si>
    <t>TRAVELLING &amp; SUBSISTANCE - PANADURA</t>
  </si>
  <si>
    <t>1596</t>
  </si>
  <si>
    <t>JANITORIAL &amp; SANITORY WORK - KULIYAPITIYA</t>
  </si>
  <si>
    <t>2010</t>
  </si>
  <si>
    <t>CASH TRANSPORT FEES - MALIGAWATTA</t>
  </si>
  <si>
    <t>1472</t>
  </si>
  <si>
    <t>BUILDING MAINTENANCE - DENIYAYA</t>
  </si>
  <si>
    <t>2330</t>
  </si>
  <si>
    <t>FUEL &amp; OIL- BANDARAWELA</t>
  </si>
  <si>
    <t>1721</t>
  </si>
  <si>
    <t>STAFF WELFARE &amp; BENEFITS-KEKIRAWA</t>
  </si>
  <si>
    <t>2190</t>
  </si>
  <si>
    <t>PROMOTIONS EXPENSE-KULIYAPITIYA</t>
  </si>
  <si>
    <t>1995</t>
  </si>
  <si>
    <t>OFFICE EQUIPMENT MAINTENANCE-MALIGAWATTA</t>
  </si>
  <si>
    <t>0778</t>
  </si>
  <si>
    <t>STAFF WELFARE &amp; BENEFITS - MATARA</t>
  </si>
  <si>
    <t>2509</t>
  </si>
  <si>
    <t>PRINTING &amp; STATIONARY - AMBALANGODA</t>
  </si>
  <si>
    <t>2513</t>
  </si>
  <si>
    <t>JANITORIAL &amp; SANITORY EXPENSE - AMBALANGODA</t>
  </si>
  <si>
    <t>1788</t>
  </si>
  <si>
    <t>PRINTING &amp; STATIONERY - AVISSAWELLA</t>
  </si>
  <si>
    <t>0496</t>
  </si>
  <si>
    <t>CASH TRANSPORT FEES - RATHNAPURA</t>
  </si>
  <si>
    <t>2499</t>
  </si>
  <si>
    <t>TRAVELLING &amp; SUBSISTANCE-AMBALANGODA</t>
  </si>
  <si>
    <t>2177</t>
  </si>
  <si>
    <t>PROMOTIONS EXPENSE-DENIYAYA</t>
  </si>
  <si>
    <t>INTER COMPANY RECOVERABLE- ASSETLINE CORPORATE SERVICES</t>
  </si>
  <si>
    <t>0781</t>
  </si>
  <si>
    <t>STAFF WELFARE &amp; BENEFITS - KALUTHARA</t>
  </si>
  <si>
    <t>1997</t>
  </si>
  <si>
    <t>DATA COMMUNICATION CHARGES-MALIGAWATTA</t>
  </si>
  <si>
    <t>0705</t>
  </si>
  <si>
    <t>WATER CHARGES - MATARA</t>
  </si>
  <si>
    <t>0539</t>
  </si>
  <si>
    <t>DATA COMMUNICATION CHARGES - HO</t>
  </si>
  <si>
    <t>1288</t>
  </si>
  <si>
    <t>STAFF TRAINING - KEGALLE</t>
  </si>
  <si>
    <t>1299</t>
  </si>
  <si>
    <t>DOMESTIC COURIER CHARGES - VAUNIYA</t>
  </si>
  <si>
    <t>0660</t>
  </si>
  <si>
    <t>DOMESTIC COURIER CHARGES - KALUTARA</t>
  </si>
  <si>
    <t>1447</t>
  </si>
  <si>
    <t>CASH TRANSPORT FEES - MANNAR</t>
  </si>
  <si>
    <t>2694</t>
  </si>
  <si>
    <t>ADVERTISING EXPENSES - MATALE</t>
  </si>
  <si>
    <t>1497</t>
  </si>
  <si>
    <t>WATER CHARGES - DENIYAYA</t>
  </si>
  <si>
    <t>1813</t>
  </si>
  <si>
    <t>SECURITY EXPENSES- NEGAMBO</t>
  </si>
  <si>
    <t>2180</t>
  </si>
  <si>
    <t>PROMOTIONS EXPENSE-GALLE</t>
  </si>
  <si>
    <t>2729</t>
  </si>
  <si>
    <t>EXPENSES OF SUSTAINABLE ACCOUNTING</t>
  </si>
  <si>
    <t>0102</t>
  </si>
  <si>
    <t>INTERNAL AUDIT FEES</t>
  </si>
  <si>
    <t>0543</t>
  </si>
  <si>
    <t>DATA COMMUNICATION CHARGES - DAMBULLA</t>
  </si>
  <si>
    <t>0038</t>
  </si>
  <si>
    <t>E.P.F. CONTRIBUTION - HO</t>
  </si>
  <si>
    <t>2059</t>
  </si>
  <si>
    <t>WATER CHARGES-MULLAITTIVU</t>
  </si>
  <si>
    <t>1113</t>
  </si>
  <si>
    <t>ENTERTAINMENT - KANDY</t>
  </si>
  <si>
    <t>2074</t>
  </si>
  <si>
    <t>TELEPHONE CHAEGES-MULLAITTVU</t>
  </si>
  <si>
    <t>2252</t>
  </si>
  <si>
    <t>VEHICLE REGISTRATION FEES RECOVERABLE</t>
  </si>
  <si>
    <t>2342</t>
  </si>
  <si>
    <t>SECURITY EXPENSES - KURUNEGALA</t>
  </si>
  <si>
    <t>2524</t>
  </si>
  <si>
    <t>DEFFERED MORATORIUM INTEREST INCOME - LOAN</t>
  </si>
  <si>
    <t>0828</t>
  </si>
  <si>
    <t>SUNDRY EXPENSES - AMBALANTHOTA</t>
  </si>
  <si>
    <t>1101</t>
  </si>
  <si>
    <t>ENTERTAINMENT - ANURADHAPURA</t>
  </si>
  <si>
    <t>1675</t>
  </si>
  <si>
    <t>POSTAGE &amp; STAMPS - HOROWPATHANA</t>
  </si>
  <si>
    <t>2470</t>
  </si>
  <si>
    <t>CAPITAL/PREMATURE - GAIN/LOSS (T)</t>
  </si>
  <si>
    <t>1829</t>
  </si>
  <si>
    <t>FUEL &amp; OIL- MANNAR</t>
  </si>
  <si>
    <t>0993</t>
  </si>
  <si>
    <t>SALES COMMISSION - KANDY</t>
  </si>
  <si>
    <t>0619</t>
  </si>
  <si>
    <t>SALARIES &amp; WAGES - EMBILIPITIYA</t>
  </si>
  <si>
    <t>1003</t>
  </si>
  <si>
    <t>SALES COMMISSION - KALUTHARA</t>
  </si>
  <si>
    <t>1392</t>
  </si>
  <si>
    <t>LOAN INSTALMENTS IN ARREARS - SPARE PARTS</t>
  </si>
  <si>
    <t>1885</t>
  </si>
  <si>
    <t>VEHICLE REPAIRS &amp; MAINTANANCE-DENIYAYA</t>
  </si>
  <si>
    <t>1931</t>
  </si>
  <si>
    <t>SAVINGS ACCOUNT-NSB PANADURA (LISVIN)-1-0043-06-4122-7</t>
  </si>
  <si>
    <t>0466</t>
  </si>
  <si>
    <t>DEALER REFINANCE - KALYANA</t>
  </si>
  <si>
    <t>2635</t>
  </si>
  <si>
    <t>FURNITURE &amp; FITTINGS MAINTENANCE - KILINOCHCHI</t>
  </si>
  <si>
    <t>1138</t>
  </si>
  <si>
    <t>DEPRECIATION - COMPUTER SOFTWARE- NUWARAELIYA</t>
  </si>
  <si>
    <t>0976</t>
  </si>
  <si>
    <t>RECOVERY VISIT EXPENSES - MATARA</t>
  </si>
  <si>
    <t>0884</t>
  </si>
  <si>
    <t>NEWS PAPERS &amp; PERIOD - RATHNAPURA</t>
  </si>
  <si>
    <t>0223</t>
  </si>
  <si>
    <t>COMMERCIAL BANK LTL - 1490755</t>
  </si>
  <si>
    <t>1895</t>
  </si>
  <si>
    <t>VEHICLE REPAIRE &amp; MAINTANANCE - BADULLA</t>
  </si>
  <si>
    <t>2382</t>
  </si>
  <si>
    <t>VEHICLE REPAIRE &amp; MAINTANACE - JAFFNA</t>
  </si>
  <si>
    <t>1390</t>
  </si>
  <si>
    <t>2097</t>
  </si>
  <si>
    <t>LOAN DEBTOR-COMMERCAIL CREDIT</t>
  </si>
  <si>
    <t>1024</t>
  </si>
  <si>
    <t>STAFF BONUS - MATARA</t>
  </si>
  <si>
    <t>1106</t>
  </si>
  <si>
    <t>ENTERTAINMENT - EMBILIPITIYA</t>
  </si>
  <si>
    <t>2104</t>
  </si>
  <si>
    <t>SERVICE CHARGES RECOVERABLE-COMMERCAIL CREDIT</t>
  </si>
  <si>
    <t>1064</t>
  </si>
  <si>
    <t>E.P.F. CONTRIBUTION - DEHIATTAKANDIYA</t>
  </si>
  <si>
    <t>2488</t>
  </si>
  <si>
    <t>RECEIPTS SUSPENSE - GROUP ACCOUNT</t>
  </si>
  <si>
    <t>2716</t>
  </si>
  <si>
    <t>STAFF TRAINING - PANADURA</t>
  </si>
  <si>
    <t>0104</t>
  </si>
  <si>
    <t>SALES COMMISSION - HO</t>
  </si>
  <si>
    <t>0410</t>
  </si>
  <si>
    <t>AMERICAN WATER</t>
  </si>
  <si>
    <t>2024</t>
  </si>
  <si>
    <t>CURRENT ACCOUNT - HORANA</t>
  </si>
  <si>
    <t>1755</t>
  </si>
  <si>
    <t>ADVERTISING EXPENSES - HOROWPATHANA</t>
  </si>
  <si>
    <t>1373</t>
  </si>
  <si>
    <t>DEALER COLLECTION CONTROL ACCOUNT</t>
  </si>
  <si>
    <t>0193</t>
  </si>
  <si>
    <t>SERVICE CHARGES RECOVARABLE</t>
  </si>
  <si>
    <t>1562</t>
  </si>
  <si>
    <t>Used Vehical - Debtors</t>
  </si>
  <si>
    <t>1206</t>
  </si>
  <si>
    <t xml:space="preserve">LOAN RENTAL IN ARREARS - SME </t>
  </si>
  <si>
    <t>1968</t>
  </si>
  <si>
    <t>PLEDGE LOAN DEBTOR-NEW</t>
  </si>
  <si>
    <t>2057</t>
  </si>
  <si>
    <t>JANITORIAL &amp; SANITORY WORK-WELLAWAYA</t>
  </si>
  <si>
    <t>1301</t>
  </si>
  <si>
    <t>PRINTING &amp; STATIONERY - KEGALLE</t>
  </si>
  <si>
    <t>2593</t>
  </si>
  <si>
    <t>BUILDING MAINTANANCE-NUGEGODA</t>
  </si>
  <si>
    <t>2443</t>
  </si>
  <si>
    <t>DEFERRED /UE INTEREST ON MORATORIUM DEBTOR - LEASE</t>
  </si>
  <si>
    <t>1785</t>
  </si>
  <si>
    <t>ELECTRICITY-AWISSAWELLA</t>
  </si>
  <si>
    <t>0405</t>
  </si>
  <si>
    <t>RENT EXPENSES- NUWARA ELIYA</t>
  </si>
  <si>
    <t>1187</t>
  </si>
  <si>
    <t>POSTAGE &amp; STAMPS - BATTICALOA</t>
  </si>
  <si>
    <t>2262</t>
  </si>
  <si>
    <t>SECURITY EXPENSES (GARAGE)-MATARA</t>
  </si>
  <si>
    <t>0774</t>
  </si>
  <si>
    <t>STAFF WELFARE &amp; BENEFITS - PUTTALAM</t>
  </si>
  <si>
    <t>1656</t>
  </si>
  <si>
    <t>DOMESTIC COURIER CHARGES - MATALE</t>
  </si>
  <si>
    <t>0548</t>
  </si>
  <si>
    <t>DATA COMMUNICATION CHARGES - GALLE</t>
  </si>
  <si>
    <t>1769</t>
  </si>
  <si>
    <t>RENT EXPENSES- AWISSAWELLA</t>
  </si>
  <si>
    <t>1507</t>
  </si>
  <si>
    <t>JANITORIAL &amp; SANITORY WORK - MAHIYANGANAYA</t>
  </si>
  <si>
    <t>1559</t>
  </si>
  <si>
    <t>Rent Expenses - Gampola</t>
  </si>
  <si>
    <t>2183</t>
  </si>
  <si>
    <t>PROMOTIONS EXPENSE-HOROWPATHANA</t>
  </si>
  <si>
    <t>0475</t>
  </si>
  <si>
    <t>ADVERTISING EXPENSES - GALLE</t>
  </si>
  <si>
    <t>0238</t>
  </si>
  <si>
    <t>EARNED INCOME LEASE-NP</t>
  </si>
  <si>
    <t>1940</t>
  </si>
  <si>
    <t>BUILDING RENT INCOME</t>
  </si>
  <si>
    <t>2283</t>
  </si>
  <si>
    <t>BUILDING MAINTENANCE - KIRIBATHGODA</t>
  </si>
  <si>
    <t>2515</t>
  </si>
  <si>
    <t>DOMESTIC COURIER CHARGES - AMBALANGODA</t>
  </si>
  <si>
    <t>0535</t>
  </si>
  <si>
    <t>BUILDING MAINTENANCE - MATARA</t>
  </si>
  <si>
    <t>2271</t>
  </si>
  <si>
    <t>SECURITY EXPENSES (GARAGE)-PUTTLAM</t>
  </si>
  <si>
    <t>0979</t>
  </si>
  <si>
    <t>RECOVERY VISIT EXPENSES - KALUTHARA</t>
  </si>
  <si>
    <t>2316</t>
  </si>
  <si>
    <t>INTEREST RECEIVABLE ON PLADGE LOAN</t>
  </si>
  <si>
    <t>1681</t>
  </si>
  <si>
    <t>DOMESTIC COURIER CHARGES-KILINOCHCHI</t>
  </si>
  <si>
    <t>1404</t>
  </si>
  <si>
    <t>BUILDING MAINTENANCE - BALANGODA</t>
  </si>
  <si>
    <t>0420</t>
  </si>
  <si>
    <t>MONEY INSURANCE</t>
  </si>
  <si>
    <t>0503</t>
  </si>
  <si>
    <t>CASH TRANSPORT FEES - DEHIATTAKANDIYA</t>
  </si>
  <si>
    <t>2695</t>
  </si>
  <si>
    <t>BANK CHARGES- CHINA BANK</t>
  </si>
  <si>
    <t>2772</t>
  </si>
  <si>
    <t>SECURITY EXPENSE-WELLAWATTA</t>
  </si>
  <si>
    <t>1155</t>
  </si>
  <si>
    <t>UN EARNED INCOME - KALYANA</t>
  </si>
  <si>
    <t>1844</t>
  </si>
  <si>
    <t>FUEL &amp; OIL - DEHIATTAKANDIYA</t>
  </si>
  <si>
    <t>0285</t>
  </si>
  <si>
    <t>NEWS PAPERS &amp; PERIOD- HO</t>
  </si>
  <si>
    <t>0926</t>
  </si>
  <si>
    <t>TRADE &amp; REVENUE LICENSE - AMBALANTHOTA</t>
  </si>
  <si>
    <t>0282</t>
  </si>
  <si>
    <t>PROVISION FOR BAD DEBTS-FACTORING</t>
  </si>
  <si>
    <t>1727</t>
  </si>
  <si>
    <t>POSTAGE AND STAMPS- KEKIRAWA</t>
  </si>
  <si>
    <t>0950</t>
  </si>
  <si>
    <t>STAFF TRAINING - AMBALANTHOTA</t>
  </si>
  <si>
    <t>2641</t>
  </si>
  <si>
    <t>FURNITURE &amp; FITTINGS MAINTENANCE  - MAHIYANGANAYA</t>
  </si>
  <si>
    <t>2875</t>
  </si>
  <si>
    <t>OVERDRAFT INTEREST - NATIONS TRUST BANK</t>
  </si>
  <si>
    <t>2170</t>
  </si>
  <si>
    <t>PROMOTIONS EXPENSE-AWISSAWELLA</t>
  </si>
  <si>
    <t>1859</t>
  </si>
  <si>
    <t>FUEL &amp; OIL- AKKARAIPATTU</t>
  </si>
  <si>
    <t>1541</t>
  </si>
  <si>
    <t>PERSONAL ALL RISK INSURANCE</t>
  </si>
  <si>
    <t>2859</t>
  </si>
  <si>
    <t>TRADE &amp; REVENUE LICENCE - KOTTAWA</t>
  </si>
  <si>
    <t>0229</t>
  </si>
  <si>
    <t>HATTON NATIONAL BANK LTD. - LOAN</t>
  </si>
  <si>
    <t>2122</t>
  </si>
  <si>
    <t>FUEL &amp; OIL-KALUTHARA</t>
  </si>
  <si>
    <t>2374</t>
  </si>
  <si>
    <t>NEWS PAPER &amp; PERIODICALS - ELPITIYA</t>
  </si>
  <si>
    <t>1903</t>
  </si>
  <si>
    <t>AMALGAMATION / ACQUISITION EXPENSES</t>
  </si>
  <si>
    <t>2495</t>
  </si>
  <si>
    <t>CURRENT ACCOUNTS-AMBALANGODA</t>
  </si>
  <si>
    <t>1536</t>
  </si>
  <si>
    <t>INSURANCE -  GOOD IN TRANSIT</t>
  </si>
  <si>
    <t>1156</t>
  </si>
  <si>
    <t>LOAN INSTALMENTS IN ARREARS - KALYANA</t>
  </si>
  <si>
    <t>1712</t>
  </si>
  <si>
    <t>CURRENT ACCOUNT - KEKIRAWA</t>
  </si>
  <si>
    <t>2565</t>
  </si>
  <si>
    <t>OTHER CHARGES PAYABLE-DEALER FINANCE</t>
  </si>
  <si>
    <t>0178</t>
  </si>
  <si>
    <t>HIRE PURCHASE RENTALS IN ARREARS - NP</t>
  </si>
  <si>
    <t>0923</t>
  </si>
  <si>
    <t>TRADE &amp; REVENUE LICENSE - MATHUGAMA</t>
  </si>
  <si>
    <t>2823</t>
  </si>
  <si>
    <t>PROFESSIONAL CHARGES - KANDY CITY</t>
  </si>
  <si>
    <t>1420</t>
  </si>
  <si>
    <t>RECOVERY VISIT EXPENSES - BATTICOLOA</t>
  </si>
  <si>
    <t>0132</t>
  </si>
  <si>
    <t>HIREPURCHASE DEBTORS - NP</t>
  </si>
  <si>
    <t>2745</t>
  </si>
  <si>
    <t>SAVING DEPOSIT GENERAL</t>
  </si>
  <si>
    <t>1120</t>
  </si>
  <si>
    <t>ENTERTAINMENT - MATARA</t>
  </si>
  <si>
    <t>1005</t>
  </si>
  <si>
    <t>STAFF BONUS - ANURADHAPURA</t>
  </si>
  <si>
    <t>2431</t>
  </si>
  <si>
    <t>WRITE OFF - INVESTMENT PROPERTY</t>
  </si>
  <si>
    <t>0625</t>
  </si>
  <si>
    <t>SALARIES &amp; WAGES - DEHIATTAKANDIYA</t>
  </si>
  <si>
    <t>1930</t>
  </si>
  <si>
    <t>SAVINGS ACCOUNT-NSB BATTARAMULLA (LISVIN)-1-0080-03-3542-8</t>
  </si>
  <si>
    <t>1105</t>
  </si>
  <si>
    <t>ENTERTAINMENT - RATHNAPURA</t>
  </si>
  <si>
    <t>1238</t>
  </si>
  <si>
    <t>NEWS PAPERS &amp; PERIODICALS - TRINCO</t>
  </si>
  <si>
    <t>0139</t>
  </si>
  <si>
    <t>LOAN DEBTORS - TRADE FINANCE - LEGAL</t>
  </si>
  <si>
    <t>1085</t>
  </si>
  <si>
    <t>E.T.F. CONTRIBUTION- BADULLA</t>
  </si>
  <si>
    <t>1705</t>
  </si>
  <si>
    <t xml:space="preserve">STL 01- STANDARD CHARTERED BANK </t>
  </si>
  <si>
    <t>2375</t>
  </si>
  <si>
    <t>VEHICLE REPAIRE &amp; MAINTANACE - ELPITIYA</t>
  </si>
  <si>
    <t>1685</t>
  </si>
  <si>
    <t>RECOVERY VISIT EXPENSES-KILINOCHCI</t>
  </si>
  <si>
    <t>0228</t>
  </si>
  <si>
    <t>COMMERCIAL BANK LOAN REF 351948</t>
  </si>
  <si>
    <t>2866</t>
  </si>
  <si>
    <t>CURRENT ACCOUNT – COMMERCIAL BANK 1000928226</t>
  </si>
  <si>
    <t>2661</t>
  </si>
  <si>
    <t>FURNITURE &amp; FITTINGS MAINTENANCE -WELLAWAYA</t>
  </si>
  <si>
    <t>0818</t>
  </si>
  <si>
    <t>SUNDRY EXPENSES - DEHIATTAKANDIYA</t>
  </si>
  <si>
    <t>1667</t>
  </si>
  <si>
    <t>SALES COMMISSION - MATALE</t>
  </si>
  <si>
    <t>1789</t>
  </si>
  <si>
    <t>NEWS PAPERS &amp; PERIODICALS - AVISSAWELLA</t>
  </si>
  <si>
    <t>1765</t>
  </si>
  <si>
    <t>News Papers &amp; Period - Kilinochchi</t>
  </si>
  <si>
    <t>0823</t>
  </si>
  <si>
    <t>SUNDRY EXPENSES - NEGOMBO</t>
  </si>
  <si>
    <t>1730</t>
  </si>
  <si>
    <t>RENT EXPENSES-WALASMULLA</t>
  </si>
  <si>
    <t>1111</t>
  </si>
  <si>
    <t>ENTERTAINMENT - POLONNARUWA</t>
  </si>
  <si>
    <t>2156</t>
  </si>
  <si>
    <t>EARNED INCOME-ASSET DRAFT</t>
  </si>
  <si>
    <t>0047</t>
  </si>
  <si>
    <t>ELECTRICITY - MATARA</t>
  </si>
  <si>
    <t>0428</t>
  </si>
  <si>
    <t>CLIENT INVESTMENT RECOVERABLE</t>
  </si>
  <si>
    <t>2023</t>
  </si>
  <si>
    <t>STAFF WELFARE &amp; BENIFITS-WELLAWAYA</t>
  </si>
  <si>
    <t>0847</t>
  </si>
  <si>
    <t>TEA &amp; MEAL EXPENSES - NEGOMBO</t>
  </si>
  <si>
    <t>0742</t>
  </si>
  <si>
    <t>PRINTING &amp; STATIONERY - GALLE</t>
  </si>
  <si>
    <t>1840</t>
  </si>
  <si>
    <t>COMMISSION ON EASY CASH</t>
  </si>
  <si>
    <t>1572</t>
  </si>
  <si>
    <t>ELECTRICITY - KULIYAPITIYA</t>
  </si>
  <si>
    <t>0842</t>
  </si>
  <si>
    <t>TEA &amp; MEAL EXPENSES - DEHIATTAKANDIYA</t>
  </si>
  <si>
    <t>2324</t>
  </si>
  <si>
    <t>Telephone charges-Bandarawela</t>
  </si>
  <si>
    <t>0534</t>
  </si>
  <si>
    <t>BUILDING MAINTENANCE - MATHUGAMA</t>
  </si>
  <si>
    <t>2290</t>
  </si>
  <si>
    <t>JANITORIAL &amp; SANITORY WORK-KIRIBATHGODA</t>
  </si>
  <si>
    <t>0678</t>
  </si>
  <si>
    <t>JANITORIAL &amp; SANITORY WORK - NEGOMBO</t>
  </si>
  <si>
    <t>0706</t>
  </si>
  <si>
    <t>WATER CHARGES - BATTARAMULLA</t>
  </si>
  <si>
    <t>0513</t>
  </si>
  <si>
    <t>CASH TRANSPORT FEES - AMBALANTHOTA</t>
  </si>
  <si>
    <t>2384</t>
  </si>
  <si>
    <t>CURRENT ACCOUNT-(SEYLAN -1010-00041323-001)</t>
  </si>
  <si>
    <t>1185</t>
  </si>
  <si>
    <t>RENT EXPENSES - EMBILIPITIYA</t>
  </si>
  <si>
    <t>0403</t>
  </si>
  <si>
    <t>RENT EXPENSES - PUTTALAM</t>
  </si>
  <si>
    <t>0738</t>
  </si>
  <si>
    <t>PRINTING &amp; STATIONERY - YAKKALA</t>
  </si>
  <si>
    <t>0723</t>
  </si>
  <si>
    <t>POSTAGE &amp; STAMPS - KANDY</t>
  </si>
  <si>
    <t>1682</t>
  </si>
  <si>
    <t>ELECTRICITY-KILINOCHCHI</t>
  </si>
  <si>
    <t>SLIP RETURN PAYABLE – CURRENT ACCOUNT NO (SAMPATH) - 001210005826</t>
  </si>
  <si>
    <t>1338</t>
  </si>
  <si>
    <t>RENT EXPENSES - JAFFNA</t>
  </si>
  <si>
    <t>2186</t>
  </si>
  <si>
    <t>PROMOTIONS EXPENSE-KANDY</t>
  </si>
  <si>
    <t>0119</t>
  </si>
  <si>
    <t>BANK CHARGES - HNB</t>
  </si>
  <si>
    <t>1604</t>
  </si>
  <si>
    <t>OFFICE EQUIPMENT MAINTENANCE - KULIYAPITIYA</t>
  </si>
  <si>
    <t>1644</t>
  </si>
  <si>
    <t>TELEPHONE CHARGES - HOROWPATHANA</t>
  </si>
  <si>
    <t>0681</t>
  </si>
  <si>
    <t>JANITORIAL &amp; SANITORY WORK - MATARA</t>
  </si>
  <si>
    <t>1435</t>
  </si>
  <si>
    <t>RENT EXPENSE - DENIYAYA</t>
  </si>
  <si>
    <t>2275</t>
  </si>
  <si>
    <t>STAFF WALFARE &amp; BENIFITS-KIRIBATHGODA</t>
  </si>
  <si>
    <t>0573</t>
  </si>
  <si>
    <t>TELEPHONE CHARGES - GALLE</t>
  </si>
  <si>
    <t>2109</t>
  </si>
  <si>
    <t>SECURITY EXPENSES-ANURADHAPURA</t>
  </si>
  <si>
    <t>1958</t>
  </si>
  <si>
    <t>PRINTING &amp; STATIONERY- GALEWELA</t>
  </si>
  <si>
    <t>1502</t>
  </si>
  <si>
    <t>DATA COMMUNICATION CHARGES - MAHIYANGANAYA</t>
  </si>
  <si>
    <t>2419</t>
  </si>
  <si>
    <t>WRITE OFF BAD DEBT - LEASE</t>
  </si>
  <si>
    <t>1484</t>
  </si>
  <si>
    <t>0796</t>
  </si>
  <si>
    <t>STAFF MEDICAL EXPENSES - KURUNEGALA</t>
  </si>
  <si>
    <t>2580</t>
  </si>
  <si>
    <t>SECURITY EXPENSES - NUGEGODA</t>
  </si>
  <si>
    <t>0749</t>
  </si>
  <si>
    <t>PRINTING &amp; STATIONERY - NUWARAELIYA</t>
  </si>
  <si>
    <t>2554</t>
  </si>
  <si>
    <t>STAFF WELFARE &amp; BENEFITS - BORELLA</t>
  </si>
  <si>
    <t>2208</t>
  </si>
  <si>
    <t>PROMOTIONS EXPENSE-TRINCOMALE</t>
  </si>
  <si>
    <t>0794</t>
  </si>
  <si>
    <t>STAFF MEDICAL EXPENSES - DEHIATTAKANDIYA</t>
  </si>
  <si>
    <t>0931</t>
  </si>
  <si>
    <t>STAFF TRAINING - DAMBULLA</t>
  </si>
  <si>
    <t>2259</t>
  </si>
  <si>
    <t>FUEL &amp; OIL-NIKAWERATIYA</t>
  </si>
  <si>
    <t>2193</t>
  </si>
  <si>
    <t>PROMOTIONS EXPENSE-MALIGAWATTA</t>
  </si>
  <si>
    <t>1041</t>
  </si>
  <si>
    <t>PROFESSIONAL CHARGES - KANDY</t>
  </si>
  <si>
    <t>0912</t>
  </si>
  <si>
    <t>TRADE &amp; REVENUE LICENSE - GALLE</t>
  </si>
  <si>
    <t>2146</t>
  </si>
  <si>
    <t>TRADE &amp; REVENUE LICENCES-MULLAITTIVUE</t>
  </si>
  <si>
    <t>1051</t>
  </si>
  <si>
    <t>PROFESSIONAL CHARGES - KALUTARA</t>
  </si>
  <si>
    <t>0805</t>
  </si>
  <si>
    <t>STAFF MEDICAL EXPENSES - KALUTARA</t>
  </si>
  <si>
    <t>1118</t>
  </si>
  <si>
    <t>ENTERTAINMENT - CHILAW</t>
  </si>
  <si>
    <t>2273</t>
  </si>
  <si>
    <t>CURRENT ACCOUNT - KIRIBATHGODA</t>
  </si>
  <si>
    <t>0112</t>
  </si>
  <si>
    <t>INTEREST ON BANK LOANS</t>
  </si>
  <si>
    <t>1951</t>
  </si>
  <si>
    <t>CURRENT ACCOUNT - GALEWELA</t>
  </si>
  <si>
    <t>0978</t>
  </si>
  <si>
    <t>RECOVERY VISIT EXPENSES - AMBALANTHOTA</t>
  </si>
  <si>
    <t>2876</t>
  </si>
  <si>
    <t>INSPECTION CHARGES PAYABLE</t>
  </si>
  <si>
    <t>1701</t>
  </si>
  <si>
    <t>DPMC LOAN 3</t>
  </si>
  <si>
    <t>1078</t>
  </si>
  <si>
    <t>E.T.F. CONTRIBUTION- MADAPATHA</t>
  </si>
  <si>
    <t>0218</t>
  </si>
  <si>
    <t>PREPAID RENTAL LEASE - P</t>
  </si>
  <si>
    <t>1676</t>
  </si>
  <si>
    <t>SALES COMMISSIONS-HOROWPATHANA</t>
  </si>
  <si>
    <t>2344</t>
  </si>
  <si>
    <t>BULLET LOAN-AIBL</t>
  </si>
  <si>
    <t>2230</t>
  </si>
  <si>
    <t>CURRENT LIABILITY OF LTL - SAMPATH 302965000492</t>
  </si>
  <si>
    <t>1526</t>
  </si>
  <si>
    <t>ADVERTISING EXPENSES - DENIYAYA</t>
  </si>
  <si>
    <t>2366</t>
  </si>
  <si>
    <t>VEHICLE REPAIRE &amp; MAINTANANCE - MAWANELLA</t>
  </si>
  <si>
    <t>1851</t>
  </si>
  <si>
    <t>MT BROKER CONTROL-CT SMITH STOCKBROKERS</t>
  </si>
  <si>
    <t>0990</t>
  </si>
  <si>
    <t>SALES COMMISSION - MONARAGALA</t>
  </si>
  <si>
    <t>1193</t>
  </si>
  <si>
    <t>COMMERCIAL PAPERS ISSUED</t>
  </si>
  <si>
    <t>2402</t>
  </si>
  <si>
    <t>CHARGES INCOME TRADE FINANCE</t>
  </si>
  <si>
    <t>2520</t>
  </si>
  <si>
    <t>TRADE REVENUE LICENCE - KIRIBATHGODA</t>
  </si>
  <si>
    <t>2349</t>
  </si>
  <si>
    <t>PROVISION FOR GOODWILL WRITE-OFF</t>
  </si>
  <si>
    <t>1068</t>
  </si>
  <si>
    <t>E.P.F. CONTRIBUTION - PUTTALAM</t>
  </si>
  <si>
    <t>1254</t>
  </si>
  <si>
    <t>COMMERCIAL BANK LOAN REF 590445</t>
  </si>
  <si>
    <t>1069</t>
  </si>
  <si>
    <t>E.P.F. CONTRIBUTION - NEGOMBO</t>
  </si>
  <si>
    <t>0469</t>
  </si>
  <si>
    <t>ADVERTISING EXPENSES - MADAPATHA</t>
  </si>
  <si>
    <t>0016</t>
  </si>
  <si>
    <t>DEFAULT INTEREST - HP</t>
  </si>
  <si>
    <t>2629</t>
  </si>
  <si>
    <t>FURNITURE &amp; FITTINGS MAINTENANCE  - HOROWPATHANA</t>
  </si>
  <si>
    <t>2787</t>
  </si>
  <si>
    <t>MARGIN TRADING CR BALANCE CONTROL ACCOUNT</t>
  </si>
  <si>
    <t>1831</t>
  </si>
  <si>
    <t>FUEL &amp; OIL- RATNAPURA</t>
  </si>
  <si>
    <t>2660</t>
  </si>
  <si>
    <t>FURNITURE &amp; FITTINGS MAINTENANCE -WALASMULLA</t>
  </si>
  <si>
    <t>2619</t>
  </si>
  <si>
    <t>FURNITURE &amp; FITTINGS MAINTENANCE  - CHILAW</t>
  </si>
  <si>
    <t>1875</t>
  </si>
  <si>
    <t>VEHICLE REPAIRS &amp; MAINTANANCE-MATALE</t>
  </si>
  <si>
    <t>2869</t>
  </si>
  <si>
    <t>DEFERRED TAX ON REVALUATION OF LD &amp; BUID GAIN/LOSS</t>
  </si>
  <si>
    <t>0211</t>
  </si>
  <si>
    <t>UN EARNED INCOME LOAN - NP</t>
  </si>
  <si>
    <t>0820</t>
  </si>
  <si>
    <t>SUNDRY EXPENSES - KURUNEGALA</t>
  </si>
  <si>
    <t>0981</t>
  </si>
  <si>
    <t>SALES COMMISSION - ANURADHAPURA</t>
  </si>
  <si>
    <t>0691</t>
  </si>
  <si>
    <t>WATER CHARGES - RATHNAPURA</t>
  </si>
  <si>
    <t>0560</t>
  </si>
  <si>
    <t>DATA COMMUNICATION CHARGES - MATARA</t>
  </si>
  <si>
    <t>1279</t>
  </si>
  <si>
    <t>RECOVERY VISIT EXPENSES - VAUNIYA</t>
  </si>
  <si>
    <t>2107</t>
  </si>
  <si>
    <t>UNION BANK LTL - 9974001000009506</t>
  </si>
  <si>
    <t>0072</t>
  </si>
  <si>
    <t>OFFICE EQUIPMENT MAINTENANCE - HO</t>
  </si>
  <si>
    <t>1198</t>
  </si>
  <si>
    <t>BANK CHARGES - SAMPATH BANK</t>
  </si>
  <si>
    <t>1473</t>
  </si>
  <si>
    <t>TENDER FEE INCOME</t>
  </si>
  <si>
    <t>2041</t>
  </si>
  <si>
    <t>TEA &amp; MEAL EXPENSES-WELLAWAYA</t>
  </si>
  <si>
    <t>1181</t>
  </si>
  <si>
    <t>WATER CHARGES - BATTICALOA</t>
  </si>
  <si>
    <t>0057</t>
  </si>
  <si>
    <t>TEA &amp; MEAL EXPENSES - HO</t>
  </si>
  <si>
    <t>2090</t>
  </si>
  <si>
    <t>OUTSOURCE SERVICES</t>
  </si>
  <si>
    <t>1753</t>
  </si>
  <si>
    <t>RECOVERY EXPENSES-HQ</t>
  </si>
  <si>
    <t>2321</t>
  </si>
  <si>
    <t>TEA &amp; MEAL - BANDARAWELLA</t>
  </si>
  <si>
    <t>2277</t>
  </si>
  <si>
    <t>TRAVELING &amp; SUBSISTANCE-KIRIBATHGODA</t>
  </si>
  <si>
    <t>2327</t>
  </si>
  <si>
    <t>JANITORIAL &amp; SANITORY WORK-BANDARAWELA</t>
  </si>
  <si>
    <t>1658</t>
  </si>
  <si>
    <t>JANITORIAL &amp; SANITORY WORK - MATALE</t>
  </si>
  <si>
    <t>1480</t>
  </si>
  <si>
    <t>DEFAULT INTEREST - DF - NEW</t>
  </si>
  <si>
    <t>2776</t>
  </si>
  <si>
    <t>TEA &amp; MEAL EXPENSES - WELLAWATTA</t>
  </si>
  <si>
    <t>0670</t>
  </si>
  <si>
    <t>JANITORIAL &amp; SANITORY WORK - BADULLA</t>
  </si>
  <si>
    <t>0101</t>
  </si>
  <si>
    <t>LEGAL FEES - ADMIN</t>
  </si>
  <si>
    <t>2203</t>
  </si>
  <si>
    <t>PROMOTIONS EXPENSE-PILIYANDALA</t>
  </si>
  <si>
    <t>0677</t>
  </si>
  <si>
    <t>JANITORIAL &amp; SANITORY WORK - PUTTALAM</t>
  </si>
  <si>
    <t>0533</t>
  </si>
  <si>
    <t>BUILDING MAINTENANCE - CHILAW</t>
  </si>
  <si>
    <t>0280</t>
  </si>
  <si>
    <t>PROVISION FOR BAD DEBTS-REVOLVIN LOAN</t>
  </si>
  <si>
    <t>2354</t>
  </si>
  <si>
    <t>OFFICE EQUIPMENT MAINTENANCE - BANDARAWELA</t>
  </si>
  <si>
    <t>1810</t>
  </si>
  <si>
    <t>SECURITY EXPENSES- KANDY</t>
  </si>
  <si>
    <t>0755</t>
  </si>
  <si>
    <t>PRINTING &amp; STATIONERY - BATTARAMULLA</t>
  </si>
  <si>
    <t>0399</t>
  </si>
  <si>
    <t>TRADE LICENCES</t>
  </si>
  <si>
    <t>2144</t>
  </si>
  <si>
    <t xml:space="preserve">SSCL EXPENSE ON VAT ON FS </t>
  </si>
  <si>
    <t>2829</t>
  </si>
  <si>
    <t>STAFF WELFARE &amp; BENEFITS - KANDY CITY</t>
  </si>
  <si>
    <t>2063</t>
  </si>
  <si>
    <t>CASH TRANSPORT FEES-WELLAWAYA</t>
  </si>
  <si>
    <t>0693</t>
  </si>
  <si>
    <t>WATER CHARGES - TISSAMAHARAMA</t>
  </si>
  <si>
    <t>0972</t>
  </si>
  <si>
    <t>RECOVERY VISIT EXPENSES - PUTTALAM</t>
  </si>
  <si>
    <t>1691</t>
  </si>
  <si>
    <t>WATER CHARGES-KILINOCHCHI</t>
  </si>
  <si>
    <t>1313</t>
  </si>
  <si>
    <t xml:space="preserve">BANK CHARGES - PAN ASIA </t>
  </si>
  <si>
    <t>2824</t>
  </si>
  <si>
    <t>PROMOTIONS EXPENSE-KANDY CITY</t>
  </si>
  <si>
    <t>1818</t>
  </si>
  <si>
    <t xml:space="preserve">SECURITY EXPENSES (GARAGE)- AMPARA </t>
  </si>
  <si>
    <t>0746</t>
  </si>
  <si>
    <t>PRINTING &amp; STATIONERY - DEHIATTAKANDIYA</t>
  </si>
  <si>
    <t>1056</t>
  </si>
  <si>
    <t>E.P.F. CONTRIBUTION - YAKKALA</t>
  </si>
  <si>
    <t>0468</t>
  </si>
  <si>
    <t>ADVERTISING EXPENSES - ANURADHAPURA</t>
  </si>
  <si>
    <t>0483</t>
  </si>
  <si>
    <t>ADVERTISING EXPENSES - PUTTALAM</t>
  </si>
  <si>
    <t>1982</t>
  </si>
  <si>
    <t>OTHER CHARAGES RECOVERABLE-LOAN</t>
  </si>
  <si>
    <t>2038</t>
  </si>
  <si>
    <t>PRINTING &amp; STATIONERY-WELLAWAYA</t>
  </si>
  <si>
    <t>2501</t>
  </si>
  <si>
    <t>TELEPHONE CHARGES - AMBALANGODA</t>
  </si>
  <si>
    <t>1414</t>
  </si>
  <si>
    <t>WATER CHARGES</t>
  </si>
  <si>
    <t>0144</t>
  </si>
  <si>
    <t xml:space="preserve">LOAN DEBTORS - DEALER REFINANCE - NP </t>
  </si>
  <si>
    <t>0488</t>
  </si>
  <si>
    <t>ADVERTISING EXPENSES - BATTARAMULLA</t>
  </si>
  <si>
    <t>1911</t>
  </si>
  <si>
    <t>FUEL &amp; OIL- NEGAMBO</t>
  </si>
  <si>
    <t>1015</t>
  </si>
  <si>
    <t>STAFF BONUS - POLONNARUWA</t>
  </si>
  <si>
    <t>2267</t>
  </si>
  <si>
    <t>SERVICE CHARGE INCOME-FACTORING</t>
  </si>
  <si>
    <t>1975</t>
  </si>
  <si>
    <t>LOAN DEBTOR-INVOICE DICOUNTING</t>
  </si>
  <si>
    <t>0472</t>
  </si>
  <si>
    <t>ADVERTISING EXPENSES - RATHNAPURA</t>
  </si>
  <si>
    <t>2304</t>
  </si>
  <si>
    <t>PROMOTIONS EXPENSE - ELPITIYA</t>
  </si>
  <si>
    <t>0906</t>
  </si>
  <si>
    <t>TRADE &amp; REVENUE LICENSE - MADAPATHA</t>
  </si>
  <si>
    <t>0963</t>
  </si>
  <si>
    <t>RECOVERY VISIT EXPENSES - TISSAMAHARAMA</t>
  </si>
  <si>
    <t>0733</t>
  </si>
  <si>
    <t>POSTAGE &amp; STAMPS - KALUTARA</t>
  </si>
  <si>
    <t>0025</t>
  </si>
  <si>
    <t>EARNED INCOME - DRF</t>
  </si>
  <si>
    <t>2223</t>
  </si>
  <si>
    <t>FUEL &amp; OIL-KEKIRAWA</t>
  </si>
  <si>
    <t>1026</t>
  </si>
  <si>
    <t>STAFF BONUS - AMBALANTHOTA</t>
  </si>
  <si>
    <t>1405</t>
  </si>
  <si>
    <t>RECOVERY VISIT EXPENSES - BALANGODA</t>
  </si>
  <si>
    <t>1703</t>
  </si>
  <si>
    <t>DPMC LANKA LOAN 1</t>
  </si>
  <si>
    <t>0964</t>
  </si>
  <si>
    <t>RECOVERY VISIT EXPENSES - GALLE</t>
  </si>
  <si>
    <t>1090</t>
  </si>
  <si>
    <t>E.T.F. CONTRIBUTION- KURUNEGALA</t>
  </si>
  <si>
    <t>2568</t>
  </si>
  <si>
    <t>RESCHEDULMENT CLOSURE-DEALER FINANCE</t>
  </si>
  <si>
    <t>1134</t>
  </si>
  <si>
    <t>DEPRECIATION - COMPUTER SOFTWARE- POLONNARUWA</t>
  </si>
  <si>
    <t>2096</t>
  </si>
  <si>
    <t>EARNED INCOME-COMMERCAIL CREDIT</t>
  </si>
  <si>
    <t>2248</t>
  </si>
  <si>
    <t>FUEL &amp; OIL-AMPARA</t>
  </si>
  <si>
    <t>2681</t>
  </si>
  <si>
    <t>FIXED DEPOSIT PENALTY INTEREST-CORPORATE</t>
  </si>
  <si>
    <t>0234</t>
  </si>
  <si>
    <t>DP CAPITAL MANAGEMENT (PVT) LTD.</t>
  </si>
  <si>
    <t>1409</t>
  </si>
  <si>
    <t>POSTAGE &amp; STAMPS - BALANGODA</t>
  </si>
  <si>
    <t>1892</t>
  </si>
  <si>
    <t>VEHICLE REPAIRS &amp; MAINTANANCE-KILINOCHCHI</t>
  </si>
  <si>
    <t>1388</t>
  </si>
  <si>
    <t>OTHER INCOME LOAN - PRAGATHI</t>
  </si>
  <si>
    <t>0615</t>
  </si>
  <si>
    <t>SALARIES &amp; WAGES - MADAPATHA</t>
  </si>
  <si>
    <t>2417</t>
  </si>
  <si>
    <t>PROVISION FOR BAD DEBTS-LEASE (SPECIFIC)</t>
  </si>
  <si>
    <t>0136</t>
  </si>
  <si>
    <t>LOAN DEBTORS - LEGAL</t>
  </si>
  <si>
    <t>2233</t>
  </si>
  <si>
    <t>CURRENT LIABILITY OF LTL - SAMPATH 302965000759</t>
  </si>
  <si>
    <t>2471</t>
  </si>
  <si>
    <t>FVOCI - SECURITIES INCOME ACCOUNT (T)</t>
  </si>
  <si>
    <t>1850</t>
  </si>
  <si>
    <t>MT BROKER CONTROL-ASHA PHILLIP SECURITIES</t>
  </si>
  <si>
    <t>0985</t>
  </si>
  <si>
    <t>SALES COMMISSION - RATHNAPURA</t>
  </si>
  <si>
    <t>2137</t>
  </si>
  <si>
    <t>INVESTMENT IN FIXED DEPOSIT-PABC</t>
  </si>
  <si>
    <t>2317</t>
  </si>
  <si>
    <t>INTEREST RECEIVABLE ON COMMERCAIL CREDIT</t>
  </si>
  <si>
    <t>0237</t>
  </si>
  <si>
    <t>LOAN - MR. J.D.PIERIS</t>
  </si>
  <si>
    <t>0634</t>
  </si>
  <si>
    <t>SALARIES &amp; WAGES - BATTARAMULLA</t>
  </si>
  <si>
    <t>0290</t>
  </si>
  <si>
    <t>PROVISION FOR BAD DEBTS-LOANS(SPECIFIC)</t>
  </si>
  <si>
    <t>1137</t>
  </si>
  <si>
    <t>DEPRECIATION - COMPUTER SOFTWARE- KURUNEGALA</t>
  </si>
  <si>
    <t>1103</t>
  </si>
  <si>
    <t>ENTERTAINMENT - DAMBULLA</t>
  </si>
  <si>
    <t>1699</t>
  </si>
  <si>
    <t>DP TECHNOLOGIES (PVT) LTD - SHORT TERM LOAN</t>
  </si>
  <si>
    <t>0227</t>
  </si>
  <si>
    <t>COMMERCIAL BANK LOAN REF 272853</t>
  </si>
  <si>
    <t>1146</t>
  </si>
  <si>
    <t>DEPRECIATION - COMPUTER SOFTWARE- KALUTARA</t>
  </si>
  <si>
    <t>2433</t>
  </si>
  <si>
    <t>INTER COMPANY BULLET LOAN-DPL</t>
  </si>
  <si>
    <t>1879</t>
  </si>
  <si>
    <t>VEHICLE REPAIRS &amp; MAINTANANCE-NUWARAELIYA</t>
  </si>
  <si>
    <t>1387</t>
  </si>
  <si>
    <t>CLOSURES LOAN - PRAGATHI</t>
  </si>
  <si>
    <t>1504</t>
  </si>
  <si>
    <t>POSTAGE &amp; STAMPS - MANNAR</t>
  </si>
  <si>
    <t>2004</t>
  </si>
  <si>
    <t>CURRENT ACCOUNT - MULLAITIVU</t>
  </si>
  <si>
    <t>1357</t>
  </si>
  <si>
    <t>GARAGE CHARGES - DEHIATTAKANDIYA</t>
  </si>
  <si>
    <t>0622</t>
  </si>
  <si>
    <t>SALARIES &amp; WAGES - BADULLA</t>
  </si>
  <si>
    <t>2764</t>
  </si>
  <si>
    <t>GARAGE CHARGES - WELLAWATTA</t>
  </si>
  <si>
    <t>2070</t>
  </si>
  <si>
    <t>SECURITY EXPENSES-BATTARAMULLA</t>
  </si>
  <si>
    <t>0495</t>
  </si>
  <si>
    <t>CASH TRANSPORT FEES - YAKKALA</t>
  </si>
  <si>
    <t>1327</t>
  </si>
  <si>
    <t>GARAGE CHARGES - NEGOMBO</t>
  </si>
  <si>
    <t>0206</t>
  </si>
  <si>
    <t>UN EARNED INCOME LEASE-P</t>
  </si>
  <si>
    <t>2264</t>
  </si>
  <si>
    <t>SAVINGS ACCOUNT SCB  - 18367112701</t>
  </si>
  <si>
    <t>1528</t>
  </si>
  <si>
    <t>LEGAL DEBTOR ASSET NOT REPOSSESS</t>
  </si>
  <si>
    <t>2477</t>
  </si>
  <si>
    <t>1296</t>
  </si>
  <si>
    <t>RENT EXPENSES- KEGALLE</t>
  </si>
  <si>
    <t>0687</t>
  </si>
  <si>
    <t>WATER CHARGES - ANURADHAPURA</t>
  </si>
  <si>
    <t>1796</t>
  </si>
  <si>
    <t>CURRENT ACCOUNT-PEOPLE'S BANK NARAHENPITA- 119-1-001-0000-7018</t>
  </si>
  <si>
    <t>0908</t>
  </si>
  <si>
    <t>TRADE &amp; REVENUE LICENSE - YAKKALA</t>
  </si>
  <si>
    <t>2019</t>
  </si>
  <si>
    <t>WATER CHARGES-MALIGAWATTA</t>
  </si>
  <si>
    <t>1309</t>
  </si>
  <si>
    <t>TRAVELLING &amp; SUBSISTANCE - KEKIRAWA</t>
  </si>
  <si>
    <t>1733</t>
  </si>
  <si>
    <t>BUILDING MAINTENANCE-WALASMULLA</t>
  </si>
  <si>
    <t>2281</t>
  </si>
  <si>
    <t>RENT EXPENSES-BANDARAWELLA</t>
  </si>
  <si>
    <t>1566</t>
  </si>
  <si>
    <t>STAFF WELFARE &amp; BENIFITS  - GAMPOLA</t>
  </si>
  <si>
    <t>1220</t>
  </si>
  <si>
    <t>RENT EXPENSES - TRINCOMALEE</t>
  </si>
  <si>
    <t>2502</t>
  </si>
  <si>
    <t>TEA &amp; MEAL EXPENSE - AMBALANGODA</t>
  </si>
  <si>
    <t>0878</t>
  </si>
  <si>
    <t>TRAVELLING &amp; SUBSISTANCE - KALUTARA</t>
  </si>
  <si>
    <t>1318</t>
  </si>
  <si>
    <t>SECURITY EXPENSES - HO</t>
  </si>
  <si>
    <t>2807</t>
  </si>
  <si>
    <t>BORROWINGS EXCHANGE GAIN / LOSS - INTEREST-UN REALIZED</t>
  </si>
  <si>
    <t>0876</t>
  </si>
  <si>
    <t>1344</t>
  </si>
  <si>
    <t>TEA &amp; MEAL EXPENSES - JAFFNA</t>
  </si>
  <si>
    <t>2361</t>
  </si>
  <si>
    <t>BUILDING MAINTENANCE - MAWANELLA</t>
  </si>
  <si>
    <t>1626</t>
  </si>
  <si>
    <t>DATA COMMUNICATION CHARGES - AKKARAIPATTU</t>
  </si>
  <si>
    <t>0775</t>
  </si>
  <si>
    <t>STAFF WELFARE &amp; BENEFITS - NEGOMBO</t>
  </si>
  <si>
    <t>2573</t>
  </si>
  <si>
    <t>TRAVELLING &amp; SUBSISTANCE - NUGEGODA</t>
  </si>
  <si>
    <t>0830</t>
  </si>
  <si>
    <t>TEA &amp; MEAL EXPENSES - AMPARA</t>
  </si>
  <si>
    <t>0508</t>
  </si>
  <si>
    <t>CASH TRANSPORT FEES - NEGOMBO</t>
  </si>
  <si>
    <t>1963</t>
  </si>
  <si>
    <t>ELECTRICITY- GALEWELA</t>
  </si>
  <si>
    <t>1640</t>
  </si>
  <si>
    <t>STAFF WELFARE &amp; BENEFITS - AKKARAIPATTU</t>
  </si>
  <si>
    <t>0648</t>
  </si>
  <si>
    <t>DOMESTIC COURIER CHARGES - POLONNARUWA</t>
  </si>
  <si>
    <t>0564</t>
  </si>
  <si>
    <t>TELEPHONE CHARGES - HO</t>
  </si>
  <si>
    <t>0063</t>
  </si>
  <si>
    <t>RENT EXPENSES - MATHUGAMA</t>
  </si>
  <si>
    <t>1316</t>
  </si>
  <si>
    <t>DISPOSAL OF OFFICE EQUIPMENTS</t>
  </si>
  <si>
    <t>1709</t>
  </si>
  <si>
    <t>Seylan Bank LTL - CBK/13/000324</t>
  </si>
  <si>
    <t>0762</t>
  </si>
  <si>
    <t>STAFF WELFARE &amp; BENEFITS - YAKKALA</t>
  </si>
  <si>
    <t>2595</t>
  </si>
  <si>
    <t>DFCC LTL</t>
  </si>
  <si>
    <t>0411</t>
  </si>
  <si>
    <t>RENT EXPENSES- KURUNEGALA</t>
  </si>
  <si>
    <t>1791</t>
  </si>
  <si>
    <t>TRAVELLING &amp; SUBSISTANCE - AVISSAWELLA</t>
  </si>
  <si>
    <t>2444</t>
  </si>
  <si>
    <t>DEFERRED /UE INTEREST ON MORATORIUM DEBTOR - LOAN</t>
  </si>
  <si>
    <t>1956</t>
  </si>
  <si>
    <t>BUILDING MAINTENANCE-GALEWELA</t>
  </si>
  <si>
    <t>0520</t>
  </si>
  <si>
    <t>BUILDING MAINTENANCE - RATHNAPURA</t>
  </si>
  <si>
    <t>2069</t>
  </si>
  <si>
    <t>DOMESTIC COURIER CHARGES-WELLAWAYA</t>
  </si>
  <si>
    <t>1307</t>
  </si>
  <si>
    <t>WATER CHARGES - VAUNIYA</t>
  </si>
  <si>
    <t>1612</t>
  </si>
  <si>
    <t>DEBTOR - FACTORING</t>
  </si>
  <si>
    <t>2582</t>
  </si>
  <si>
    <t>PROMOTIONS EXPENSE-NUGEGODA</t>
  </si>
  <si>
    <t>1235</t>
  </si>
  <si>
    <t>DOMESTIC COURIER CHARGES - TRINCO</t>
  </si>
  <si>
    <t>1942</t>
  </si>
  <si>
    <t>BANK CHARGES -DFCC</t>
  </si>
  <si>
    <t>1593</t>
  </si>
  <si>
    <t>PRINTING &amp; STATIONERY  - GAMPOLA</t>
  </si>
  <si>
    <t>0096</t>
  </si>
  <si>
    <t>DATA COMMUNICATION CHARGES</t>
  </si>
  <si>
    <t>0509</t>
  </si>
  <si>
    <t>CASH TRANSPORT FEES - CHILAW</t>
  </si>
  <si>
    <t>1548</t>
  </si>
  <si>
    <t>SALES COMMISSION - NIKAWARATIYA</t>
  </si>
  <si>
    <t>1446</t>
  </si>
  <si>
    <t>BUILDING MAINTENANCE - MANNAR</t>
  </si>
  <si>
    <t>1625</t>
  </si>
  <si>
    <t>CASH TRANSPORT FEES - HOROWPATHANA</t>
  </si>
  <si>
    <t>1329</t>
  </si>
  <si>
    <t>GARAGE CHARGES - RATHNAPURA</t>
  </si>
  <si>
    <t>0085</t>
  </si>
  <si>
    <t>OTHER MEMBERSHIP RENEWAL FEE</t>
  </si>
  <si>
    <t>2173</t>
  </si>
  <si>
    <t>PROMOTIONS EXPENSE-BATTICALOA</t>
  </si>
  <si>
    <t>0491</t>
  </si>
  <si>
    <t>CASH TRANSPORT FEES - AMPARA</t>
  </si>
  <si>
    <t>2831</t>
  </si>
  <si>
    <t>TELEPHONE CHARGES - KANDY CITY</t>
  </si>
  <si>
    <t>1794</t>
  </si>
  <si>
    <t>TELEPHONE CHARGES-AWISSAWELA</t>
  </si>
  <si>
    <t>0481</t>
  </si>
  <si>
    <t>ADVERTISING EXPENSES - KURUNEGALA</t>
  </si>
  <si>
    <t>2632</t>
  </si>
  <si>
    <t>FURNITURE &amp; FITTINGS MAINTENANCE  - KANDY</t>
  </si>
  <si>
    <t>1803</t>
  </si>
  <si>
    <t>SECURITY EXPENSES- AMBALANTOTA</t>
  </si>
  <si>
    <t>0803</t>
  </si>
  <si>
    <t>STAFF MEDICAL EXPENSES - BATTARAMULLA</t>
  </si>
  <si>
    <t>1549</t>
  </si>
  <si>
    <t>INVESTMENT IN FIXED DEPOSIT - HNB</t>
  </si>
  <si>
    <t>0819</t>
  </si>
  <si>
    <t>SUNDRY EXPENSES - KANDY</t>
  </si>
  <si>
    <t>1091</t>
  </si>
  <si>
    <t>E.T.F. CONTRIBUTION- NUWARAELIYA</t>
  </si>
  <si>
    <t>0275</t>
  </si>
  <si>
    <t>PROVISION FOR DEPRECIATION - MOTOR VEHICLES</t>
  </si>
  <si>
    <t>0624</t>
  </si>
  <si>
    <t>SALARIES &amp; WAGES - POLONNARUWA</t>
  </si>
  <si>
    <t>1926</t>
  </si>
  <si>
    <t>CURRENT ACCOUNT-HNB (LISVIN)-142010030296</t>
  </si>
  <si>
    <t>1806</t>
  </si>
  <si>
    <t>SECURITY EXPENSES- CHILAW</t>
  </si>
  <si>
    <t>1128</t>
  </si>
  <si>
    <t>DEPRECIATION - COMPUTER SOFTWARE- RATHNAPURA</t>
  </si>
  <si>
    <t>0910</t>
  </si>
  <si>
    <t>TRADE &amp; REVENUE LICENSE - EMBILIPITIYA</t>
  </si>
  <si>
    <t>0224</t>
  </si>
  <si>
    <t>COMMERCIAL BANK LTL - 1915253</t>
  </si>
  <si>
    <t>0084</t>
  </si>
  <si>
    <t>LEASING ASSOCIATION MEMBERSHIP RENEWAL FEE</t>
  </si>
  <si>
    <t>1018</t>
  </si>
  <si>
    <t>STAFF BONUS - KURUNEGALA</t>
  </si>
  <si>
    <t>1057</t>
  </si>
  <si>
    <t>E.P.F. CONTRIBUTION - RATHNAPURA</t>
  </si>
  <si>
    <t>0991</t>
  </si>
  <si>
    <t>SALES COMMISSION - POLONNARUWA</t>
  </si>
  <si>
    <t>2796</t>
  </si>
  <si>
    <t>INVESTMENT IN FIXED DEPOSIT USD -  NTB</t>
  </si>
  <si>
    <t>2416</t>
  </si>
  <si>
    <t>PROVISION FOR BAD DEBTS LEASE - SPECEFIC</t>
  </si>
  <si>
    <t>0404</t>
  </si>
  <si>
    <t>DEBIT TAX</t>
  </si>
  <si>
    <t>1094</t>
  </si>
  <si>
    <t>E.T.F. CONTRIBUTION- CHILAW</t>
  </si>
  <si>
    <t>0236</t>
  </si>
  <si>
    <t>LOAN - MR. D.P.PIERIS</t>
  </si>
  <si>
    <t>2221</t>
  </si>
  <si>
    <t>NEWS PAPER &amp; PERIOD-MANNAR</t>
  </si>
  <si>
    <t>2383</t>
  </si>
  <si>
    <t>VEHICLE REPAIRE &amp; MAINTANACE – BANDARAWELLA</t>
  </si>
  <si>
    <t>0997</t>
  </si>
  <si>
    <t>SALES COMMISSION - NEGOMBO</t>
  </si>
  <si>
    <t>1274</t>
  </si>
  <si>
    <t>PROFESSIONAL CHARGES - VAUNIYA</t>
  </si>
  <si>
    <t>0079</t>
  </si>
  <si>
    <t>BURGLARY COMMERCIAL INSURANCE</t>
  </si>
  <si>
    <t>0814</t>
  </si>
  <si>
    <t>SUNDRY EXPENSES - GALLE</t>
  </si>
  <si>
    <t>1052</t>
  </si>
  <si>
    <t>E.P.F. CONTRIBUTION - AMPARA</t>
  </si>
  <si>
    <t>2440</t>
  </si>
  <si>
    <t>INTERST ON LEASE RIGHT TO USE LIABILITY</t>
  </si>
  <si>
    <t>1058</t>
  </si>
  <si>
    <t>E.P.F. CONTRIBUTION - EMBILIPITIYA</t>
  </si>
  <si>
    <t>1036</t>
  </si>
  <si>
    <t>PROFESSIONAL CHARGES - GALLE</t>
  </si>
  <si>
    <t>1006</t>
  </si>
  <si>
    <t>STAFF BONUS - MADAPATHA</t>
  </si>
  <si>
    <t>1508</t>
  </si>
  <si>
    <t>CHEQUE RETURN CHARGES - DF</t>
  </si>
  <si>
    <t>2639</t>
  </si>
  <si>
    <t>FURNITURE &amp; FITTINGS MAINTENANCE  - PILIYANDALA</t>
  </si>
  <si>
    <t>1398</t>
  </si>
  <si>
    <t>INVESTMENT FUND ACCOUNT</t>
  </si>
  <si>
    <t>2462</t>
  </si>
  <si>
    <t>COUNTER PARTY CURRENT ACCOUNT (T)</t>
  </si>
  <si>
    <t>0058</t>
  </si>
  <si>
    <t>STAFF MEDICAL EXPENSES - HO</t>
  </si>
  <si>
    <t>2128</t>
  </si>
  <si>
    <t>INTEREST RECEIVABLE ON LEASE/LOAN/HP</t>
  </si>
  <si>
    <t>0175</t>
  </si>
  <si>
    <t>LEASE RENTALS IN ARREARS - P</t>
  </si>
  <si>
    <t>2751</t>
  </si>
  <si>
    <t>EARNED INCOME - LOAN DEBTOR AGAINST FIXED DEPOSIT</t>
  </si>
  <si>
    <t>0832</t>
  </si>
  <si>
    <t>TEA &amp; MEAL EXPENSES - MADAPATHA</t>
  </si>
  <si>
    <t>0008</t>
  </si>
  <si>
    <t>CURRENT ACCOUNT NO (SEYLAN) - 0864-00041323-001</t>
  </si>
  <si>
    <t>2809</t>
  </si>
  <si>
    <t>BORROWINGS EXCHANGE GAIN / LOSS-UN REALIZED</t>
  </si>
  <si>
    <t>1642</t>
  </si>
  <si>
    <t>TEA &amp; MEAL EXPENSES - HOROWPATHANA</t>
  </si>
  <si>
    <t>0562</t>
  </si>
  <si>
    <t>DATA COMMUNICATION CHARGES - AMBALANTHOTA</t>
  </si>
  <si>
    <t>1784</t>
  </si>
  <si>
    <t>DOMESTIC COURIER CHARGES- AWISSAWELLA</t>
  </si>
  <si>
    <t>2459</t>
  </si>
  <si>
    <t>MATURITY INTEREST ON SECURITY ISSUES FINANCE FACILITIES</t>
  </si>
  <si>
    <t>2314</t>
  </si>
  <si>
    <t>INTEREST RECEIVABLE ON SME</t>
  </si>
  <si>
    <t>0111</t>
  </si>
  <si>
    <t>LEGAL FEES - RECOVERIES</t>
  </si>
  <si>
    <t>0837</t>
  </si>
  <si>
    <t>TEA &amp; MEAL EXPENSES - TISSAMAHARAMA</t>
  </si>
  <si>
    <t>0413</t>
  </si>
  <si>
    <t>ELECTRICITY - RATHNAPURA</t>
  </si>
  <si>
    <t>1649</t>
  </si>
  <si>
    <t>RENT EXPENSE - MATALE</t>
  </si>
  <si>
    <t>2329</t>
  </si>
  <si>
    <t>TRADE &amp; REVENUE LICENSE – BANDARAWELA</t>
  </si>
  <si>
    <t>2801</t>
  </si>
  <si>
    <t>FOREIGN BORROWING  USD -  NTB</t>
  </si>
  <si>
    <t>0855</t>
  </si>
  <si>
    <t>TRAVELLING &amp; SUBSISTANCE - AMPARA</t>
  </si>
  <si>
    <t>0760</t>
  </si>
  <si>
    <t>STAFF WELFARE &amp; BENEFITS - MADAPATHA</t>
  </si>
  <si>
    <t>1449</t>
  </si>
  <si>
    <t>DOMESTIC COURIER CHARGES - MANNAR</t>
  </si>
  <si>
    <t>0861</t>
  </si>
  <si>
    <t>TRAVELLING &amp; SUBSISTANCE - EMBILIPITIYA</t>
  </si>
  <si>
    <t>0696</t>
  </si>
  <si>
    <t>WATER CHARGES - MONARAGALA</t>
  </si>
  <si>
    <t>2365</t>
  </si>
  <si>
    <t>DOMESTIC COURIER CHARGES - MAWANELLA</t>
  </si>
  <si>
    <t>0594</t>
  </si>
  <si>
    <t>OFFICE EQUIPMENT MAINTENANCE - RATHNAPURA</t>
  </si>
  <si>
    <t>0874</t>
  </si>
  <si>
    <t>TRAVELLING &amp; SUBSISTANCE - MATHUGAMA</t>
  </si>
  <si>
    <t>1799</t>
  </si>
  <si>
    <t>WATER CHARGES-AWISSAWELLA</t>
  </si>
  <si>
    <t>1599</t>
  </si>
  <si>
    <t>DATA COMMUNICATION CHARGES - GAMPOLA</t>
  </si>
  <si>
    <t>2037</t>
  </si>
  <si>
    <t>OFFICE EQUIPMENT MAINTANANCE-WELLAWAYA</t>
  </si>
  <si>
    <t>0777</t>
  </si>
  <si>
    <t>STAFF WELFARE &amp; BENEFITS - MATHUGAMA</t>
  </si>
  <si>
    <t>0724</t>
  </si>
  <si>
    <t>POSTAGE &amp; STAMPS - KURUNEGALA</t>
  </si>
  <si>
    <t>0866</t>
  </si>
  <si>
    <t>TRAVELLING &amp; SUBSISTANCE - POLONNARUWA</t>
  </si>
  <si>
    <t>0871</t>
  </si>
  <si>
    <t>TRAVELLING &amp; SUBSISTANCE - PUTTALAM</t>
  </si>
  <si>
    <t>1957</t>
  </si>
  <si>
    <t>OFFICE EQUIPMENT MAINTANANCE-GALEWALA</t>
  </si>
  <si>
    <t>2541</t>
  </si>
  <si>
    <t>ELECTRICITY CHARGES - BORELLA</t>
  </si>
  <si>
    <t>1805</t>
  </si>
  <si>
    <t>SECURITY EXPENSES- BADULLA</t>
  </si>
  <si>
    <t>0731</t>
  </si>
  <si>
    <t>POSTAGE &amp; STAMPS - BATTARAMULLA</t>
  </si>
  <si>
    <t>0421</t>
  </si>
  <si>
    <t>INCOME TAX</t>
  </si>
  <si>
    <t>0730</t>
  </si>
  <si>
    <t>POSTAGE &amp; STAMPS - MATARA</t>
  </si>
  <si>
    <t>2313</t>
  </si>
  <si>
    <t>INTEREST RECEIVABLE ON DEALER FINANCE</t>
  </si>
  <si>
    <t>1499</t>
  </si>
  <si>
    <t>WATER CHARGES - MANNAR</t>
  </si>
  <si>
    <t>2759</t>
  </si>
  <si>
    <t>DOMESTIC COURIER CHARGES - WELLAWATTA</t>
  </si>
  <si>
    <t>1521</t>
  </si>
  <si>
    <t>TELEPHONE CHARGES - NIKAWERATIYA</t>
  </si>
  <si>
    <t>0584</t>
  </si>
  <si>
    <t>TELEPHONE CHARGES - MATHUGAMA</t>
  </si>
  <si>
    <t>1740</t>
  </si>
  <si>
    <t>1071</t>
  </si>
  <si>
    <t>E.P.F. CONTRIBUTION - MATHUGAMA</t>
  </si>
  <si>
    <t>1925</t>
  </si>
  <si>
    <t>CURRENT ACCOUNT-DFCC (LISVIN)-1001005091</t>
  </si>
  <si>
    <t>1686</t>
  </si>
  <si>
    <t>TRADE &amp; REVENUE LICENSE - KILINOCHCHI</t>
  </si>
  <si>
    <t>0722</t>
  </si>
  <si>
    <t>POSTAGE &amp; STAMPS - DEHIATTAKANDIYA</t>
  </si>
  <si>
    <t>1019</t>
  </si>
  <si>
    <t>STAFF BONUS - NUWARAELIYA</t>
  </si>
  <si>
    <t>2468</t>
  </si>
  <si>
    <t>BROKERAGE EXPENSE ACCOUNT (T)</t>
  </si>
  <si>
    <t>2285</t>
  </si>
  <si>
    <t>CASH TRANSPORT FEES-KIRIBATHGODA</t>
  </si>
  <si>
    <t>0395</t>
  </si>
  <si>
    <t>MANAGEMENT FEES</t>
  </si>
  <si>
    <t>2331</t>
  </si>
  <si>
    <t>ADVERTISING EXPENSE - BANDARAWELA</t>
  </si>
  <si>
    <t>1518</t>
  </si>
  <si>
    <t>TRADE &amp; REVENUE LICENSE - NIKAWERATIYA</t>
  </si>
  <si>
    <t>2291</t>
  </si>
  <si>
    <t>POSTAGE &amp; STAMPS-KIRIBATHGODA</t>
  </si>
  <si>
    <t>1527</t>
  </si>
  <si>
    <t>NEWS PAPERS &amp; PERIOD - DENIYAYA</t>
  </si>
  <si>
    <t>2482</t>
  </si>
  <si>
    <t>PROFESSIONAL FEES - MATALE</t>
  </si>
  <si>
    <t>0419</t>
  </si>
  <si>
    <t>HATTON NATIONAL BANK -LOAN 2</t>
  </si>
  <si>
    <t>0973</t>
  </si>
  <si>
    <t>RECOVERY VISIT EXPENSES - NEGOMBO</t>
  </si>
  <si>
    <t>0225</t>
  </si>
  <si>
    <t>COMMERCIAL BANK LOAN REF 263978</t>
  </si>
  <si>
    <t>2318</t>
  </si>
  <si>
    <t>FUEL &amp; OIL - TISSAMAHARAMA</t>
  </si>
  <si>
    <t>2839</t>
  </si>
  <si>
    <t>BUILDING MAINTENANCE - KOTTAWA</t>
  </si>
  <si>
    <t>2579</t>
  </si>
  <si>
    <t>STAFF MEDICAL EXPENSES - NUGEGODA</t>
  </si>
  <si>
    <t>0998</t>
  </si>
  <si>
    <t>SALES COMMISSION - CHILAW</t>
  </si>
  <si>
    <t>0616</t>
  </si>
  <si>
    <t>SALARIES &amp; WAGES - DAMBULLA</t>
  </si>
  <si>
    <t>1867</t>
  </si>
  <si>
    <t>VEHICLE REPAIRS &amp; MAINTANANCE-KANDY</t>
  </si>
  <si>
    <t>2706</t>
  </si>
  <si>
    <t>GARAGE CHARGES - PANADURA</t>
  </si>
  <si>
    <t>1011</t>
  </si>
  <si>
    <t>STAFF BONUS - TISSAMAHARAMA</t>
  </si>
  <si>
    <t>0784</t>
  </si>
  <si>
    <t>STAFF MEDICAL EXPENSES - MADAPATHA</t>
  </si>
  <si>
    <t>0804</t>
  </si>
  <si>
    <t>STAFF MEDICAL EXPENSES - AMBALANTHOTA</t>
  </si>
  <si>
    <t>1275</t>
  </si>
  <si>
    <t>SALES COMMISSION - VAUNIYA</t>
  </si>
  <si>
    <t>1922</t>
  </si>
  <si>
    <t>FACTORING INTEREST RECEIVABLE</t>
  </si>
  <si>
    <t>0977</t>
  </si>
  <si>
    <t>RECOVERY VISIT EXPENSES - BATTARAMULLA</t>
  </si>
  <si>
    <t>2828</t>
  </si>
  <si>
    <t>STAFF TRAINING - KANDY CITY</t>
  </si>
  <si>
    <t>2308</t>
  </si>
  <si>
    <t>INVESTMENT IN FIXED DEPOSIT - COMMERCIAL BANK</t>
  </si>
  <si>
    <t>0939</t>
  </si>
  <si>
    <t>STAFF TRAINING - POLONNARUWA</t>
  </si>
  <si>
    <t>2087</t>
  </si>
  <si>
    <t>INVESTMENT INCOME ON TREASURY BILLS</t>
  </si>
  <si>
    <t>1751</t>
  </si>
  <si>
    <t>HNB STL-02-240MN</t>
  </si>
  <si>
    <t>2498</t>
  </si>
  <si>
    <t>VEHICLE MAINTANANCE - AMBALANGODA</t>
  </si>
  <si>
    <t>1545</t>
  </si>
  <si>
    <t>NEWS PAPERS &amp; PERIODICALS - NIKAWARATIYA</t>
  </si>
  <si>
    <t>1080</t>
  </si>
  <si>
    <t>E.T.F. CONTRIBUTION- YAKKALA</t>
  </si>
  <si>
    <t>1047</t>
  </si>
  <si>
    <t>PROFESSIONAL CHARGES - MATHUGAMA</t>
  </si>
  <si>
    <t>1944</t>
  </si>
  <si>
    <t xml:space="preserve">HNB BANK LTL - 003040138260 </t>
  </si>
  <si>
    <t>1163</t>
  </si>
  <si>
    <t>ADVERTISING EXPENSES - BATTICALOA</t>
  </si>
  <si>
    <t>1070</t>
  </si>
  <si>
    <t>E.P.F. CONTRIBUTION - CHILAW</t>
  </si>
  <si>
    <t>2307</t>
  </si>
  <si>
    <t>SAVING ACCOUNT COMMERCAIL BANK - 2000024062</t>
  </si>
  <si>
    <t>2151</t>
  </si>
  <si>
    <t>LOAN DEBTOR-ASSET DRAFT</t>
  </si>
  <si>
    <t>2153</t>
  </si>
  <si>
    <t>SERVICE CHARGES RECOVERABLE-ASSET DRAFT</t>
  </si>
  <si>
    <t>1172</t>
  </si>
  <si>
    <t>CURRENT ACCOUNT NO (SAMPATH) - 001210005834 DTEX</t>
  </si>
  <si>
    <t>2458</t>
  </si>
  <si>
    <t>COUPON INTEREST ON SECURITY ISSUES FINANCE FACILITIES</t>
  </si>
  <si>
    <t>0870</t>
  </si>
  <si>
    <t>TRAVELLING &amp; SUBSISTANCE - NUWARAELIYA</t>
  </si>
  <si>
    <t>1544</t>
  </si>
  <si>
    <t>REPOSSESS VEHICLE SALES EXPENSES</t>
  </si>
  <si>
    <t>0001</t>
  </si>
  <si>
    <t>CURRENT ACCOUNT NO (COMM) - 1415607202</t>
  </si>
  <si>
    <t>1718</t>
  </si>
  <si>
    <t>OFFICE EQUIPMENT MAINTENANCE- KEKIRAWA</t>
  </si>
  <si>
    <t>0444</t>
  </si>
  <si>
    <t>ELECTRICITY - TISSAMAHARAMA</t>
  </si>
  <si>
    <t>1427</t>
  </si>
  <si>
    <t>STAFF WELFARE &amp; BENIFITS - MAHIYANGANAYA</t>
  </si>
  <si>
    <t>0593</t>
  </si>
  <si>
    <t>OFFICE EQUIPMENT MAINTENANCE - YAKKALA</t>
  </si>
  <si>
    <t>2287</t>
  </si>
  <si>
    <t>DATA COMMUNICATION CHARGES-KIRIBATHGODA</t>
  </si>
  <si>
    <t>2225</t>
  </si>
  <si>
    <t>STAFF WELFARE &amp; BENIFITS-MALIGAWATTA</t>
  </si>
  <si>
    <t>1574</t>
  </si>
  <si>
    <t>TELEPHONE CHARGES  - KULIYAPITIYA</t>
  </si>
  <si>
    <t>0407</t>
  </si>
  <si>
    <t>RENT EXPENSES- RATHNAPURA</t>
  </si>
  <si>
    <t>0864</t>
  </si>
  <si>
    <t>TRAVELLING &amp; SUBSISTANCE - BADULLA</t>
  </si>
  <si>
    <t>1969</t>
  </si>
  <si>
    <t>LOAN RENTAL IN ARREASE-PLEDGE</t>
  </si>
  <si>
    <t>0059</t>
  </si>
  <si>
    <t>ANNUAL GET TOGETHER EXPENSES</t>
  </si>
  <si>
    <t>1465</t>
  </si>
  <si>
    <t>WATER CHARGES - MAHIYANGANAYA</t>
  </si>
  <si>
    <t>1560</t>
  </si>
  <si>
    <t>Gampola</t>
  </si>
  <si>
    <t>2212</t>
  </si>
  <si>
    <t>PROMOTIONS EXPENSE-YAKKALA</t>
  </si>
  <si>
    <t>2486</t>
  </si>
  <si>
    <t>REPO INTEREST EXPENSE ACCOUNT</t>
  </si>
  <si>
    <t>1496</t>
  </si>
  <si>
    <t>TRAVELLING &amp; SUBSISTANCE - DENIYAYA</t>
  </si>
  <si>
    <t>0500</t>
  </si>
  <si>
    <t>CASH TRANSPORT FEES - BADULLA</t>
  </si>
  <si>
    <t>2305</t>
  </si>
  <si>
    <t>PRINITING &amp; STATIONARIES - ELPITIYA</t>
  </si>
  <si>
    <t>1569</t>
  </si>
  <si>
    <t>RENT EXPENSE - HOROWPATHANA</t>
  </si>
  <si>
    <t>1659</t>
  </si>
  <si>
    <t>OFFICE EQUIPMENT MAINTENANCE - MATALE</t>
  </si>
  <si>
    <t>2544</t>
  </si>
  <si>
    <t>OFFICE EQUIPMENT MAINTANANCE-BORELLA</t>
  </si>
  <si>
    <t>0780</t>
  </si>
  <si>
    <t>STAFF WELFARE &amp; BENEFITS - AMBALANTHOTA</t>
  </si>
  <si>
    <t>2574</t>
  </si>
  <si>
    <t>TRADE &amp; REVENUE LICENSE - NUGEGODA</t>
  </si>
  <si>
    <t>1734</t>
  </si>
  <si>
    <t>CASH TRANSPORT FEES- WALASMULLA</t>
  </si>
  <si>
    <t>2206</t>
  </si>
  <si>
    <t>PROMOTIONS EXPENSE-RATHNAPURA</t>
  </si>
  <si>
    <t>1269</t>
  </si>
  <si>
    <t>TRADE &amp; REVENUE LICENSE - KEGALLE</t>
  </si>
  <si>
    <t>1638</t>
  </si>
  <si>
    <t>TRADE AND REVENUE LICENCES - AKKARAIPATTU</t>
  </si>
  <si>
    <t>0561</t>
  </si>
  <si>
    <t>DATA COMMUNICATION CHARGES - BATTARAMULLA</t>
  </si>
  <si>
    <t>0558</t>
  </si>
  <si>
    <t>DATA COMMUNICATION CHARGES - CHILAW</t>
  </si>
  <si>
    <t>2900</t>
  </si>
  <si>
    <t>FUEL &amp; OIL- JA ELA</t>
  </si>
  <si>
    <t>0117</t>
  </si>
  <si>
    <t>OVERDRAFT INTEREST - HNB</t>
  </si>
  <si>
    <t>0655</t>
  </si>
  <si>
    <t>DOMESTIC COURIER CHARGES - CHILAW</t>
  </si>
  <si>
    <t>1304</t>
  </si>
  <si>
    <t>BUILDING MAINTENANCE - KEGALLE</t>
  </si>
  <si>
    <t>2539</t>
  </si>
  <si>
    <t>CASH TRANSPORT CHARGES-BORELLA</t>
  </si>
  <si>
    <t>0536</t>
  </si>
  <si>
    <t>BUILDING MAINTENANCE - BATTARAMULLA</t>
  </si>
  <si>
    <t>0645</t>
  </si>
  <si>
    <t>DOMESTIC COURIER CHARGES - GALLE</t>
  </si>
  <si>
    <t>2667</t>
  </si>
  <si>
    <t>PROVISION FOR BAD DEBTS-REVOLVIN LOAN - OVER 12</t>
  </si>
  <si>
    <t>0714</t>
  </si>
  <si>
    <t>POSTAGE &amp; STAMPS - YAKKALA</t>
  </si>
  <si>
    <t>2779</t>
  </si>
  <si>
    <t>TRAVELLING &amp; SUBSISTANCE - WELLAWATTA</t>
  </si>
  <si>
    <t>0034</t>
  </si>
  <si>
    <t>SUNDRY INCOME</t>
  </si>
  <si>
    <t>2216</t>
  </si>
  <si>
    <t>STAFF TRAINNIG-MALIGAWATTA</t>
  </si>
  <si>
    <t>0795</t>
  </si>
  <si>
    <t>STAFF MEDICAL EXPENSES - KANDY</t>
  </si>
  <si>
    <t>1050</t>
  </si>
  <si>
    <t>PROFESSIONAL CHARGES - AMBALANTHOTA</t>
  </si>
  <si>
    <t>2636</t>
  </si>
  <si>
    <t>FURNITURE &amp; FITTINGS MAINTENANCE -KIRIBATHGODA</t>
  </si>
  <si>
    <t>2795</t>
  </si>
  <si>
    <t>S/A  - EXTERNAL COMMERCIAL BORROWING A/C (ECBA) - USD 270100004376</t>
  </si>
  <si>
    <t>0473</t>
  </si>
  <si>
    <t>ADVERTISING EXPENSES - EMBILIPITIYA</t>
  </si>
  <si>
    <t>2289</t>
  </si>
  <si>
    <t>WATER CHARGES-KIRIBATHGODA</t>
  </si>
  <si>
    <t>2168</t>
  </si>
  <si>
    <t>PROMOTIONS EXPENSE-AMPARA</t>
  </si>
  <si>
    <t>0708</t>
  </si>
  <si>
    <t>WATER CHARGES - KALUTATA</t>
  </si>
  <si>
    <t>2395</t>
  </si>
  <si>
    <t>TRDE FINANCE CHARGES INCOME</t>
  </si>
  <si>
    <t>0966</t>
  </si>
  <si>
    <t>RECOVERY VISIT EXPENSES - MONARAGALA</t>
  </si>
  <si>
    <t>2189</t>
  </si>
  <si>
    <t>PROMOTIONS EXPENSE-KILINOCHCHI</t>
  </si>
  <si>
    <t>0107</t>
  </si>
  <si>
    <t>ENTERTAINMENT - HO</t>
  </si>
  <si>
    <t>1062</t>
  </si>
  <si>
    <t>E.P.F. CONTRIBUTION - MONARAGALA</t>
  </si>
  <si>
    <t>2856</t>
  </si>
  <si>
    <t>STAFF WELFARE &amp; BENEFITS - KOTTAWA</t>
  </si>
  <si>
    <t>2798</t>
  </si>
  <si>
    <t>INTEREST INCOME FIXED DEPOSIT USD -  NTB</t>
  </si>
  <si>
    <t>0970</t>
  </si>
  <si>
    <t>RECOVERY VISIT EXPENSES - KURUNEGALA</t>
  </si>
  <si>
    <t>0618</t>
  </si>
  <si>
    <t>SALARIES &amp; WAGES - RATHNAPURA</t>
  </si>
  <si>
    <t>1276</t>
  </si>
  <si>
    <t>SALES COMMISSION - KEGALLE</t>
  </si>
  <si>
    <t>2125</t>
  </si>
  <si>
    <t>GARAGE CHARGES-MULLAITTIVE</t>
  </si>
  <si>
    <t>0810</t>
  </si>
  <si>
    <t>SUNDRY EXPENSES - YAKKALA</t>
  </si>
  <si>
    <t>0988</t>
  </si>
  <si>
    <t>SALES COMMISSION - GALLE</t>
  </si>
  <si>
    <t>0141</t>
  </si>
  <si>
    <t>LOAN DEBTORS - DEALER FINANCE - NP</t>
  </si>
  <si>
    <t>2709</t>
  </si>
  <si>
    <t>POSTAGE &amp; STAMPS - PANADURA</t>
  </si>
  <si>
    <t>1039</t>
  </si>
  <si>
    <t>PROFESSIONAL CHARGES - POLONNARUWA</t>
  </si>
  <si>
    <t>1131</t>
  </si>
  <si>
    <t>DEPRECIATION - COMPUTER SOFTWARE- GALLE</t>
  </si>
  <si>
    <t>1158</t>
  </si>
  <si>
    <t>CLOSURES - LOAN KALYANA</t>
  </si>
  <si>
    <t>2035</t>
  </si>
  <si>
    <t>VEHICLE REPAIRE &amp; MAINTANANCE-BATTARAMULLA</t>
  </si>
  <si>
    <t>2811</t>
  </si>
  <si>
    <t>ADVERTISING EXPENSES - KANDY CITY</t>
  </si>
  <si>
    <t>0893</t>
  </si>
  <si>
    <t>NEWS PAPERS &amp; PERIOD - KURUNEGALA</t>
  </si>
  <si>
    <t>1232</t>
  </si>
  <si>
    <t>RECOVERY VISIT EXPENSES  - TRINCO</t>
  </si>
  <si>
    <t>2649</t>
  </si>
  <si>
    <t>FURNITURE &amp; FITTINGS MAINTENANCE -MULLAITTVU</t>
  </si>
  <si>
    <t>2758</t>
  </si>
  <si>
    <t>DEPRECIATION - COMPUTER SOFTWARE- WELLAWATTA</t>
  </si>
  <si>
    <t>0971</t>
  </si>
  <si>
    <t>RECOVERY VISIT EXPENSES - NUWARAELIYA</t>
  </si>
  <si>
    <t>0184</t>
  </si>
  <si>
    <t>RESCHEDULEMENTS - HIRE PURCHASE</t>
  </si>
  <si>
    <t>0821</t>
  </si>
  <si>
    <t>SUNDRY EXPENSES - NUWARAELIYA</t>
  </si>
  <si>
    <t>1664</t>
  </si>
  <si>
    <t>TELEPHONE CHARGES - MATALE</t>
  </si>
  <si>
    <t>2157</t>
  </si>
  <si>
    <t>LOAN INSTALLMENT AREARS-ASSET DRAFT</t>
  </si>
  <si>
    <t>1200</t>
  </si>
  <si>
    <t>SME LOAN DEBTORS</t>
  </si>
  <si>
    <t>1602</t>
  </si>
  <si>
    <t>BUILDING MAINTENANCE - KULIYAPITIYA</t>
  </si>
  <si>
    <t>2730</t>
  </si>
  <si>
    <t>FD PREMATURE WITHDRAWAL CONTROL</t>
  </si>
  <si>
    <t>2301</t>
  </si>
  <si>
    <t>OFFICE EQUIPMENTS MAINTANANCE-ELPITIYA</t>
  </si>
  <si>
    <t>2080</t>
  </si>
  <si>
    <t>TELEPHONE CHARGES-WELLAWAYA</t>
  </si>
  <si>
    <t>1452</t>
  </si>
  <si>
    <t>OFFICE EQUIPMENT MAINTENANCE - MANNAR</t>
  </si>
  <si>
    <t>2564</t>
  </si>
  <si>
    <t>DEALER FINANCE RENTAL IN ARREARS</t>
  </si>
  <si>
    <t>0859</t>
  </si>
  <si>
    <t>TRAVELLING &amp; SUBSISTANCE - YAKKALA</t>
  </si>
  <si>
    <t>0417</t>
  </si>
  <si>
    <t>ELECTRICITY - ANURADHAPURA</t>
  </si>
  <si>
    <t>2364</t>
  </si>
  <si>
    <t>DATA COMMUNICATION CHARGES - MAWANELLA</t>
  </si>
  <si>
    <t>0682</t>
  </si>
  <si>
    <t>JANITORIAL &amp; SANITORY WORK - BATTARAMULLA</t>
  </si>
  <si>
    <t>1970</t>
  </si>
  <si>
    <t>UNEARNED INCOME -PLADGE LOAN</t>
  </si>
  <si>
    <t>1645</t>
  </si>
  <si>
    <t>TRAVELLING &amp; SUBSISTANCE - HOROWPATHANA</t>
  </si>
  <si>
    <t>2588</t>
  </si>
  <si>
    <t>JANITORIAL &amp; SANITORY WORK - NUGEGODA</t>
  </si>
  <si>
    <t>0055</t>
  </si>
  <si>
    <t>ELECTRICITY - N'ELIYA</t>
  </si>
  <si>
    <t>0702</t>
  </si>
  <si>
    <t>WATER CHARGES - NEGOMBO</t>
  </si>
  <si>
    <t>0070</t>
  </si>
  <si>
    <t>FUEL &amp; OIL-HQ</t>
  </si>
  <si>
    <t>2114</t>
  </si>
  <si>
    <t>TRAVELLING &amp; SUBSISTANCE - WELLAWAYA</t>
  </si>
  <si>
    <t>2687</t>
  </si>
  <si>
    <t>FIXED DEPOSIT INTEREST PAYABLE-INDIVIDUAL</t>
  </si>
  <si>
    <t>0748</t>
  </si>
  <si>
    <t>PRINTING &amp; STATIONERY - KURUNEGALA</t>
  </si>
  <si>
    <t>1152</t>
  </si>
  <si>
    <t>RENT EXPENSES - DEHIATTAKANDIYA</t>
  </si>
  <si>
    <t>1633</t>
  </si>
  <si>
    <t>JANITORIAL &amp; SANITORY WORK - HOROWPATHANA</t>
  </si>
  <si>
    <t>1513</t>
  </si>
  <si>
    <t>DOMESTIC COURIER CHARGES - NIKAWERATIYA</t>
  </si>
  <si>
    <t>2229</t>
  </si>
  <si>
    <t>PROMOTIONS EXPENSES-BATTARAMULLA</t>
  </si>
  <si>
    <t>1826</t>
  </si>
  <si>
    <t xml:space="preserve">CURRENT ACCOUNT -NATIONS TRUST BANK- 006100022820 </t>
  </si>
  <si>
    <t>1224</t>
  </si>
  <si>
    <t>STAFF WELFARE &amp; BENIFITS - TRINCO</t>
  </si>
  <si>
    <t>1343</t>
  </si>
  <si>
    <t>STAFF WELFARE &amp; BENIFITS - JAFFNA</t>
  </si>
  <si>
    <t>0849</t>
  </si>
  <si>
    <t>TEA &amp; MEAL EXPENSES - MATHUGAMA</t>
  </si>
  <si>
    <t>0551</t>
  </si>
  <si>
    <t>DATA COMMUNICATION CHARGES - POLONNARUWA</t>
  </si>
  <si>
    <t>0514</t>
  </si>
  <si>
    <t>CASH TRANSPORT FEES - KALUTHARA</t>
  </si>
  <si>
    <t>0698</t>
  </si>
  <si>
    <t>WATER CHARGES - DEHIATTAKANDIYA</t>
  </si>
  <si>
    <t>0554</t>
  </si>
  <si>
    <t>DATA COMMUNICATION CHARGES - KURUNEGALA</t>
  </si>
  <si>
    <t>2731</t>
  </si>
  <si>
    <t>FD PREMATURE WITHDRAWAL CONTROL - PARTIAL REFUND</t>
  </si>
  <si>
    <t>CROP INSURANCE LEVY PAYABLE</t>
  </si>
  <si>
    <t>2781</t>
  </si>
  <si>
    <t>ADVERTISING EXPENSES - AKKARAIPATHU</t>
  </si>
  <si>
    <t>1294</t>
  </si>
  <si>
    <t>ELECTRICITY - VAUNIYA</t>
  </si>
  <si>
    <t>1403</t>
  </si>
  <si>
    <t>STAFF WELFARE &amp; BENIFITS - BALANGODA</t>
  </si>
  <si>
    <t>1381</t>
  </si>
  <si>
    <t>OFFICE EQUIPMENT MAINTENANCE - BALANGODA</t>
  </si>
  <si>
    <t>2442</t>
  </si>
  <si>
    <t>PROVISION FOR PRE PAID PROMOTION ASSET</t>
  </si>
  <si>
    <t>1503</t>
  </si>
  <si>
    <t>PRINTING &amp; STATIONERY - MANNAR</t>
  </si>
  <si>
    <t>2506</t>
  </si>
  <si>
    <t>SECURITY EXPENSE - AMBALANGODA</t>
  </si>
  <si>
    <t>1372</t>
  </si>
  <si>
    <t>CURRENT ACCOUNT NO (DEUTSCHE) 0041236-00-2</t>
  </si>
  <si>
    <t>1461</t>
  </si>
  <si>
    <t>GARAGE CHARGES - ANURADHAPURA</t>
  </si>
  <si>
    <t>0398</t>
  </si>
  <si>
    <t>CASH TRANSPORT FEES - HO</t>
  </si>
  <si>
    <t>2646</t>
  </si>
  <si>
    <t>FURNITURE &amp; FITTINGS MAINTENANCE  - MATHUGAMA</t>
  </si>
  <si>
    <t>2165</t>
  </si>
  <si>
    <t>UNEARNED INCOME-ASSET DRAFT</t>
  </si>
  <si>
    <t>1822</t>
  </si>
  <si>
    <t>PUBLIC LIABILITY INSURANCE</t>
  </si>
  <si>
    <t>1966</t>
  </si>
  <si>
    <t>DOMESTIC COURIER CHARGES - GALEWELA</t>
  </si>
  <si>
    <t>1729</t>
  </si>
  <si>
    <t>CURRENT ACCOUNT - WALASMULLA</t>
  </si>
  <si>
    <t>2754</t>
  </si>
  <si>
    <t>ADVERTISING EXPENSES - WELLAWATTA</t>
  </si>
  <si>
    <t>0559</t>
  </si>
  <si>
    <t>DATA COMMUNICATION CHARGES - MATHUGAMA</t>
  </si>
  <si>
    <t>1175</t>
  </si>
  <si>
    <t>COMMERCIAL BANK LOAN REF 542440</t>
  </si>
  <si>
    <t>0021</t>
  </si>
  <si>
    <t>TRANSFER FEE - HP</t>
  </si>
  <si>
    <t>1278</t>
  </si>
  <si>
    <t>ADVERTISING EXPENSES - VAUNIYA</t>
  </si>
  <si>
    <t>0984</t>
  </si>
  <si>
    <t>SALES COMMISSION - YAKKALA</t>
  </si>
  <si>
    <t>0486</t>
  </si>
  <si>
    <t>ADVERTISING EXPENSES - MATHUGAMA</t>
  </si>
  <si>
    <t>2883</t>
  </si>
  <si>
    <t>TRADE &amp; REVENUE LICENCE - JA ELA</t>
  </si>
  <si>
    <t>1692</t>
  </si>
  <si>
    <t>RENT EXPENSES-KILINOCHCHI</t>
  </si>
  <si>
    <t>0936</t>
  </si>
  <si>
    <t>STAFF TRAINING - GALLE</t>
  </si>
  <si>
    <t>2778</t>
  </si>
  <si>
    <t>TRADE &amp; REVENUE LICENCE - WELLAWATTA</t>
  </si>
  <si>
    <t>2603</t>
  </si>
  <si>
    <t xml:space="preserve">SAVINGS ACCOUNT BANK OF CHINA </t>
  </si>
  <si>
    <t>0012</t>
  </si>
  <si>
    <t>INTEREST RECEIVED ON CASH BASIS - LE</t>
  </si>
  <si>
    <t>0925</t>
  </si>
  <si>
    <t>TRADE &amp; REVENUE LICENSE - BATTARAMULLA</t>
  </si>
  <si>
    <t>1334</t>
  </si>
  <si>
    <t>SAMPATH BANK LOAN- NO 393065000439</t>
  </si>
  <si>
    <t>1014</t>
  </si>
  <si>
    <t>STAFF BONUS - MONARAGALA</t>
  </si>
  <si>
    <t>1363</t>
  </si>
  <si>
    <t>DONATIONS</t>
  </si>
  <si>
    <t>1821</t>
  </si>
  <si>
    <t>HNB BANK LTL - 003040119085</t>
  </si>
  <si>
    <t>2141</t>
  </si>
  <si>
    <t>FUEL &amp; OIL-MAHIYANGANAYA</t>
  </si>
  <si>
    <t>0028</t>
  </si>
  <si>
    <t>DEFAULT INTEREST - PRAGATHI</t>
  </si>
  <si>
    <t>0451</t>
  </si>
  <si>
    <t>LOAN DEBTORS - SPARE PARTS</t>
  </si>
  <si>
    <t>0029</t>
  </si>
  <si>
    <t>DEFAULT INTEREST - INSURANCE</t>
  </si>
  <si>
    <t>0806</t>
  </si>
  <si>
    <t>SUNDRY EXPENSES - AMPARA</t>
  </si>
  <si>
    <t>0975</t>
  </si>
  <si>
    <t>RECOVERY VISIT EXPENSES - MATHUGAMA</t>
  </si>
  <si>
    <t>2545</t>
  </si>
  <si>
    <t>POSTAGE &amp; STAMPS  - BORELLA</t>
  </si>
  <si>
    <t>0231</t>
  </si>
  <si>
    <t>NATIONAL DEVELOPMENT BANK - LOAN</t>
  </si>
  <si>
    <t>0812</t>
  </si>
  <si>
    <t>SUNDRY EXPENSES - EMBILIPITIYA</t>
  </si>
  <si>
    <t>1130</t>
  </si>
  <si>
    <t>DEPRECIATION - COMPUTER SOFTWARE- TISSAMAHARAMA</t>
  </si>
  <si>
    <t>1114</t>
  </si>
  <si>
    <t>ENTERTAINMENT - KURUNEGALA</t>
  </si>
  <si>
    <t>2508</t>
  </si>
  <si>
    <t>PROFESSIONAL FEES - AMBALANGODA</t>
  </si>
  <si>
    <t>2236</t>
  </si>
  <si>
    <t>CURRENT LIABILITY OF LTL - COMMERCIAL 1915253</t>
  </si>
  <si>
    <t>2643</t>
  </si>
  <si>
    <t>FURNITURE &amp; FITTINGS MAINTENANCE  - MANNAR</t>
  </si>
  <si>
    <t>0623</t>
  </si>
  <si>
    <t>SALARIES &amp; WAGES - MONARAGALA</t>
  </si>
  <si>
    <t>1095</t>
  </si>
  <si>
    <t>E.T.F. CONTRIBUTION- MATHUGAMA</t>
  </si>
  <si>
    <t>0653</t>
  </si>
  <si>
    <t>DOMESTIC COURIER CHARGES - PUTTALAM</t>
  </si>
  <si>
    <t>0822</t>
  </si>
  <si>
    <t>SUNDRY EXPENSES - PUTTALAM</t>
  </si>
  <si>
    <t>1217</t>
  </si>
  <si>
    <t>GARAGE INCOME</t>
  </si>
  <si>
    <t>0041</t>
  </si>
  <si>
    <t>STAFF WELFARE &amp; BENEFITS - HO</t>
  </si>
  <si>
    <t>1456</t>
  </si>
  <si>
    <t>TEA &amp; MEAL EXPENSES - MANNAR</t>
  </si>
  <si>
    <t>1570</t>
  </si>
  <si>
    <t>RENT EXPENSE - KULIYAPITIYA</t>
  </si>
  <si>
    <t>0191</t>
  </si>
  <si>
    <t>R.M.V.CHARGES RECOVARABLE</t>
  </si>
  <si>
    <t>0700</t>
  </si>
  <si>
    <t>WATER CHARGES - KURUNEGALA</t>
  </si>
  <si>
    <t>1474</t>
  </si>
  <si>
    <t>DEBTORS DEALER REFINANCE - NEW</t>
  </si>
  <si>
    <t>0122</t>
  </si>
  <si>
    <t>BANK CHARGES - STANDARD CHARTERED BANK</t>
  </si>
  <si>
    <t>1601</t>
  </si>
  <si>
    <t>BUILDING MAINTENANCE - GAMPOLA</t>
  </si>
  <si>
    <t>1505</t>
  </si>
  <si>
    <t>ELECTRICITY - MAHIYANGANAYA</t>
  </si>
  <si>
    <t>1378</t>
  </si>
  <si>
    <t>TRAVELLING &amp; SUBSISTANCE - BALANGODA</t>
  </si>
  <si>
    <t>2679</t>
  </si>
  <si>
    <t>FIXED DEPOSIT INTEREST PAYABLE-CORPORATE</t>
  </si>
  <si>
    <t>1454</t>
  </si>
  <si>
    <t>RENT EXPENSES - MANNAR</t>
  </si>
  <si>
    <t>1178</t>
  </si>
  <si>
    <t>DATA COMMUNICATION CHARGES-BATTICALOA</t>
  </si>
  <si>
    <t>1688</t>
  </si>
  <si>
    <t>TEA &amp; MEAL EXPENSES-KILINOCHCHI</t>
  </si>
  <si>
    <t>2710</t>
  </si>
  <si>
    <t>PRINTING &amp; STATIONERY  - BORELLA</t>
  </si>
  <si>
    <t>2735</t>
  </si>
  <si>
    <t>FIXED DEPOSIT BORROWING RENEWAL CONTROL A/C</t>
  </si>
  <si>
    <t>1948</t>
  </si>
  <si>
    <t>RENT EXPENSES-GALEWELLA</t>
  </si>
  <si>
    <t>0595</t>
  </si>
  <si>
    <t>OFFICE EQUIPMENT MAINTENANCE - EMBILIPITIYA</t>
  </si>
  <si>
    <t>0674</t>
  </si>
  <si>
    <t>JANITORIAL &amp; SANITORY WORK - KANDY</t>
  </si>
  <si>
    <t>0568</t>
  </si>
  <si>
    <t>TELEPHONE CHARGES - DAMBULLA</t>
  </si>
  <si>
    <t>1746</t>
  </si>
  <si>
    <t>WATER CHARGES-WALASMULLA</t>
  </si>
  <si>
    <t>0586</t>
  </si>
  <si>
    <t>TELEPHONE CHARGES - BATTARAMULLA</t>
  </si>
  <si>
    <t>2140</t>
  </si>
  <si>
    <t>POSTAGE &amp; STAMPS-HORANA</t>
  </si>
  <si>
    <t>0148</t>
  </si>
  <si>
    <t>LEASE HOLD IMPROVEMENTS</t>
  </si>
  <si>
    <t>2272</t>
  </si>
  <si>
    <t>OVERDRAFT INTEREST-COMMERCAIL BANK</t>
  </si>
  <si>
    <t>2454</t>
  </si>
  <si>
    <t>RECEIPT SUSPENSE - COUPONS ACCOUNT (T)</t>
  </si>
  <si>
    <t>2192</t>
  </si>
  <si>
    <t>PROMOTIONS EXPENSE-MAHIYANGANAYA</t>
  </si>
  <si>
    <t>2176</t>
  </si>
  <si>
    <t>PROMOTIONS EXPENSE-DEHIATTAKANDIYA</t>
  </si>
  <si>
    <t>1286</t>
  </si>
  <si>
    <t>STAFF WELFARE &amp; BENIFITS - VAUNIYA</t>
  </si>
  <si>
    <t>1081</t>
  </si>
  <si>
    <t>E.T.F. CONTRIBUTION- RATHNAPURA</t>
  </si>
  <si>
    <t>0208</t>
  </si>
  <si>
    <t>UN EARNED INCOME HIRE PURCHASE - P</t>
  </si>
  <si>
    <t>2700</t>
  </si>
  <si>
    <t>DATA COMMUNICATION CHARGES - PANADURA</t>
  </si>
  <si>
    <t>1297</t>
  </si>
  <si>
    <t>POSTAGE &amp; STAMPS - KEGALLE</t>
  </si>
  <si>
    <t>2194</t>
  </si>
  <si>
    <t>PROMOTIONS EXPENSE-MANNAR</t>
  </si>
  <si>
    <t>0758</t>
  </si>
  <si>
    <t>STAFF WELFARE &amp; BENEFITS - AMPARA</t>
  </si>
  <si>
    <t>0791</t>
  </si>
  <si>
    <t>STAFF MEDICAL EXPENSES - BADULLA</t>
  </si>
  <si>
    <t>2585</t>
  </si>
  <si>
    <t>POSTAGE &amp; STAMPS  - NUGEGODA</t>
  </si>
  <si>
    <t>LEASE RIGHT TO USE LIABILITY</t>
  </si>
  <si>
    <t>0422</t>
  </si>
  <si>
    <t>PRE PAID PROMOTIONAL EXPENSE - LOAN</t>
  </si>
  <si>
    <t>1586</t>
  </si>
  <si>
    <t>POSTAGE &amp; STAMPS  - KULIYAPITIYA</t>
  </si>
  <si>
    <t>1720</t>
  </si>
  <si>
    <t>TRADE AND REVENUE LICENCES- KEKIRAWA</t>
  </si>
  <si>
    <t>1967</t>
  </si>
  <si>
    <t>STAFF TRAINNIG-DENIYAYA</t>
  </si>
  <si>
    <t>2813</t>
  </si>
  <si>
    <t>CASH TRANSPORT FEES - KANDY CITY</t>
  </si>
  <si>
    <t>0942</t>
  </si>
  <si>
    <t>STAFF TRAINING - KURUNEGALA</t>
  </si>
  <si>
    <t>1762</t>
  </si>
  <si>
    <t>NEWS PAPER &amp; PERIODICALS-WALASMULLA</t>
  </si>
  <si>
    <t>1087</t>
  </si>
  <si>
    <t>E.T.F. CONTRIBUTION- POLONNARUWA</t>
  </si>
  <si>
    <t>2182</t>
  </si>
  <si>
    <t>PROMOTIONS EXPENSE-HORANA</t>
  </si>
  <si>
    <t>2895</t>
  </si>
  <si>
    <t>POSTAGE &amp; STAMPS - JA ELA</t>
  </si>
  <si>
    <t>0210</t>
  </si>
  <si>
    <t>UN EARNED INCOME LOAN - P</t>
  </si>
  <si>
    <t>0793</t>
  </si>
  <si>
    <t>STAFF MEDICAL EXPENSES - POLONNARUWA</t>
  </si>
  <si>
    <t>0943</t>
  </si>
  <si>
    <t>STAFF TRAINING - NUWARAELIYA</t>
  </si>
  <si>
    <t>2240</t>
  </si>
  <si>
    <t>CURRENT LIABILITY OF LTL - COMMERCIAL 1989383</t>
  </si>
  <si>
    <t>1140</t>
  </si>
  <si>
    <t>DEPRECIATION - COMPUTER SOFTWARE- NEGOMBO</t>
  </si>
  <si>
    <t>1707</t>
  </si>
  <si>
    <t>SAMPATH BANK LTL - 302965000492</t>
  </si>
  <si>
    <t>1284</t>
  </si>
  <si>
    <t>SUNDRY EXPENSES - KEGALLE</t>
  </si>
  <si>
    <t>1246</t>
  </si>
  <si>
    <t>GARAGE CHARGES - NUWARA ELIYA</t>
  </si>
  <si>
    <t>0974</t>
  </si>
  <si>
    <t>RECOVERY VISIT EXPENSES - CHILAW</t>
  </si>
  <si>
    <t>2701</t>
  </si>
  <si>
    <t>DEPRECIATION - COMPUTER SOFTWARE- PANADURA</t>
  </si>
  <si>
    <t>1079</t>
  </si>
  <si>
    <t>E.T.F. CONTRIBUTION- DAMBULLA</t>
  </si>
  <si>
    <t>0027</t>
  </si>
  <si>
    <t>DEFAULT INTEREST - TF</t>
  </si>
  <si>
    <t>1910</t>
  </si>
  <si>
    <t>VEHICLE REPAIRE &amp; MAINTANACE-NEGAMBO</t>
  </si>
  <si>
    <t>1399</t>
  </si>
  <si>
    <t>WRITTEN OFF LOAN DEBTORS-DEALER FINANCE KALYANA</t>
  </si>
  <si>
    <t>1491</t>
  </si>
  <si>
    <t>RECOVERY VISIT EXPENSES - DENIYAYA</t>
  </si>
  <si>
    <t>0177</t>
  </si>
  <si>
    <t>HIRE PURCHASE RENTALS IN ARREARS - P</t>
  </si>
  <si>
    <t>0134</t>
  </si>
  <si>
    <t>LOAN DEBTORS - P</t>
  </si>
  <si>
    <t>2311</t>
  </si>
  <si>
    <t>INTEREST RECEIVABLE ON LOANS &amp; ADVANCES</t>
  </si>
  <si>
    <t>2793</t>
  </si>
  <si>
    <t>ACCRUED INTEREST RECEIVABLE-MARGIN TRADING</t>
  </si>
  <si>
    <t>1759</t>
  </si>
  <si>
    <t>NEWS PAPER &amp; PERIODICALS-KEKIRAWA</t>
  </si>
  <si>
    <t>1126</t>
  </si>
  <si>
    <t>DEPRECIATION - COMPUTER SOFTWARE- DAMBULLA</t>
  </si>
  <si>
    <t>1164</t>
  </si>
  <si>
    <t>SALES COMMISSIONS - BATTICALOA</t>
  </si>
  <si>
    <t>1679</t>
  </si>
  <si>
    <t>CASH TRANSPORT FEES - KILINOCHCHI</t>
  </si>
  <si>
    <t>1837</t>
  </si>
  <si>
    <t>COMMISSION FOR  COLLECTION VIA CREDIT CARD</t>
  </si>
  <si>
    <t>0592</t>
  </si>
  <si>
    <t>OFFICE EQUIPMENT MAINTENANCE - DAMBULLA</t>
  </si>
  <si>
    <t>0504</t>
  </si>
  <si>
    <t>CASH TRANSPORT FEES - KANDY</t>
  </si>
  <si>
    <t>2056</t>
  </si>
  <si>
    <t>TRAVELLING &amp; SUBSISTANCE-HORANA</t>
  </si>
  <si>
    <t>0768</t>
  </si>
  <si>
    <t>STAFF WELFARE &amp; BENEFITS - MONARAGALA</t>
  </si>
  <si>
    <t>2160</t>
  </si>
  <si>
    <t>CLOSURE-ASSET DRAFT</t>
  </si>
  <si>
    <t>1397</t>
  </si>
  <si>
    <t>ELECTRICITY - BALANGODA</t>
  </si>
  <si>
    <t>1663</t>
  </si>
  <si>
    <t>TEA &amp; MEAL EXPENSES  - MATALE</t>
  </si>
  <si>
    <t>1223</t>
  </si>
  <si>
    <t>TRAVELLING &amp; SUBSISTANCE - TRINCO</t>
  </si>
  <si>
    <t>0052</t>
  </si>
  <si>
    <t>ELECTRICITY - GALLE</t>
  </si>
  <si>
    <t>2542</t>
  </si>
  <si>
    <t>JANITORIAL &amp; SANITORY WORK - BORELLA</t>
  </si>
  <si>
    <t>0531</t>
  </si>
  <si>
    <t>BUILDING MAINTENANCE - PUTTALAM</t>
  </si>
  <si>
    <t>1516</t>
  </si>
  <si>
    <t>OFFICE EQUIPMENT MAINTENANCE - NIKAWERATIYA</t>
  </si>
  <si>
    <t>0862</t>
  </si>
  <si>
    <t>TRAVELLING &amp; SUBSISTANCE - TISSAMAHARAMA</t>
  </si>
  <si>
    <t>0497</t>
  </si>
  <si>
    <t>CASH TRANSPORT FEES - EMBILIPITIYA</t>
  </si>
  <si>
    <t>2675</t>
  </si>
  <si>
    <t>IMPAIRMENT CHARGE/REVERSAL FOR TREASURY BOND</t>
  </si>
  <si>
    <t>2530</t>
  </si>
  <si>
    <t>CURRENT ACCOUNT - CUSTODIAN HNB  003010533056</t>
  </si>
  <si>
    <t>1305</t>
  </si>
  <si>
    <t>OFFICE EQUIPMENTS MAINTENANCE - KEGALLE</t>
  </si>
  <si>
    <t>1779</t>
  </si>
  <si>
    <t>GARAGE CHARGES-MATARA</t>
  </si>
  <si>
    <t>2535</t>
  </si>
  <si>
    <t>OVERDRAFT INTEREST - DFCC-007001014689</t>
  </si>
  <si>
    <t>0596</t>
  </si>
  <si>
    <t>OFFICE EQUIPMENT MAINTENANCE - TISSAMAHARAMA</t>
  </si>
  <si>
    <t>0753</t>
  </si>
  <si>
    <t>PRINTING &amp; STATIONERY - MATHUGAMA</t>
  </si>
  <si>
    <t>2014</t>
  </si>
  <si>
    <t>DEFAULT INTEREST- REVOLVING</t>
  </si>
  <si>
    <t>2197</t>
  </si>
  <si>
    <t>PROMOTIONS EXPENSE-MATHUGAMA</t>
  </si>
  <si>
    <t>2702</t>
  </si>
  <si>
    <t>DOMESTIC COURIER CHARGES - PANADURA</t>
  </si>
  <si>
    <t>2215</t>
  </si>
  <si>
    <t>STAFF TRAINNIG-PILIYANDALA</t>
  </si>
  <si>
    <t>0277</t>
  </si>
  <si>
    <t>PROVISION FOR BAD DEBTS-LEASE</t>
  </si>
  <si>
    <t>2590</t>
  </si>
  <si>
    <t>DOMESTIC COURIER CHARGES - NUGEGODA</t>
  </si>
  <si>
    <t>1512</t>
  </si>
  <si>
    <t>DATA COMMUNICATION CHARGES - NIKAWERATIYA</t>
  </si>
  <si>
    <t>0719</t>
  </si>
  <si>
    <t>POSTAGE &amp; STAMPS - BADULLA</t>
  </si>
  <si>
    <t>2712</t>
  </si>
  <si>
    <t>PROMOTIONS EXPENSE-PANADURA</t>
  </si>
  <si>
    <t>0205</t>
  </si>
  <si>
    <t>INVESTMENT IN TREASURY BILLS</t>
  </si>
  <si>
    <t>1834</t>
  </si>
  <si>
    <t>FUEL &amp; OIL- NUWARA ELIYA</t>
  </si>
  <si>
    <t>0916</t>
  </si>
  <si>
    <t>TRADE &amp; REVENUE LICENSE - DEHIATTAKANDIYA</t>
  </si>
  <si>
    <t>1391</t>
  </si>
  <si>
    <t>UN EARNED INCOME - SPARE PARTS</t>
  </si>
  <si>
    <t>2609</t>
  </si>
  <si>
    <t>FURNITURE &amp; FITTINGS MAINTENANCE  - AMBALANTHOTA</t>
  </si>
  <si>
    <t>2427</t>
  </si>
  <si>
    <t>IMPAIRMENT - FIXED DEPOSIT</t>
  </si>
  <si>
    <t>1613</t>
  </si>
  <si>
    <t>CURRENT ACCOUNT - AKKARAIPATTU</t>
  </si>
  <si>
    <t>0658</t>
  </si>
  <si>
    <t>DOMESTIC COURIER CHARGES - BATTARAMULLA</t>
  </si>
  <si>
    <t>0716</t>
  </si>
  <si>
    <t>POSTAGE &amp; STAMPS - EMBILIPITIYA</t>
  </si>
  <si>
    <t>0987</t>
  </si>
  <si>
    <t>SALES COMMISSION - TISSAMAHARAMA</t>
  </si>
  <si>
    <t>0920</t>
  </si>
  <si>
    <t>TRADE &amp; REVENUE LICENSE - PUTTALAM</t>
  </si>
  <si>
    <t>2543</t>
  </si>
  <si>
    <t>NEWS PAPERS &amp; PERIODICALS - BORELLA</t>
  </si>
  <si>
    <t>2723</t>
  </si>
  <si>
    <t>POSTAGE &amp; STAMPS - ELPITIYA</t>
  </si>
  <si>
    <t>0718</t>
  </si>
  <si>
    <t>POSTAGE &amp; STAMPS - GALLE</t>
  </si>
  <si>
    <t>2832</t>
  </si>
  <si>
    <t>TRADE &amp; REVENUE LICENCE - KANDY CITY</t>
  </si>
  <si>
    <t>2519</t>
  </si>
  <si>
    <t>ADVERTISMENT EXPENSE - AMBALANGODA</t>
  </si>
  <si>
    <t>2658</t>
  </si>
  <si>
    <t>FURNITURE &amp; FITTINGS MAINTENANCE   - TRINCO</t>
  </si>
  <si>
    <t>0043</t>
  </si>
  <si>
    <t>DIALOG TELEKOM LTD</t>
  </si>
  <si>
    <t>0471</t>
  </si>
  <si>
    <t>ADVERTISING EXPENSES - YAKKALA</t>
  </si>
  <si>
    <t>2901</t>
  </si>
  <si>
    <t>DOMESTIC COURIER CHARGES - JA ELA</t>
  </si>
  <si>
    <t>1046</t>
  </si>
  <si>
    <t>PROFESSIONAL CHARGES - CHILAW</t>
  </si>
  <si>
    <t>1886</t>
  </si>
  <si>
    <t>VEHICLE REPAIRS &amp; MAINTANANCE-KEKIRAWA</t>
  </si>
  <si>
    <t>1668</t>
  </si>
  <si>
    <t>SALES COMMISSION - AKKARAIPATTU</t>
  </si>
  <si>
    <t>2642</t>
  </si>
  <si>
    <t>FURNITURE &amp; FITTINGS MAINTENANCE -MALIGAWATTA</t>
  </si>
  <si>
    <t>1030</t>
  </si>
  <si>
    <t>PROFESSIONAL CHARGES - MADAPATHA</t>
  </si>
  <si>
    <t>1076</t>
  </si>
  <si>
    <t>E.T.F. CONTRIBUTION- AMPARA</t>
  </si>
  <si>
    <t>1564</t>
  </si>
  <si>
    <t>STAFF MEDICAL EXPENSES  - KULIYAPITIYA</t>
  </si>
  <si>
    <t>1619</t>
  </si>
  <si>
    <t>CURRENT ACCOUNT - HOROWPATHANA</t>
  </si>
  <si>
    <t>0230</t>
  </si>
  <si>
    <t>PEOPLE'S BANK - LOAN</t>
  </si>
  <si>
    <t>2850</t>
  </si>
  <si>
    <t>PROFESSIONAL CHARGES - KOTTAWA</t>
  </si>
  <si>
    <t>2899</t>
  </si>
  <si>
    <t>GARAGE CHARGES - JA ELA</t>
  </si>
  <si>
    <t>1368</t>
  </si>
  <si>
    <t>PROFESSIONAL CHARGES - JAFFNA</t>
  </si>
  <si>
    <t>2138</t>
  </si>
  <si>
    <t>SECURITY EXPENSE-POLLONNARUWA</t>
  </si>
  <si>
    <t>1214</t>
  </si>
  <si>
    <t>GARAGE CHARGES - BADULLA</t>
  </si>
  <si>
    <t>1764</t>
  </si>
  <si>
    <t xml:space="preserve">SAMPATH BANK LOAN NO-3029 6000 0960 </t>
  </si>
  <si>
    <t>2088</t>
  </si>
  <si>
    <t>INVESTMENT INCOME ON TREASURY BOND</t>
  </si>
  <si>
    <t>0188</t>
  </si>
  <si>
    <t>GARAGE FEES RECOVARABLE</t>
  </si>
  <si>
    <t>0525</t>
  </si>
  <si>
    <t>BUILDING MAINTENANCE - MONARAGALA</t>
  </si>
  <si>
    <t>0765</t>
  </si>
  <si>
    <t>STAFF WELFARE &amp; BENEFITS - TISSAMAHARAMA</t>
  </si>
  <si>
    <t>2049</t>
  </si>
  <si>
    <t>TEA &amp; MEAL EXPENSES-HORANA</t>
  </si>
  <si>
    <t>2600</t>
  </si>
  <si>
    <t>SECURITIES INCOME ACCOUNT-HTM</t>
  </si>
  <si>
    <t>0852</t>
  </si>
  <si>
    <t>TEA &amp; MEAL EXPENSES - AMBALANTHOTA</t>
  </si>
  <si>
    <t>PROMOTION EXPENSES RECOVARABLE</t>
  </si>
  <si>
    <t>2457</t>
  </si>
  <si>
    <t>REPO INTEREST INCOME ACCOUNT (T)</t>
  </si>
  <si>
    <t>0846</t>
  </si>
  <si>
    <t>TEA &amp; MEAL EXPENSES - PUTTALAM</t>
  </si>
  <si>
    <t>0662</t>
  </si>
  <si>
    <t>JANITORIAL &amp; SANITORY WORK - ANURADHAPURA</t>
  </si>
  <si>
    <t>0857</t>
  </si>
  <si>
    <t>TRAVELLING &amp; SUBSISTANCE - MADAPATHA</t>
  </si>
  <si>
    <t>2309</t>
  </si>
  <si>
    <t>TELEPHONE CHARGES - ELPITIYA</t>
  </si>
  <si>
    <t>2026</t>
  </si>
  <si>
    <t>ELECTRICITY-MULLAITTIVU</t>
  </si>
  <si>
    <t>0835</t>
  </si>
  <si>
    <t>TEA &amp; MEAL EXPENSES - RATHNAPURA</t>
  </si>
  <si>
    <t>0867</t>
  </si>
  <si>
    <t>TRAVELLING &amp; SUBSISTANCE - DEHIATTAKANDIYA</t>
  </si>
  <si>
    <t>1341</t>
  </si>
  <si>
    <t>PRINTING &amp; STATIONERY - JAFFNA</t>
  </si>
  <si>
    <t>1683</t>
  </si>
  <si>
    <t>JANITORIAL &amp; SANITORY WORK- KILINOCHCHI</t>
  </si>
  <si>
    <t>0439</t>
  </si>
  <si>
    <t>RENT EXPENSES - DAMBULLA</t>
  </si>
  <si>
    <t>1302</t>
  </si>
  <si>
    <t>PRINTING &amp; STATIONERY - VAUNIYA</t>
  </si>
  <si>
    <t>2707</t>
  </si>
  <si>
    <t>JANITORIAL &amp; SANITORY WORK - PANADURA</t>
  </si>
  <si>
    <t>0727</t>
  </si>
  <si>
    <t>POSTAGE &amp; STAMPS - NEGOMBO</t>
  </si>
  <si>
    <t>1662</t>
  </si>
  <si>
    <t>STAFF WELFARE &amp; BENEFITS - MATALE</t>
  </si>
  <si>
    <t>1177</t>
  </si>
  <si>
    <t>RENT EXPENSES - BATTICALOA</t>
  </si>
  <si>
    <t>2284</t>
  </si>
  <si>
    <t>OFFICE EQUIPMENTS MAINTENANCE-KIRIBATHGODA</t>
  </si>
  <si>
    <t>1739</t>
  </si>
  <si>
    <t>OFFICE EQUIPMENT MAINTENANCE-WALASMULLA</t>
  </si>
  <si>
    <t>2328</t>
  </si>
  <si>
    <t xml:space="preserve">WATER CHARGES - BANDARAWELA                                   </t>
  </si>
  <si>
    <t>1167</t>
  </si>
  <si>
    <t>RENT EXPENSES - AMBALANTHOTA</t>
  </si>
  <si>
    <t>0892</t>
  </si>
  <si>
    <t>NEWS PAPERS &amp; PERIOD - KANDY</t>
  </si>
  <si>
    <t>1252</t>
  </si>
  <si>
    <t>GARAGE CHARGES - MONARAGALA</t>
  </si>
  <si>
    <t>1998</t>
  </si>
  <si>
    <t>TELEPHONE CHARGES-MALIGAWATTA</t>
  </si>
  <si>
    <t>2166</t>
  </si>
  <si>
    <t>PROMOTIONS EXPENSE-AKKARAIPATHU</t>
  </si>
  <si>
    <t>1486</t>
  </si>
  <si>
    <t>DATA COMMUNICATION CHARGES - DENIYAYA</t>
  </si>
  <si>
    <t>2500</t>
  </si>
  <si>
    <t>TRADE &amp; REVENUE LICENCE - AMBALANGODA</t>
  </si>
  <si>
    <t>2846</t>
  </si>
  <si>
    <t>JANITORIAL &amp; SANITORY WORK - KOTTAWA</t>
  </si>
  <si>
    <t>2466</t>
  </si>
  <si>
    <t>FVOCI - MARK TO MARKET GAINS LOSSES PROVISION (T)</t>
  </si>
  <si>
    <t>1059</t>
  </si>
  <si>
    <t>E.P.F. CONTRIBUTION - TISSAMAHARAMA</t>
  </si>
  <si>
    <t>1001</t>
  </si>
  <si>
    <t>SALES COMMISSION - BATTARAMULLA</t>
  </si>
  <si>
    <t>2683</t>
  </si>
  <si>
    <t>DEPRECIATION -  LAND &amp; BUILDING</t>
  </si>
  <si>
    <t>2552</t>
  </si>
  <si>
    <t>STAFF MEDICAL EXPENSES - BORELLA</t>
  </si>
  <si>
    <t>1918</t>
  </si>
  <si>
    <t>FUEL &amp; OIL-KEGALLA</t>
  </si>
  <si>
    <t>0797</t>
  </si>
  <si>
    <t>STAFF MEDICAL EXPENSES - NUWARAELIYA</t>
  </si>
  <si>
    <t>0489</t>
  </si>
  <si>
    <t>ADVERTISING EXPENSES - AMBALANTHOTA</t>
  </si>
  <si>
    <t>1973</t>
  </si>
  <si>
    <t>UNEARNED INCOME-REVOLVIN LOAN</t>
  </si>
  <si>
    <t>2664</t>
  </si>
  <si>
    <t>PROVISLON FOR BAD DEBTS-LEASE - OVER 12 M ARREARS</t>
  </si>
  <si>
    <t>0757</t>
  </si>
  <si>
    <t>PRINTING &amp; STATIONERY - KALUTHARA</t>
  </si>
  <si>
    <t>1083</t>
  </si>
  <si>
    <t>E.T.F. CONTRIBUTION- TISSAMAHARAMA</t>
  </si>
  <si>
    <t>0944</t>
  </si>
  <si>
    <t>STAFF TRAINING - PUTTALAM</t>
  </si>
  <si>
    <t>2569</t>
  </si>
  <si>
    <t>SERVICE CHARGE INCOME - DEALER FINANCE</t>
  </si>
  <si>
    <t>2720</t>
  </si>
  <si>
    <t>TRADE &amp; REVENUE LICENCE - PANADURA</t>
  </si>
  <si>
    <t>0477</t>
  </si>
  <si>
    <t>ADVERTISING EXPENSES - MONARAGALA</t>
  </si>
  <si>
    <t>1792</t>
  </si>
  <si>
    <t>TRADE &amp; REVENUEI LICENCE-AWISSAWELLA</t>
  </si>
  <si>
    <t>0145</t>
  </si>
  <si>
    <t>LOAN DEBTORS - DEALER REFINANCE - LEGAL</t>
  </si>
  <si>
    <t>1142</t>
  </si>
  <si>
    <t>DEPRECIATION - COMPUTER SOFTWARE- MATHUGAMA</t>
  </si>
  <si>
    <t>1939</t>
  </si>
  <si>
    <t>PROVISION FOR DEPRECEATION LEASED ASSET-MV</t>
  </si>
  <si>
    <t>2671</t>
  </si>
  <si>
    <t>BAD DEBTS LOAN - GENERAL - OVER 12</t>
  </si>
  <si>
    <t>2015</t>
  </si>
  <si>
    <t>DEFAULT INTEREST- INVOICE DISCOUNTING</t>
  </si>
  <si>
    <t>2254</t>
  </si>
  <si>
    <t>TRADE &amp; REVENUE LICENCES-HORANA</t>
  </si>
  <si>
    <t>1847</t>
  </si>
  <si>
    <t>MT BROKER CONTROL-ASSETLINE SECURITIES</t>
  </si>
  <si>
    <t>1099</t>
  </si>
  <si>
    <t>E.T.F. CONTRIBUTION- KALUTARA</t>
  </si>
  <si>
    <t>2139</t>
  </si>
  <si>
    <t>PROFESSIONAL CHARGES-MANNAR</t>
  </si>
  <si>
    <t>1763</t>
  </si>
  <si>
    <t>INVESTMENT IN FIXED DEPOSIT - SAMPATH</t>
  </si>
  <si>
    <t>2893</t>
  </si>
  <si>
    <t>PROFESSIONAL CHARGES - JA ELA</t>
  </si>
  <si>
    <t>1067</t>
  </si>
  <si>
    <t>E.P.F. CONTRIBUTION - NUWARAELIYA</t>
  </si>
  <si>
    <t>0949</t>
  </si>
  <si>
    <t>STAFF TRAINING - BATTARAMULLA</t>
  </si>
  <si>
    <t>1534</t>
  </si>
  <si>
    <t>SALES COMMISSION - MANNAR</t>
  </si>
  <si>
    <t>2697</t>
  </si>
  <si>
    <t>ADVERTISING EXPENSES - PANADURA</t>
  </si>
  <si>
    <t>1436</t>
  </si>
  <si>
    <t>RENT EXPENSE - MANNAR</t>
  </si>
  <si>
    <t>1962</t>
  </si>
  <si>
    <t>FUEL &amp; OIL- GALEWELA</t>
  </si>
  <si>
    <t>2512</t>
  </si>
  <si>
    <t>NEWS PAPER &amp; PERIODICALS - AMBALANGODA</t>
  </si>
  <si>
    <t>0474</t>
  </si>
  <si>
    <t>ADVERTISING EXPENSES - TISSAMAHARAMA</t>
  </si>
  <si>
    <t>2607</t>
  </si>
  <si>
    <t>FURNITURE &amp; FITTINGS MAINTENANCE  - AKKARAIPATTU</t>
  </si>
  <si>
    <t>1049</t>
  </si>
  <si>
    <t>PROFESSIONAL CHARGES - BATTARAMULLA</t>
  </si>
  <si>
    <t>2219</t>
  </si>
  <si>
    <t>NEWS PAPER &amp; PERIOD-MALIGAWATTA</t>
  </si>
  <si>
    <t>1025</t>
  </si>
  <si>
    <t>STAFF BONUS - BATTARAMULLA</t>
  </si>
  <si>
    <t>0621</t>
  </si>
  <si>
    <t>SALARIES &amp; WAGES - GALLE</t>
  </si>
  <si>
    <t>1868</t>
  </si>
  <si>
    <t>VEHICLE REPAIRS &amp; MAINTANANCE-KURUNEGALA</t>
  </si>
  <si>
    <t>2715</t>
  </si>
  <si>
    <t>STAFF MEDICAL EXPENSES - PANADURA</t>
  </si>
  <si>
    <t>0811</t>
  </si>
  <si>
    <t>SUNDRY EXPENSES - RATHNAPURA</t>
  </si>
  <si>
    <t>2378</t>
  </si>
  <si>
    <t>SHORT TERM LOAN - AIBL</t>
  </si>
  <si>
    <t>2503</t>
  </si>
  <si>
    <t>STAFF WELFARE &amp; BENIFITS-AMBALANGODA</t>
  </si>
  <si>
    <t>2072</t>
  </si>
  <si>
    <t>DOCUMENT CHARGES FOR CANCEL AGREEMENT</t>
  </si>
  <si>
    <t>0056</t>
  </si>
  <si>
    <t>JANITORIAL &amp; SANITORY WORK - HO</t>
  </si>
  <si>
    <t>2456</t>
  </si>
  <si>
    <t>SECURITIES COUPON INTEREST ACCOUNT (T)</t>
  </si>
  <si>
    <t>1537</t>
  </si>
  <si>
    <t xml:space="preserve">CURRENT ACCOUNT PEOPLE'S BANK 004 1 002 2 4105239 </t>
  </si>
  <si>
    <t>0598</t>
  </si>
  <si>
    <t>OFFICE EQUIPMENT MAINTENANCE - BADULLA</t>
  </si>
  <si>
    <t>0875</t>
  </si>
  <si>
    <t>TRAVELLING &amp; SUBSISTANCE - MATARA</t>
  </si>
  <si>
    <t>2322</t>
  </si>
  <si>
    <t>CURRENT ACCOUNT (BOC) CORPORATE BRANCH-81267250</t>
  </si>
  <si>
    <t>1160</t>
  </si>
  <si>
    <t>OTHER INCOME - OVER 360 DAYS UNCLIMED LIABILITIES</t>
  </si>
  <si>
    <t>2576</t>
  </si>
  <si>
    <t>TEA &amp; MEAL - NUGEGODA</t>
  </si>
  <si>
    <t>2453</t>
  </si>
  <si>
    <t>PAYMENT SUSPENSE - DEALS ACCOUNT (T)</t>
  </si>
  <si>
    <t>2054</t>
  </si>
  <si>
    <t>RENT EXPENSES-HORANA</t>
  </si>
  <si>
    <t>2822</t>
  </si>
  <si>
    <t>PRINTING &amp; STATIONERY - KANDY CITY</t>
  </si>
  <si>
    <t>2045</t>
  </si>
  <si>
    <t>ELECTRICITY-WELLAWAYA</t>
  </si>
  <si>
    <t>0672</t>
  </si>
  <si>
    <t>JANITORIAL &amp; SANITORY WORK - POLONNARUWA</t>
  </si>
  <si>
    <t>1632</t>
  </si>
  <si>
    <t>JANITORIAL &amp; SANITORY WORK - AKKARAIPATTU</t>
  </si>
  <si>
    <t>1349</t>
  </si>
  <si>
    <t>ELECTRICITY - KALUTARA</t>
  </si>
  <si>
    <t>2195</t>
  </si>
  <si>
    <t>PROMOTIONS EXPENSE-MATARA</t>
  </si>
  <si>
    <t>0667</t>
  </si>
  <si>
    <t>JANITORIAL &amp; SANITORY WORK - EMBILIPITIYA</t>
  </si>
  <si>
    <t>1952</t>
  </si>
  <si>
    <t>TEA &amp; MEAL EXPENSES- MALIGAWATTA</t>
  </si>
  <si>
    <t>2211</t>
  </si>
  <si>
    <t>PROMOTIONS EXPENSE-WELLAWAYA</t>
  </si>
  <si>
    <t>1648</t>
  </si>
  <si>
    <t>RENT EXPENSE - AKKARAIPATTU</t>
  </si>
  <si>
    <t>1345</t>
  </si>
  <si>
    <t>JANITORIAL &amp; SANITORY WORK - JAFFNA</t>
  </si>
  <si>
    <t>1493</t>
  </si>
  <si>
    <t>STAFF WELFARE &amp; BENEFITS - DENIYAYA</t>
  </si>
  <si>
    <t>2562</t>
  </si>
  <si>
    <t>COLLECTION COMMISSION - CARGILLS BANK</t>
  </si>
  <si>
    <t>0494</t>
  </si>
  <si>
    <t>CASH TRANSPORT FEES - DAMBULLA</t>
  </si>
  <si>
    <t>1631</t>
  </si>
  <si>
    <t>ELECTRICITY - HOROWPATHANA</t>
  </si>
  <si>
    <t>1272</t>
  </si>
  <si>
    <t>CASH TRANSPORT FEES - KEGALLE</t>
  </si>
  <si>
    <t>2803</t>
  </si>
  <si>
    <t>UNREALIZED EXCHANGE GAIN OR LOSS ON FD &amp; SAVINGS ACCOUNT</t>
  </si>
  <si>
    <t>0587</t>
  </si>
  <si>
    <t>TELEPHONE CHARGES - AMBALANTHOTA</t>
  </si>
  <si>
    <t>2455</t>
  </si>
  <si>
    <t>FVOCI SECURITIES REVALUATION (T)</t>
  </si>
  <si>
    <t>2333</t>
  </si>
  <si>
    <t>WATER CHARGES - ELPITIYA</t>
  </si>
  <si>
    <t>2717</t>
  </si>
  <si>
    <t>STAFF WELFARE &amp; BENEFITS - PANADURA</t>
  </si>
  <si>
    <t>1853</t>
  </si>
  <si>
    <t>FUEL &amp; OIL-ANURADHAPURA</t>
  </si>
  <si>
    <t>1814</t>
  </si>
  <si>
    <t>SECURITY EXPENSES- TISSAMAHARAMA</t>
  </si>
  <si>
    <t>2075</t>
  </si>
  <si>
    <t>MARGINE TRADING EXPENSES</t>
  </si>
  <si>
    <t>1835</t>
  </si>
  <si>
    <t>BANK CHARGES-NTB</t>
  </si>
  <si>
    <t>0690</t>
  </si>
  <si>
    <t>WATER CHARGES - YAKKALA</t>
  </si>
  <si>
    <t>0607</t>
  </si>
  <si>
    <t>OFFICE EQUIPMENT MAINTENANCE - CHILAW</t>
  </si>
  <si>
    <t>0580</t>
  </si>
  <si>
    <t>TELEPHONE CHARGES - NUWARA ELIYA</t>
  </si>
  <si>
    <t>1941</t>
  </si>
  <si>
    <t>BANK CHARGES -BOC</t>
  </si>
  <si>
    <t>1439</t>
  </si>
  <si>
    <t>CASH TRANSPORT FEES - MAHIYANGANAYA</t>
  </si>
  <si>
    <t>2238</t>
  </si>
  <si>
    <t>CURRENT LIABILITY OF LTL - COMMERCIAL 1702068</t>
  </si>
  <si>
    <t>1282</t>
  </si>
  <si>
    <t>NEWS PAPERS &amp; PERIOD - VAUNIYA</t>
  </si>
  <si>
    <t>2814</t>
  </si>
  <si>
    <t>DATA COMMUNICATION CHARGES - KANDY CITY</t>
  </si>
  <si>
    <t>1634</t>
  </si>
  <si>
    <t>OFFICE EQUIPMENT MAINTENANCE - AKKARAIPATTU</t>
  </si>
  <si>
    <t>0934</t>
  </si>
  <si>
    <t>STAFF TRAINING - EMBILIPITIYA</t>
  </si>
  <si>
    <t>1832</t>
  </si>
  <si>
    <t>FUEL &amp; OIL- KURUNEGALA</t>
  </si>
  <si>
    <t>0086</t>
  </si>
  <si>
    <t>AMORTISATION - INTANGIBLE ASSETS</t>
  </si>
  <si>
    <t>2678</t>
  </si>
  <si>
    <t>FIXED DEPOSIT BORROWINGS-CORPORATE</t>
  </si>
  <si>
    <t>2638</t>
  </si>
  <si>
    <t>FURNITURE &amp; FITTINGS MAINTENANCE  - KURUNEGALA</t>
  </si>
  <si>
    <t>2887</t>
  </si>
  <si>
    <t>ELECTRICITY - JA ELA</t>
  </si>
  <si>
    <t>0022</t>
  </si>
  <si>
    <t>PROFIT ON DISPOSAL OF ASSETS - HP</t>
  </si>
  <si>
    <t>1767</t>
  </si>
  <si>
    <t>POSTAGE &amp; STAMPS-WALASMULA</t>
  </si>
  <si>
    <t>2703</t>
  </si>
  <si>
    <t>E.P.F. CONTRIBUTION - PANADURA</t>
  </si>
  <si>
    <t>1354</t>
  </si>
  <si>
    <t>TRADE &amp; REVENUE LICENSE - BATTICALOA</t>
  </si>
  <si>
    <t>0800</t>
  </si>
  <si>
    <t>STAFF MEDICAL EXPENSES - CHILAW</t>
  </si>
  <si>
    <t>1277</t>
  </si>
  <si>
    <t>ADVERTISING EXPENSES - KEGALLE</t>
  </si>
  <si>
    <t>2760</t>
  </si>
  <si>
    <t>E.P.F. CONTRIBUTION - WELLAWATTA</t>
  </si>
  <si>
    <t>0430</t>
  </si>
  <si>
    <t>NDB SECURITISATION LOAN</t>
  </si>
  <si>
    <t>0947</t>
  </si>
  <si>
    <t>STAFF TRAINING - MATHUGAMA</t>
  </si>
  <si>
    <t>2840</t>
  </si>
  <si>
    <t>CASH TRANSPORT FEES - KOTTAWA</t>
  </si>
  <si>
    <t>1410</t>
  </si>
  <si>
    <t>SALES COMMISSIONS - BALANGODA</t>
  </si>
  <si>
    <t>1904</t>
  </si>
  <si>
    <t>EXPENSES RECOVERABLE FROM LISVIN</t>
  </si>
  <si>
    <t>1194</t>
  </si>
  <si>
    <t>LOSS ON ERRORS</t>
  </si>
  <si>
    <t>1361</t>
  </si>
  <si>
    <t>SALES COMMISSION - HQ</t>
  </si>
  <si>
    <t>0636</t>
  </si>
  <si>
    <t>SALARIES &amp; WAGES - KALUTARA</t>
  </si>
  <si>
    <t>1506</t>
  </si>
  <si>
    <t>POSTAGE &amp; STAMPS - MAHIYANGANAYA</t>
  </si>
  <si>
    <t>1579</t>
  </si>
  <si>
    <t>SALES COMMISSION - GAMPOLA</t>
  </si>
  <si>
    <t>1605</t>
  </si>
  <si>
    <t>ENTERTAINMENT - GAMPOLA</t>
  </si>
  <si>
    <t xml:space="preserve">CURRENT ACCOUNT - AMBALANTHOTA </t>
  </si>
  <si>
    <t>0807</t>
  </si>
  <si>
    <t>SUNDRY EXPENSES - ANURADHAPURA</t>
  </si>
  <si>
    <t>2621</t>
  </si>
  <si>
    <t>FURNITURE &amp; FITTINGS MAINTENANCE  - DEHIATTAKANDIYA</t>
  </si>
  <si>
    <t>2009</t>
  </si>
  <si>
    <t>DOCUMENT COURIER CHARGES - MALIGAWATTA</t>
  </si>
  <si>
    <t>2905</t>
  </si>
  <si>
    <t>ADVERTISING EXPENSES - JA ELA</t>
  </si>
  <si>
    <t>1773</t>
  </si>
  <si>
    <t>INIDENTIFIED DEPOSIT (PEOPLE'S) – C/A NO-004-1-001-3-4105239</t>
  </si>
  <si>
    <t>2749</t>
  </si>
  <si>
    <t>INTEREST EXPENSES SAVING DEPOSITS</t>
  </si>
  <si>
    <t>1013</t>
  </si>
  <si>
    <t>STAFF BONUS - BADULLA</t>
  </si>
  <si>
    <t>0044</t>
  </si>
  <si>
    <t>SUNTEL LTD</t>
  </si>
  <si>
    <t>1100</t>
  </si>
  <si>
    <t>ENTERTAINMENT - AMPARA</t>
  </si>
  <si>
    <t>1239</t>
  </si>
  <si>
    <t>ADVERTISING EXPENSES - TRINCO</t>
  </si>
  <si>
    <t>0898</t>
  </si>
  <si>
    <t>NEWS PAPERS &amp; PERIOD - MATHUGAMA</t>
  </si>
  <si>
    <t>1441</t>
  </si>
  <si>
    <t>BAD DEBTS - CASH MISAPPROPRIATION</t>
  </si>
  <si>
    <t>2227</t>
  </si>
  <si>
    <t>INVESTMENT INCOME ON REPO</t>
  </si>
  <si>
    <t>2251</t>
  </si>
  <si>
    <t>TRANSFER FEE RECOVARABLE</t>
  </si>
  <si>
    <t>2589</t>
  </si>
  <si>
    <t>ELECTRICITY CHARGES - NUGEGODA</t>
  </si>
  <si>
    <t>RECEIVABLE FROM DIALOG eZ CASH</t>
  </si>
  <si>
    <t>0865</t>
  </si>
  <si>
    <t>TRAVELLING &amp; SUBSISTANCE - MONARAGALA</t>
  </si>
  <si>
    <t>TRANSPORT CHARGES PAYABLE</t>
  </si>
  <si>
    <t>0858</t>
  </si>
  <si>
    <t>TRAVELLING &amp; SUBSISTANCE - DAMBULLA</t>
  </si>
  <si>
    <t>1494</t>
  </si>
  <si>
    <t>TEA &amp; MEAL EXPENSES - DENIYAYA</t>
  </si>
  <si>
    <t>0851</t>
  </si>
  <si>
    <t>TEA &amp; MEAL EXPENSES - BATTARAMULLA</t>
  </si>
  <si>
    <t>1261</t>
  </si>
  <si>
    <t>ELECTRICITY - MADAPATHA</t>
  </si>
  <si>
    <t>2464</t>
  </si>
  <si>
    <t>EXPENSE ON FACILITY ISSUES  (T)</t>
  </si>
  <si>
    <t>0671</t>
  </si>
  <si>
    <t>JANITORIAL &amp; SANITORY WORK - MONARAGALA</t>
  </si>
  <si>
    <t>0402</t>
  </si>
  <si>
    <t>RENT EXPENSES-ANURADHAPURA</t>
  </si>
  <si>
    <t>0669</t>
  </si>
  <si>
    <t>JANITORIAL &amp; SANITORY WORK - GALLE</t>
  </si>
  <si>
    <t>0074</t>
  </si>
  <si>
    <t>SURGICAL &amp; HOSPITALISATION INSURANCE</t>
  </si>
  <si>
    <t>2705</t>
  </si>
  <si>
    <t>ELECTRICITY - PANADURA</t>
  </si>
  <si>
    <t>0050</t>
  </si>
  <si>
    <t>ELECTRICITY - CHILAW</t>
  </si>
  <si>
    <t>1725</t>
  </si>
  <si>
    <t>RENT EXPENSES-KEKIRAWA</t>
  </si>
  <si>
    <t>1695</t>
  </si>
  <si>
    <t>PRINTING &amp; STATIONARY - MATALE</t>
  </si>
  <si>
    <t>0763</t>
  </si>
  <si>
    <t>STAFF WELFARE &amp; BENEFITS - RATHNAPURA</t>
  </si>
  <si>
    <t>1684</t>
  </si>
  <si>
    <t>OFFICE EQUIPMENT MAINTENANCE - KILINOCHCHI</t>
  </si>
  <si>
    <t>0707</t>
  </si>
  <si>
    <t>WATER CHARGES - AMBALANTHOTA</t>
  </si>
  <si>
    <t xml:space="preserve">AUCTION CUSTOMER OVER PAYMENT </t>
  </si>
  <si>
    <t>1162</t>
  </si>
  <si>
    <t>TRAVELLING &amp; SUBSISTANCE - BATTICALOA</t>
  </si>
  <si>
    <t>2852</t>
  </si>
  <si>
    <t>RENT EXPENSES - KOTTAWA</t>
  </si>
  <si>
    <t>1665</t>
  </si>
  <si>
    <t>TRAVELLING &amp; SUBSISTANCE - MATALE</t>
  </si>
  <si>
    <t>0697</t>
  </si>
  <si>
    <t>WATER CHARGES - POLONNARUWA</t>
  </si>
  <si>
    <t>2060</t>
  </si>
  <si>
    <t>ADVERTISING EXPENSES-WELLAWAYA</t>
  </si>
  <si>
    <t>1637</t>
  </si>
  <si>
    <t>RECOVERY VISIT EXPENSES - HOROWPATHANA</t>
  </si>
  <si>
    <t>0248</t>
  </si>
  <si>
    <t>BAD DEBTS-LEASE - GENERAL</t>
  </si>
  <si>
    <t>2586</t>
  </si>
  <si>
    <t>OFFICE EQUIPMENT MAINTANANCE-NUGEGODA</t>
  </si>
  <si>
    <t>0549</t>
  </si>
  <si>
    <t>DATA COMMUNICATION CHARGES - BADULLA</t>
  </si>
  <si>
    <t>0506</t>
  </si>
  <si>
    <t>CASH TRANSPORT FEES - NUWARA ELIYA</t>
  </si>
  <si>
    <t>1308</t>
  </si>
  <si>
    <t>WATER CHARGES - KEGALLE</t>
  </si>
  <si>
    <t>1635</t>
  </si>
  <si>
    <t>OFFICE EQUIPMENT MAINTENANCE - HOROWPATHANA</t>
  </si>
  <si>
    <t>0575</t>
  </si>
  <si>
    <t>TELEPHONE CHARGES - MONARAGALA</t>
  </si>
  <si>
    <t>1565</t>
  </si>
  <si>
    <t>STAFF WELFARE &amp; BENIFITS  - KULIYAPITIYA</t>
  </si>
  <si>
    <t>1988</t>
  </si>
  <si>
    <t>RENT EXPENSES-MALIGAWATTA</t>
  </si>
  <si>
    <t>0426</t>
  </si>
  <si>
    <t>GRATUITY EXPENSES</t>
  </si>
  <si>
    <t>2053</t>
  </si>
  <si>
    <t>DATA COMMUNICATION CHARGES-HORANA</t>
  </si>
  <si>
    <t>2310</t>
  </si>
  <si>
    <t>INTEREST RECEIVABLE ON LEASE</t>
  </si>
  <si>
    <t>0522</t>
  </si>
  <si>
    <t>BUILDING MAINTENANCE - TISSAMAHARAMA</t>
  </si>
  <si>
    <t>1781</t>
  </si>
  <si>
    <t>BUILDING MAINTANCE - AWISSAWELLA</t>
  </si>
  <si>
    <t>2199</t>
  </si>
  <si>
    <t>PROMOTIONS EXPENSE-MULLAITTIVE</t>
  </si>
  <si>
    <t>1466</t>
  </si>
  <si>
    <t>INVESTMENT IN TREASURY BONDS</t>
  </si>
  <si>
    <t>1760</t>
  </si>
  <si>
    <t>ADVERTISING EXPENSES-KEKIRAWA</t>
  </si>
  <si>
    <t>0613</t>
  </si>
  <si>
    <t>SALARIES &amp; WAGES - AMPARA</t>
  </si>
  <si>
    <t>0226</t>
  </si>
  <si>
    <t>COMMERCIAL BANK LOAN REF 269972</t>
  </si>
  <si>
    <t>1900</t>
  </si>
  <si>
    <t>UNIDENTIFIED DEBIT  (SEYLAN) - 0864-00041323-001</t>
  </si>
  <si>
    <t>2249</t>
  </si>
  <si>
    <t>VEHICLE REPAIRE &amp; MAINTAINCE-AMPARA</t>
  </si>
  <si>
    <t>2119</t>
  </si>
  <si>
    <t>VEHICLE REPAIRE &amp; MAINTENANCE-DAMBULLA</t>
  </si>
  <si>
    <t>0721</t>
  </si>
  <si>
    <t>POSTAGE &amp; STAMPS - POLONNARUWA</t>
  </si>
  <si>
    <t>2570</t>
  </si>
  <si>
    <t>SERVICE CHARGES RECOVERABLE- DEALER FINANCE</t>
  </si>
  <si>
    <t>0879</t>
  </si>
  <si>
    <t>NEWS PAPERS &amp; PERIOD - AMPARA</t>
  </si>
  <si>
    <t>1034</t>
  </si>
  <si>
    <t>PROFESSIONAL CHARGES - EMBILIPITIYA</t>
  </si>
  <si>
    <t>2258</t>
  </si>
  <si>
    <t>SECURITY EXPENSES-MULLAITIVU</t>
  </si>
  <si>
    <t>2521</t>
  </si>
  <si>
    <t>PROFFESIONAL CHARGES - HOROWPATHANA</t>
  </si>
  <si>
    <t>2376</t>
  </si>
  <si>
    <t>SHORT TERM LOAN - DPRL</t>
  </si>
  <si>
    <t>1088</t>
  </si>
  <si>
    <t>E.T.F. CONTRIBUTION- DEHIATTAKANDIYA</t>
  </si>
  <si>
    <t>1989</t>
  </si>
  <si>
    <t>DPMC LANKA - STL</t>
  </si>
  <si>
    <t>2761</t>
  </si>
  <si>
    <t>E.T.F. CONTRIBUTION- WELLAWATTA</t>
  </si>
  <si>
    <t>1393</t>
  </si>
  <si>
    <t>CLOSURES  LOAN - SPARE PARTS</t>
  </si>
  <si>
    <t>0222</t>
  </si>
  <si>
    <t>COMMERCIAL BANK LTL - 1492276</t>
  </si>
  <si>
    <t>0135</t>
  </si>
  <si>
    <t>LOAN DEBTORS - NP</t>
  </si>
  <si>
    <t>2102</t>
  </si>
  <si>
    <t>RESCHEDULMENT CLOUSER-COMMERCAIL CREDIT</t>
  </si>
  <si>
    <t>2767</t>
  </si>
  <si>
    <t>POSTAGE &amp; STAMPS - WELLAWATTA</t>
  </si>
  <si>
    <t>2232</t>
  </si>
  <si>
    <t xml:space="preserve">CURRENT LIABILITY OF LTL - SAMPATH 302965000719 </t>
  </si>
  <si>
    <t>0958</t>
  </si>
  <si>
    <t>RECOVERY VISIT EXPENSES - MADAPATHA</t>
  </si>
  <si>
    <t>0239</t>
  </si>
  <si>
    <t>EARNED INCOME HIRE PURCHSE-NP</t>
  </si>
  <si>
    <t>0996</t>
  </si>
  <si>
    <t>SALES COMMISSION - PUTTALAM</t>
  </si>
  <si>
    <t>2237</t>
  </si>
  <si>
    <t>CURRENT LIABILITY OF LTL - COMMERCIAL 1492276</t>
  </si>
  <si>
    <t>2115</t>
  </si>
  <si>
    <t>INTRODUCER COMMISSION RECOVERABLE</t>
  </si>
  <si>
    <t>1023</t>
  </si>
  <si>
    <t>STAFF BONUS - MATHUGAMA</t>
  </si>
  <si>
    <t>0886</t>
  </si>
  <si>
    <t>NEWS PAPERS &amp; PERIOD - TISSAMAHARAMA</t>
  </si>
  <si>
    <t>0627</t>
  </si>
  <si>
    <t>SALARIES &amp; WAGES - KURUNEGALA</t>
  </si>
  <si>
    <t>0736</t>
  </si>
  <si>
    <t>PRINTING &amp; STATIONERY - MADAPATHA</t>
  </si>
  <si>
    <t>0194</t>
  </si>
  <si>
    <t>STAMP DUTY RECOVARABLE</t>
  </si>
  <si>
    <t>0010</t>
  </si>
  <si>
    <t>CURRENT ACCOUNT NO (SCB) - 01-3671127-01</t>
  </si>
  <si>
    <t>0530</t>
  </si>
  <si>
    <t>BUILDING MAINTENANCE - NUWARA ELIYA</t>
  </si>
  <si>
    <t>2187</t>
  </si>
  <si>
    <t>PROMOTIONS EXPENSE-KEGALLA</t>
  </si>
  <si>
    <t>1375</t>
  </si>
  <si>
    <t>TEA &amp; MEAL EXPENSES -BALANGODA</t>
  </si>
  <si>
    <t>0766</t>
  </si>
  <si>
    <t>STAFF WELFARE &amp; BENEFITS - GALLE</t>
  </si>
  <si>
    <t>2808</t>
  </si>
  <si>
    <t>BORROWINGS EXCHANGE REVALUATION</t>
  </si>
  <si>
    <t>2319</t>
  </si>
  <si>
    <t>0680</t>
  </si>
  <si>
    <t>JANITORIAL &amp; SANITORY WORK - MATHUGAMA</t>
  </si>
  <si>
    <t>2357</t>
  </si>
  <si>
    <t>TEA &amp; MEALS EXPENSE - MAWANELLA</t>
  </si>
  <si>
    <t>0067</t>
  </si>
  <si>
    <t>DOMESTIC COURIER CHARGES - HO</t>
  </si>
  <si>
    <t>1196</t>
  </si>
  <si>
    <t>SAVINGS ACCOUNT NO (SAMPATH) - 101213591941</t>
  </si>
  <si>
    <t>1519</t>
  </si>
  <si>
    <t>STAFF WELFARE &amp; BENEFITS - NIKAWERATIYA</t>
  </si>
  <si>
    <t>1366</t>
  </si>
  <si>
    <t>TEA &amp; MEAL EXPENSES - VAVUNIYA</t>
  </si>
  <si>
    <t>0665</t>
  </si>
  <si>
    <t>JANITORIAL &amp; SANITORY WORK - YAKKALA</t>
  </si>
  <si>
    <t>1628</t>
  </si>
  <si>
    <t>DOMESTIC COURIER CHARGES - AKKARAIPATTU</t>
  </si>
  <si>
    <t>1426</t>
  </si>
  <si>
    <t>TRAVELLING &amp; SUBSISTANCE - MAHIYANGANAYA</t>
  </si>
  <si>
    <t>2188</t>
  </si>
  <si>
    <t>PROMOTIONS EXPENSE-KEKIRAWA</t>
  </si>
  <si>
    <t>0393</t>
  </si>
  <si>
    <t>RENT EXPENSE - GALLE</t>
  </si>
  <si>
    <t>2797</t>
  </si>
  <si>
    <t>INTEREST RECEIVABLE FIXED DEPOSIT USD -  NTB</t>
  </si>
  <si>
    <t>1189</t>
  </si>
  <si>
    <t>BUILDING MAINTENANCE - BATTICALOA</t>
  </si>
  <si>
    <t>1716</t>
  </si>
  <si>
    <t>ELECTRICITY-KEKIRAWA</t>
  </si>
  <si>
    <t>2326</t>
  </si>
  <si>
    <t>ELECTRICITY EXPENSE - BANDARAWELA</t>
  </si>
  <si>
    <t>0644</t>
  </si>
  <si>
    <t>DOMESTIC COURIER CHARGES - TISSAMAHARAMA</t>
  </si>
  <si>
    <t>2425</t>
  </si>
  <si>
    <t>COMMERCAIL BANK MONEY MARKET SAVING A/C-2000010645</t>
  </si>
  <si>
    <t>2174</t>
  </si>
  <si>
    <t>PROMOTIONS EXPENSE-CHILAW</t>
  </si>
  <si>
    <t>2292</t>
  </si>
  <si>
    <t>PRINTING &amp; STATIONERY-KIRIBATHGODA</t>
  </si>
  <si>
    <t>1165</t>
  </si>
  <si>
    <t>OFFICE EQUIPMENT MAINTENANCE - BATTICALOA</t>
  </si>
  <si>
    <t>0094</t>
  </si>
  <si>
    <t>BAD DEBTS LOAN - GENERAL</t>
  </si>
  <si>
    <t>0694</t>
  </si>
  <si>
    <t>WATER CHARGES - GALLE</t>
  </si>
  <si>
    <t>0060</t>
  </si>
  <si>
    <t>RENT EXPENSES - HEAD OFFICE</t>
  </si>
  <si>
    <t>2756</t>
  </si>
  <si>
    <t>CASH TRANSPORT FEES - WELLAWATTA</t>
  </si>
  <si>
    <t>2713</t>
  </si>
  <si>
    <t>RENT EXPENSES - PANADURA</t>
  </si>
  <si>
    <t>1591</t>
  </si>
  <si>
    <t>DOMESTIC COURIER CHARGES - GAMPOLA</t>
  </si>
  <si>
    <t>1817</t>
  </si>
  <si>
    <t>SECURITY EXPENSES- MONORAGALA</t>
  </si>
  <si>
    <t>0743</t>
  </si>
  <si>
    <t>PRINTING &amp; STATIONERY - BADULLA</t>
  </si>
  <si>
    <t>2205</t>
  </si>
  <si>
    <t>PROMOTIONS EXPENSE-PUTTLAM</t>
  </si>
  <si>
    <t>1133</t>
  </si>
  <si>
    <t>DEPRECIATION - COMPUTER SOFTWARE- MONARAGALA</t>
  </si>
  <si>
    <t>1887</t>
  </si>
  <si>
    <t>VEHICLE REPAIRS &amp; MAINTANANCE-CHILAW</t>
  </si>
  <si>
    <t>1523</t>
  </si>
  <si>
    <t>WATER CHARGES - NIKAWERATIYA</t>
  </si>
  <si>
    <t>2184</t>
  </si>
  <si>
    <t>PROMOTIONS EXPENSE-JAFFNA</t>
  </si>
  <si>
    <t>0546</t>
  </si>
  <si>
    <t>DATA COMMUNICATION CHARGES - EMBILIPITIYA</t>
  </si>
  <si>
    <t>0492</t>
  </si>
  <si>
    <t>CASH TRANSPORT FEES - ANURADHAPURA</t>
  </si>
  <si>
    <t>0555</t>
  </si>
  <si>
    <t>DATA COMMUNICATION CHARGES - NUWARA ELIYA</t>
  </si>
  <si>
    <t>1816</t>
  </si>
  <si>
    <t>SECURITY EXPENSES- YAKKALA</t>
  </si>
  <si>
    <t>1555</t>
  </si>
  <si>
    <t>DOMESTIC COURIER CHARGES-KEKIRAWA</t>
  </si>
  <si>
    <t>1429</t>
  </si>
  <si>
    <t>PRINTING &amp; STATIONERAY - MAHIYANGANAYA</t>
  </si>
  <si>
    <t>1539</t>
  </si>
  <si>
    <t>POSTAGE AND STAMP - DENIYAYA</t>
  </si>
  <si>
    <t>0498</t>
  </si>
  <si>
    <t>CASH TRANSPORT FEES - TISSAMAHARAMA</t>
  </si>
  <si>
    <t>2835</t>
  </si>
  <si>
    <t>PRINTING &amp; STATIONERY - PANADURA</t>
  </si>
  <si>
    <t>2566</t>
  </si>
  <si>
    <t>OTHER CHARGES RECOVERABLE - DEALER FINANCE</t>
  </si>
  <si>
    <t>1700</t>
  </si>
  <si>
    <t>DPMC LOAN 2</t>
  </si>
  <si>
    <t>1620</t>
  </si>
  <si>
    <t>DEUTSCHE BANK SECURITIZATION TRUST 4</t>
  </si>
  <si>
    <t>2826</t>
  </si>
  <si>
    <t>SECURITY EXPENSE-KANDY CITY</t>
  </si>
  <si>
    <t>1854</t>
  </si>
  <si>
    <t>INVESTMENT IN SUBSIDERIES</t>
  </si>
  <si>
    <t>1836</t>
  </si>
  <si>
    <t>FUEL &amp; OIL-VAUNIYA</t>
  </si>
  <si>
    <t>2864</t>
  </si>
  <si>
    <t>FUEL &amp; OIL - WELLAWATTA</t>
  </si>
  <si>
    <t>1732</t>
  </si>
  <si>
    <t>INTERST IN SUSPENCE &amp; RECEIPT IN SUSPENCE</t>
  </si>
  <si>
    <t>0885</t>
  </si>
  <si>
    <t>NEWS PAPERS &amp; PERIOD - EMBILIPITIYA</t>
  </si>
  <si>
    <t>2878</t>
  </si>
  <si>
    <t>ADVERTISING EXPENSES - JAFFNA</t>
  </si>
  <si>
    <t>1609</t>
  </si>
  <si>
    <t>RECOVERY VISIT EXPENSES - GAMPOLA</t>
  </si>
  <si>
    <t>With Holding Tax Recoverable on GSEC</t>
  </si>
  <si>
    <t>1929</t>
  </si>
  <si>
    <t>SAVINGS ACCOUNT-HNB (LISVIN)-85010010453</t>
  </si>
  <si>
    <t>0902</t>
  </si>
  <si>
    <t>NEWS PAPERS &amp; PERIOD - KALUTHARA</t>
  </si>
  <si>
    <t>2611</t>
  </si>
  <si>
    <t>FURNITURE &amp; FITTINGS MAINTENANCE  - ANURADHAPURA</t>
  </si>
  <si>
    <t>1812</t>
  </si>
  <si>
    <t>SECURITY EXPENSES- KALUTARA</t>
  </si>
  <si>
    <t>2668</t>
  </si>
  <si>
    <t>PROVISION FOR BAD DEBTS-REFINANCE - OVER 12</t>
  </si>
  <si>
    <t>2345</t>
  </si>
  <si>
    <t>BULLET LOAN-ACPL</t>
  </si>
  <si>
    <t>2788</t>
  </si>
  <si>
    <t>MARGIN TRADING LENDING CONTROL ACCOUNT- REVERSE REPO CONTROL ACCOUNT</t>
  </si>
  <si>
    <t>0447</t>
  </si>
  <si>
    <t xml:space="preserve">LOAN-DPMC FINANCIAL SERVICES </t>
  </si>
  <si>
    <t>1422</t>
  </si>
  <si>
    <t>CURRENT ACCOUNT - MAHIYANGANAYA</t>
  </si>
  <si>
    <t>1240</t>
  </si>
  <si>
    <t>SALES COMMISSIONS - TRINCO</t>
  </si>
  <si>
    <t>1123</t>
  </si>
  <si>
    <t>ENTERTAINMENT - KALUTARA</t>
  </si>
  <si>
    <t>1530</t>
  </si>
  <si>
    <t>COMMERCAIL BANK - SHORT TERM LOAN</t>
  </si>
  <si>
    <t>2298</t>
  </si>
  <si>
    <t>VEHICLE REPAIRE &amp; MAINTANANCE-KIRIBATHGODA</t>
  </si>
  <si>
    <t>1671</t>
  </si>
  <si>
    <t>GAIN OR LOSS ON FALLING MARKET VALUE OF SHARES</t>
  </si>
  <si>
    <t>2612</t>
  </si>
  <si>
    <t>FURNITURE &amp; FITTINGS MAINTENANCE  - AWISSAWELLA</t>
  </si>
  <si>
    <t>1386</t>
  </si>
  <si>
    <t>LOAN INSTALMENTS IN ARREARS - PRAGATHI</t>
  </si>
  <si>
    <t>1587</t>
  </si>
  <si>
    <t>NEWS PAPERS &amp; PERIOD - GAMPOLA</t>
  </si>
  <si>
    <t>0834</t>
  </si>
  <si>
    <t>TEA &amp; MEAL EXPENSES - YAKKALA</t>
  </si>
  <si>
    <t>0456</t>
  </si>
  <si>
    <t>ELECTRICITY - DAMBULLA</t>
  </si>
  <si>
    <t>1916</t>
  </si>
  <si>
    <t>STAFF TRAINNIG-AWISSAWELLA</t>
  </si>
  <si>
    <t>2448</t>
  </si>
  <si>
    <t>DEFERRED MORATORIUM INTEREST INCOME</t>
  </si>
  <si>
    <t>2064</t>
  </si>
  <si>
    <t>CASH TRANSPORT FEES-HORANA</t>
  </si>
  <si>
    <t>2531</t>
  </si>
  <si>
    <t xml:space="preserve">CURRENT ACCOUNT - CARGILLS BANK 018952000002             </t>
  </si>
  <si>
    <t>1477</t>
  </si>
  <si>
    <t>EARNED INCOME - DF - NEW</t>
  </si>
  <si>
    <t>1413</t>
  </si>
  <si>
    <t>JANITORIAL &amp; SANITORY WORK - BALANGODA</t>
  </si>
  <si>
    <t>2217</t>
  </si>
  <si>
    <t>TRADE &amp; REVENUE LICENCE-WELLAWAYA</t>
  </si>
  <si>
    <t>2039</t>
  </si>
  <si>
    <t>BUILDING &amp; MAINTANANCE-HORANA</t>
  </si>
  <si>
    <t>0150</t>
  </si>
  <si>
    <t>OFFICE EQUIPMENTS</t>
  </si>
  <si>
    <t>0638</t>
  </si>
  <si>
    <t>DOMESTIC COURIER CHARGES - ANURADHAPURA</t>
  </si>
  <si>
    <t>0068</t>
  </si>
  <si>
    <t>STAFF BONUS - HO</t>
  </si>
  <si>
    <t>0850</t>
  </si>
  <si>
    <t>TEA &amp; MEAL EXPENSES - MATARA</t>
  </si>
  <si>
    <t>0083</t>
  </si>
  <si>
    <t>CENTRALBANK LICENCE RENEWAL FEE</t>
  </si>
  <si>
    <t>0515</t>
  </si>
  <si>
    <t>BUILDING MAINTENANCE - AMPARA</t>
  </si>
  <si>
    <t>1336</t>
  </si>
  <si>
    <t>RMV CHARGES</t>
  </si>
  <si>
    <t>0649</t>
  </si>
  <si>
    <t>DOMESTIC COURIER CHARGES - DEHIATTAKANDIYA</t>
  </si>
  <si>
    <t>2476</t>
  </si>
  <si>
    <t>REVERSE REPO CONTROL ACCOUNT (T)</t>
  </si>
  <si>
    <t>2022</t>
  </si>
  <si>
    <t>STAFF WALFARE &amp; BENIFITS-HORANA</t>
  </si>
  <si>
    <t>2497</t>
  </si>
  <si>
    <t>WATER CHARGES - AMBALANGODA</t>
  </si>
  <si>
    <t>2062</t>
  </si>
  <si>
    <t>DATA COMMUNICATION CHARGES-MULLAITTIVU</t>
  </si>
  <si>
    <t>2353</t>
  </si>
  <si>
    <t>STAFF INCENTIVE - HO</t>
  </si>
  <si>
    <t>0438</t>
  </si>
  <si>
    <t>RENT EXPENSES - BADULLA</t>
  </si>
  <si>
    <t>0673</t>
  </si>
  <si>
    <t>JANITORIAL &amp; SANITORY WORK - DEHIATTAKANDIYA</t>
  </si>
  <si>
    <t>0610</t>
  </si>
  <si>
    <t>OFFICE EQUIPMENT MAINTENANCE - BATTARAMULLA</t>
  </si>
  <si>
    <t>1690</t>
  </si>
  <si>
    <t>TRAVELLING &amp; SUBSISTANCE-KILINOCHCHI</t>
  </si>
  <si>
    <t>0643</t>
  </si>
  <si>
    <t>DOMESTIC COURIER CHARGES - EMBILIPITIYA</t>
  </si>
  <si>
    <t>0527</t>
  </si>
  <si>
    <t>BUILDING MAINTENANCE - DEHIATTAKANDIYA</t>
  </si>
  <si>
    <t>1229</t>
  </si>
  <si>
    <t>WATER CHARGES  - TRINCO</t>
  </si>
  <si>
    <t>1382</t>
  </si>
  <si>
    <t>1563</t>
  </si>
  <si>
    <t>STAFF MEDICAL EXPENSES  - GAMPOLA</t>
  </si>
  <si>
    <t>0517</t>
  </si>
  <si>
    <t>BUILDING MAINTENANCE - MADAPATHA</t>
  </si>
  <si>
    <t>0510</t>
  </si>
  <si>
    <t>CASH TRANSPORT FEES - MATHUGAMA</t>
  </si>
  <si>
    <t>1711</t>
  </si>
  <si>
    <t>TRADE &amp; REVENUE LICENSE - JAFFNA</t>
  </si>
  <si>
    <t>2185</t>
  </si>
  <si>
    <t>PROMOTIONS EXPENSE-KALUTARA</t>
  </si>
  <si>
    <t>1335</t>
  </si>
  <si>
    <t>CURRENT ACCOUNT NO (HSBC) - 012-161303-001</t>
  </si>
  <si>
    <t>1921</t>
  </si>
  <si>
    <t>INVESTMENT PROPERTY AQUIRED FROM LISVIN</t>
  </si>
  <si>
    <t>0553</t>
  </si>
  <si>
    <t>DATA COMMUNICATION CHARGES - KANDY</t>
  </si>
  <si>
    <t>0075</t>
  </si>
  <si>
    <t>FIDELITY &amp; GUARANTEE INSURANCE</t>
  </si>
  <si>
    <t>0557</t>
  </si>
  <si>
    <t>DATA COMMUNICATION CHARGES - NEGOMBO</t>
  </si>
  <si>
    <t>1271</t>
  </si>
  <si>
    <t>CASH TRANSPORT FEES - VAUNIYA</t>
  </si>
  <si>
    <t>1348</t>
  </si>
  <si>
    <t>BANK CHARGES - HSBC BANK</t>
  </si>
  <si>
    <t>0127</t>
  </si>
  <si>
    <t>CURRENT ACCOUNT NO (NDB) - 101110012218</t>
  </si>
  <si>
    <t>2578</t>
  </si>
  <si>
    <t>STAFF TRAINING - NUGEGODA</t>
  </si>
  <si>
    <t>0281</t>
  </si>
  <si>
    <t>PROVISION FOR BAD DEBTS-REFINANCE</t>
  </si>
  <si>
    <t>1464</t>
  </si>
  <si>
    <t>WATER CHARGES - BALANGODA</t>
  </si>
  <si>
    <t>0567</t>
  </si>
  <si>
    <t>TELEPHONE CHARGES - MADAPATHA</t>
  </si>
  <si>
    <t>1380</t>
  </si>
  <si>
    <t>DISPOSAL OF FURNITURE &amp; FITTINGS</t>
  </si>
  <si>
    <t>2055</t>
  </si>
  <si>
    <t>FUEL &amp; OIL-HORANA</t>
  </si>
  <si>
    <t>2674</t>
  </si>
  <si>
    <t>FOREIGN TRAVELLING EXPENSES</t>
  </si>
  <si>
    <t>0792</t>
  </si>
  <si>
    <t>STAFF MEDICAL EXPENSES - MONARAGALA</t>
  </si>
  <si>
    <t>1728</t>
  </si>
  <si>
    <t>DPMC LOAN 05</t>
  </si>
  <si>
    <t>2255</t>
  </si>
  <si>
    <t>SAVINGS ACCOUNT NO (HNB) - 003020725511</t>
  </si>
  <si>
    <t>0267</t>
  </si>
  <si>
    <t>PROMISSORY NOTES</t>
  </si>
  <si>
    <t>1035</t>
  </si>
  <si>
    <t>PROFESSIONAL CHARGES - TISSAMAHARAMA</t>
  </si>
  <si>
    <t>2510</t>
  </si>
  <si>
    <t>POSTAGE &amp; STAMP - AMBALANGODA</t>
  </si>
  <si>
    <t>0448</t>
  </si>
  <si>
    <t xml:space="preserve">INVESTMENTS-DPMC FINANCIAL SERVICES </t>
  </si>
  <si>
    <t>2868</t>
  </si>
  <si>
    <t>REVALUATION GAIN / LOSS ON LAND AND BUILDING</t>
  </si>
  <si>
    <t>1551</t>
  </si>
  <si>
    <t>INVESTMENT IN COMMERCIAL PAPERS</t>
  </si>
  <si>
    <t xml:space="preserve">RETENTION PAYABLE FOR INVESTMENT IN LISVIN </t>
  </si>
  <si>
    <t>0896</t>
  </si>
  <si>
    <t>NEWS PAPERS &amp; PERIOD - NEGOMBO</t>
  </si>
  <si>
    <t>1590</t>
  </si>
  <si>
    <t>ADVERTISING EXPENSES - KULIYAPITIYA</t>
  </si>
  <si>
    <t>0983</t>
  </si>
  <si>
    <t>SALES COMMISSION - DAMBULLA</t>
  </si>
  <si>
    <t>0957</t>
  </si>
  <si>
    <t>RECOVERY VISIT EXPENSES - ANURADHAPURA</t>
  </si>
  <si>
    <t>1828</t>
  </si>
  <si>
    <t>FUEL &amp; OIL- GAMPOLA</t>
  </si>
  <si>
    <t>1063</t>
  </si>
  <si>
    <t>E.P.F. CONTRIBUTION - POLONNARUWA</t>
  </si>
  <si>
    <t>1442</t>
  </si>
  <si>
    <t>PROVISION FOR BAD DEBTS - CASH MISAPPROPRIATION</t>
  </si>
  <si>
    <t>1470</t>
  </si>
  <si>
    <t>INTANGIBLE ASSETS</t>
  </si>
  <si>
    <t>1578</t>
  </si>
  <si>
    <t>WATER CHARGES  - KULIYAPITIYA</t>
  </si>
  <si>
    <t>1611</t>
  </si>
  <si>
    <t>PREPAID PROMOTIONAL  EXPENSES - LEASE</t>
  </si>
  <si>
    <t>0190</t>
  </si>
  <si>
    <t>LEGAL FEES RECOVERABLE</t>
  </si>
  <si>
    <t>2517</t>
  </si>
  <si>
    <t>DATA COMUNICATION CHARGES - AMBALANGODA</t>
  </si>
  <si>
    <t>0833</t>
  </si>
  <si>
    <t>TEA &amp; MEAL EXPENSES - DAMBULLA</t>
  </si>
  <si>
    <t>0844</t>
  </si>
  <si>
    <t>TEA &amp; MEAL EXPENSES - KURUNEGALA</t>
  </si>
  <si>
    <t>2472</t>
  </si>
  <si>
    <t>SECURITIES INCOME ACCOUNT (T)</t>
  </si>
  <si>
    <t>2546</t>
  </si>
  <si>
    <t>2601</t>
  </si>
  <si>
    <t>ADVETISING EXPENSES - MATALE</t>
  </si>
  <si>
    <t>2332</t>
  </si>
  <si>
    <t>PROMOTIONS EXPENSE - BANDARAWELLA</t>
  </si>
  <si>
    <t>0639</t>
  </si>
  <si>
    <t>DOMESTIC COURIER CHARGES - MADAPATHA</t>
  </si>
  <si>
    <t>0873</t>
  </si>
  <si>
    <t>TRAVELLING &amp; SUBSISTANCE - CHILAW</t>
  </si>
  <si>
    <t>1290</t>
  </si>
  <si>
    <t>JANITORIAL &amp; SANITORY WORK - VAUNIYA</t>
  </si>
  <si>
    <t>2027</t>
  </si>
  <si>
    <t>JANITORIAL &amp; SANITORY WORK - MULLAITTIVU</t>
  </si>
  <si>
    <t>0603</t>
  </si>
  <si>
    <t>OFFICE EQUIPMENT MAINTENANCE - KURUNEGALA</t>
  </si>
  <si>
    <t>2550</t>
  </si>
  <si>
    <t>RENT EXPENSE - BORELLA</t>
  </si>
  <si>
    <t>1933</t>
  </si>
  <si>
    <t>LEASE RIGHT TO USE ASSET</t>
  </si>
  <si>
    <t>2051</t>
  </si>
  <si>
    <t>BUILDING &amp; MAINTANANCE-ELPITIYA</t>
  </si>
  <si>
    <t>0090</t>
  </si>
  <si>
    <t>DEPRECIATION - OFFICE EQUIPMENTS</t>
  </si>
  <si>
    <t>2093</t>
  </si>
  <si>
    <t>JANITORIAL &amp; SANITORY WORK-HORANA</t>
  </si>
  <si>
    <t>0843</t>
  </si>
  <si>
    <t>TEA &amp; MEAL EXPENSES - KANDY</t>
  </si>
  <si>
    <t>2553</t>
  </si>
  <si>
    <t>STAFF TRAINING - BORELLA</t>
  </si>
  <si>
    <t>1525</t>
  </si>
  <si>
    <t>RENT EXPENSES - NIKAWERATIYA</t>
  </si>
  <si>
    <t>1651</t>
  </si>
  <si>
    <t>PRINTING STATIONERY - HOROWPATHANA</t>
  </si>
  <si>
    <t>2372</t>
  </si>
  <si>
    <t>TRAVELING &amp; SUBSISTANCE - MAWENELLA</t>
  </si>
  <si>
    <t>2496</t>
  </si>
  <si>
    <t>RENT EXPENSE - AMBALANGODA</t>
  </si>
  <si>
    <t>0776</t>
  </si>
  <si>
    <t>STAFF WELFARE &amp; BENEFITS - CHILAW</t>
  </si>
  <si>
    <t>0968</t>
  </si>
  <si>
    <t>RECOVERY VISIT EXPENSES - DEHIATTAKANDIYA</t>
  </si>
  <si>
    <t xml:space="preserve">DP GLOBAL SECURITIES (PVT) lTD                                        </t>
  </si>
  <si>
    <t>1289</t>
  </si>
  <si>
    <t>JANITORIAL &amp; SANITORY WORK - KEGALLE</t>
  </si>
  <si>
    <t>2511</t>
  </si>
  <si>
    <t>OFFICE EQUIPMENTS MAINTANANCE - AMBALANGODA</t>
  </si>
  <si>
    <t>1724</t>
  </si>
  <si>
    <t>WATER CHARGES-KEKIRAWA</t>
  </si>
  <si>
    <t>2434</t>
  </si>
  <si>
    <t>INSURANCE FOR DIRECTORS LIABILITY</t>
  </si>
  <si>
    <t>2836</t>
  </si>
  <si>
    <t>OVERDRAFT INTEREST – SEYLAN BANK</t>
  </si>
  <si>
    <t>2079</t>
  </si>
  <si>
    <t>MSL REIMBURSEMENT EXPENSES</t>
  </si>
  <si>
    <t>1800</t>
  </si>
  <si>
    <t>TRADE &amp; REVENUE LICENSE - MAHIYANGANAYA</t>
  </si>
  <si>
    <t>2698</t>
  </si>
  <si>
    <t>BUILDING MAINTENANCE - PANADURA</t>
  </si>
  <si>
    <t>0909</t>
  </si>
  <si>
    <t>TRADE &amp; REVENUE LICENSE - RATHNAPURA</t>
  </si>
  <si>
    <t>0501</t>
  </si>
  <si>
    <t>CASH TRANSPORT FEES - MONARAGALA</t>
  </si>
  <si>
    <t>0031</t>
  </si>
  <si>
    <t>DIVIDENDS INCOME</t>
  </si>
  <si>
    <t>1089</t>
  </si>
  <si>
    <t>E.T.F. CONTRIBUTION- KANDY</t>
  </si>
  <si>
    <t>2842</t>
  </si>
  <si>
    <t>DOMESTIC COURIER CHARGES - KOTTAWA</t>
  </si>
  <si>
    <t>1292</t>
  </si>
  <si>
    <t>TELEPHONE CHARGES - KEGALLE</t>
  </si>
  <si>
    <t>0646</t>
  </si>
  <si>
    <t>DOMESTIC COURIER CHARGES - BADULLA</t>
  </si>
  <si>
    <t>0292</t>
  </si>
  <si>
    <t>DIVIDENDS PAID</t>
  </si>
  <si>
    <t>1242</t>
  </si>
  <si>
    <t>GARAGE RENT - HO</t>
  </si>
  <si>
    <t>2243</t>
  </si>
  <si>
    <t xml:space="preserve">CURRENT LIABILITY OF LTL - HNB 003040138260 </t>
  </si>
  <si>
    <t>1437</t>
  </si>
  <si>
    <t>GARAGE CHARGES - PUTTLAM</t>
  </si>
  <si>
    <t>0183</t>
  </si>
  <si>
    <t>CLOSURES - HIRE PURCHASE</t>
  </si>
  <si>
    <t>0103</t>
  </si>
  <si>
    <t>EXTERNAL AUDIT FEES</t>
  </si>
  <si>
    <t>0917</t>
  </si>
  <si>
    <t>TRADE &amp; REVENUE LICENSE - KANDY</t>
  </si>
  <si>
    <t>1873</t>
  </si>
  <si>
    <t>VEHICLE REPAIRS &amp; MAINTANANCE-AWISSAWELLA</t>
  </si>
  <si>
    <t>1077</t>
  </si>
  <si>
    <t>E.T.F. CONTRIBUTION- ANURADHAPURA</t>
  </si>
  <si>
    <t>0131</t>
  </si>
  <si>
    <t>HIREPURCHASE DEBTORS - P</t>
  </si>
  <si>
    <t>2533</t>
  </si>
  <si>
    <t>CURRENT ACCOUNT – COMMERCIAL BANK 1000452561</t>
  </si>
  <si>
    <t>0632</t>
  </si>
  <si>
    <t>SALARIES &amp; WAGES - MATHUGAMA</t>
  </si>
  <si>
    <t>1815</t>
  </si>
  <si>
    <t>SECURITY EXPENSES- TRINCO</t>
  </si>
  <si>
    <t>0133</t>
  </si>
  <si>
    <t>HIREPURCHASE DEBTORS - LEGAL</t>
  </si>
  <si>
    <t>2610</t>
  </si>
  <si>
    <t>FURNITURE &amp; FITTINGS MAINTENANCE  - AMPARA</t>
  </si>
  <si>
    <t>1809</t>
  </si>
  <si>
    <t>SECURITY EXPENSES- EMBILIPITIYA</t>
  </si>
  <si>
    <t>0635</t>
  </si>
  <si>
    <t>SALARIES &amp; WAGES - AMBALANTHOTA</t>
  </si>
  <si>
    <t>1897</t>
  </si>
  <si>
    <t>CURRENT ACCOUNT NO (DEUTSCHE) - 0041236-00-5</t>
  </si>
  <si>
    <t>2763</t>
  </si>
  <si>
    <t>ENTERTAINMENT - WELLAWATTA</t>
  </si>
  <si>
    <t>1876</t>
  </si>
  <si>
    <t>VEHICLE REPAIRS &amp; MAINTANANCE-WALASMULLA</t>
  </si>
  <si>
    <t>2792</t>
  </si>
  <si>
    <t>ACCRUED OD INTEREST-MARGIN TRADING</t>
  </si>
  <si>
    <t>2656</t>
  </si>
  <si>
    <t>FURNITURE &amp; FITTINGS MAINTENANCE  - RATHNAPURA</t>
  </si>
  <si>
    <t>1754</t>
  </si>
  <si>
    <t>HNB STLs</t>
  </si>
  <si>
    <t>2657</t>
  </si>
  <si>
    <t>FURNITURE &amp; FITTINGS MAINTENANCE  - TISSAMAHARAMA</t>
  </si>
  <si>
    <t>0901</t>
  </si>
  <si>
    <t>NEWS PAPERS &amp; PERIOD - AMBALANTHOTA</t>
  </si>
  <si>
    <t>1768</t>
  </si>
  <si>
    <t>CURRENT ACCOUNT - AVISSAWELLA</t>
  </si>
  <si>
    <t>2855</t>
  </si>
  <si>
    <t>STAFF TRAINING - KOTTAWA</t>
  </si>
  <si>
    <t>2246</t>
  </si>
  <si>
    <t>CURRENT LIABILITY OF INTERCOMPANY BORROWINGS</t>
  </si>
  <si>
    <t>1702</t>
  </si>
  <si>
    <t>DPMC LOAN 4</t>
  </si>
  <si>
    <t>2873</t>
  </si>
  <si>
    <t>VACATION ALLOWANCE</t>
  </si>
  <si>
    <t>1877</t>
  </si>
  <si>
    <t>VEHICLE REPAIRS &amp; MAINTANANCE-EMBILIPITIYA</t>
  </si>
  <si>
    <t>0816</t>
  </si>
  <si>
    <t>SUNDRY EXPENSES - MONARAGALA</t>
  </si>
  <si>
    <t>1917</t>
  </si>
  <si>
    <t>VEHICLE REPAIRE &amp; MAINTANCE-PUTTALAM</t>
  </si>
  <si>
    <t>0128</t>
  </si>
  <si>
    <t>LEASE DEBTORS - P</t>
  </si>
  <si>
    <t>0853</t>
  </si>
  <si>
    <t>TEA &amp; MEAL EXPENSES - KALUTARA</t>
  </si>
  <si>
    <t>2276</t>
  </si>
  <si>
    <t>BUILDING MAINTANACE-KIRIBATHGODA</t>
  </si>
  <si>
    <t>0840</t>
  </si>
  <si>
    <t>TEA &amp; MEAL EXPENSES - MONARAGALA</t>
  </si>
  <si>
    <t>1251</t>
  </si>
  <si>
    <t>ELECTRICITY - TRINCO</t>
  </si>
  <si>
    <t>2282</t>
  </si>
  <si>
    <t>TRAVELLING &amp; SUBSISTANCE-ELPITIYA</t>
  </si>
  <si>
    <t>1488</t>
  </si>
  <si>
    <t>ELECTRICITY - DENIYAYA</t>
  </si>
  <si>
    <t>2036</t>
  </si>
  <si>
    <t>BUILDING MAINTANANCE-WELLAWAYA</t>
  </si>
  <si>
    <t>0599</t>
  </si>
  <si>
    <t>OFFICE EQUIPMENT MAINTENANCE - MONARAGALA</t>
  </si>
  <si>
    <t>0761</t>
  </si>
  <si>
    <t>STAFF WELFARE &amp; BENEFITS - DAMBULLA</t>
  </si>
  <si>
    <t>1782</t>
  </si>
  <si>
    <t>CASH TRANSPORT FEES- AWISSAWELLA</t>
  </si>
  <si>
    <t>0701</t>
  </si>
  <si>
    <t>WATER CHARGES - PUTTALAM</t>
  </si>
  <si>
    <t>0642</t>
  </si>
  <si>
    <t>DOMESTIC COURIER CHARGES - RATHNAPURA</t>
  </si>
  <si>
    <t>1182</t>
  </si>
  <si>
    <t>CASH TRANSPORT FEES - BATTICALOA</t>
  </si>
  <si>
    <t>0105</t>
  </si>
  <si>
    <t>ADVERTISING EXPENSES - HO</t>
  </si>
  <si>
    <t>2071</t>
  </si>
  <si>
    <t>OFFICE EQUIPMENT MAINTANANCE-HORANA</t>
  </si>
  <si>
    <t>0073</t>
  </si>
  <si>
    <t>COMPUTER SYSTEM MAINTENANCE</t>
  </si>
  <si>
    <t>2685</t>
  </si>
  <si>
    <t>DEPOSIT INSURANCE PREMIUM EXPENSES</t>
  </si>
  <si>
    <t>1744</t>
  </si>
  <si>
    <t>TEA &amp; MEAL EXPENSES- WALASMULLA</t>
  </si>
  <si>
    <t>0827</t>
  </si>
  <si>
    <t>SUNDRY EXPENSES - BATTARAMULLA</t>
  </si>
  <si>
    <t>2765</t>
  </si>
  <si>
    <t>JANITORIAL &amp; SANITORY WORK - WELLAWATTA</t>
  </si>
  <si>
    <t>2518</t>
  </si>
  <si>
    <t>BUILDING MAINTANANCE - AMBALANGODA</t>
  </si>
  <si>
    <t>2537</t>
  </si>
  <si>
    <t>BUILDING MAINTANANCE-BORELLA</t>
  </si>
  <si>
    <t>0904</t>
  </si>
  <si>
    <t xml:space="preserve">TRADE &amp; REVENUE LICENSE - AMPARA </t>
  </si>
  <si>
    <t>2771</t>
  </si>
  <si>
    <t>RENT EXPENSES - WELLAWATTA</t>
  </si>
  <si>
    <t>2343</t>
  </si>
  <si>
    <t>TRAVELLING &amp; SUBSISTANCE - BANDARAWELLA</t>
  </si>
  <si>
    <t xml:space="preserve">CASH SHORT IN EASY PAY MACHINE </t>
  </si>
  <si>
    <t>1556</t>
  </si>
  <si>
    <t>CROP INSURANCE LEVY EXPENSE</t>
  </si>
  <si>
    <t>0512</t>
  </si>
  <si>
    <t>CASH TRANSPORT FEES - BATTARAMULLA</t>
  </si>
  <si>
    <t>1735</t>
  </si>
  <si>
    <t>DATA COMMUNICATION CHARGES-WALASMULLA</t>
  </si>
  <si>
    <t>2191</t>
  </si>
  <si>
    <t>PROMOTIONS EXPENSE-KURUNEGALA</t>
  </si>
  <si>
    <t>0487</t>
  </si>
  <si>
    <t>ADVERTISING EXPENSES - MATARA</t>
  </si>
  <si>
    <t>2052</t>
  </si>
  <si>
    <t>TELEPHONE CHARGES-HORANA</t>
  </si>
  <si>
    <t>2061</t>
  </si>
  <si>
    <t>DATA COMMUNICATION CHARGES-WELLAWAYA</t>
  </si>
  <si>
    <t>1830</t>
  </si>
  <si>
    <t>FUEL &amp; OIL- AWISSAWELLA</t>
  </si>
  <si>
    <t>0480</t>
  </si>
  <si>
    <t>ADVERTISING EXPENSES - KANDY</t>
  </si>
  <si>
    <t>2843</t>
  </si>
  <si>
    <t>ELECTRICITY - KOTTAWA</t>
  </si>
  <si>
    <t>DIVIDEND PAYABLE</t>
  </si>
  <si>
    <t>0540</t>
  </si>
  <si>
    <t>DATA COMMUNICATION CHARGES - AMPARA</t>
  </si>
  <si>
    <t>0786</t>
  </si>
  <si>
    <t>STAFF MEDICAL EXPENSES - YAKKALA</t>
  </si>
  <si>
    <t>0713</t>
  </si>
  <si>
    <t>POSTAGE &amp; STAMPS - DAMBULLA</t>
  </si>
  <si>
    <t>2817</t>
  </si>
  <si>
    <t>ENTERTAINMENT - KANDY CITY</t>
  </si>
  <si>
    <t>2220</t>
  </si>
  <si>
    <t>GARAGE CHARGES-YAKKALA</t>
  </si>
  <si>
    <t>0959</t>
  </si>
  <si>
    <t>RECOVERY VISIT EXPENSES - DAMBULLA</t>
  </si>
  <si>
    <t>2877</t>
  </si>
  <si>
    <t>UNIDENTIFIED RMV TRANSACTION-PEOPLES’ BANK- 119100100007018</t>
  </si>
  <si>
    <t>1008</t>
  </si>
  <si>
    <t>STAFF BONUS - YAKKALA</t>
  </si>
  <si>
    <t>1869</t>
  </si>
  <si>
    <t>VEHICLE REPAIRS &amp; MAINTANANCE-MATARA</t>
  </si>
  <si>
    <t>1890</t>
  </si>
  <si>
    <t>VEHICLE REPAIRS &amp; MAINTANANCE-AKKARAIPATTU</t>
  </si>
  <si>
    <t>0937</t>
  </si>
  <si>
    <t>STAFF TRAINING - BADULLA</t>
  </si>
  <si>
    <t>2003</t>
  </si>
  <si>
    <t xml:space="preserve">DPMC LANKA LOAN-04 </t>
  </si>
  <si>
    <t>1888</t>
  </si>
  <si>
    <t>VEHICLE REPAIRS &amp; MAINTANANCE-GALLE</t>
  </si>
  <si>
    <t>2615</t>
  </si>
  <si>
    <t>FURNITURE &amp; FITTINGS MAINTENANCE  - BANDARAWELLA</t>
  </si>
  <si>
    <t>0891</t>
  </si>
  <si>
    <t>NEWS PAPERS &amp; PERIOD - DEHIATTAKANDIYA</t>
  </si>
  <si>
    <t>1093</t>
  </si>
  <si>
    <t>E.T.F. CONTRIBUTION- NEGOMBO</t>
  </si>
  <si>
    <t>1319</t>
  </si>
  <si>
    <t>GARAGE CHARGES - VAVUNIYA</t>
  </si>
  <si>
    <t>2480</t>
  </si>
  <si>
    <t>FVOCI - SECURITIES ASSET ACCOUNT (T)</t>
  </si>
  <si>
    <t>0146</t>
  </si>
  <si>
    <t>COMPUTER SOFTWARE</t>
  </si>
  <si>
    <t>2214</t>
  </si>
  <si>
    <t>2441</t>
  </si>
  <si>
    <t>PROVISION FOR MORATORUIM DEBTOR - LOAN</t>
  </si>
  <si>
    <t>1208</t>
  </si>
  <si>
    <t>LOAN DEBTORS - TRADE FINANCE</t>
  </si>
  <si>
    <t>0889</t>
  </si>
  <si>
    <t>NEWS PAPERS &amp; PERIOD - MONARAGALA</t>
  </si>
  <si>
    <t>1750</t>
  </si>
  <si>
    <t>HNB BANK LTL - 003040175739</t>
  </si>
  <si>
    <t>1061</t>
  </si>
  <si>
    <t>E.P.F. CONTRIBUTION - BADULLA</t>
  </si>
  <si>
    <t>0789</t>
  </si>
  <si>
    <t>STAFF MEDICAL EXPENSES - TISSAMAHARAMA</t>
  </si>
  <si>
    <t>1082</t>
  </si>
  <si>
    <t>E.T.F. CONTRIBUTION- EMBILIPITIYA</t>
  </si>
  <si>
    <t>2626</t>
  </si>
  <si>
    <t>FURNITURE &amp; FITTINGS MAINTENANCE  - GALLE</t>
  </si>
  <si>
    <t>1976</t>
  </si>
  <si>
    <t>LOAN INSTALMENT ARREASE-INVOICE DICOUNTING</t>
  </si>
  <si>
    <t>1073</t>
  </si>
  <si>
    <t>E.P.F. CONTRIBUTION - BATTARAMULLA</t>
  </si>
  <si>
    <t>1135</t>
  </si>
  <si>
    <t>DEPRECIATION - COMPUTER SOFTWARE- DEHIATTAKANDIYA</t>
  </si>
  <si>
    <t>1943</t>
  </si>
  <si>
    <t>CURRENT LIABILITY OF LONG TERM LOAN</t>
  </si>
  <si>
    <t>1652</t>
  </si>
  <si>
    <t>CURRENT ACCOUNT - MATALE BRANCH</t>
  </si>
  <si>
    <t>2399</t>
  </si>
  <si>
    <t>TRADE FINANCE LC BANK COMMISSION EXPENSE</t>
  </si>
  <si>
    <t>1706</t>
  </si>
  <si>
    <t xml:space="preserve">SAMPATH BANK LTL - 302965000494 </t>
  </si>
  <si>
    <t>1861</t>
  </si>
  <si>
    <t>SECOUNDMENT FEES-DPMC/DPA</t>
  </si>
  <si>
    <t>1568</t>
  </si>
  <si>
    <t>TEA &amp; MEAL EXPENSES - KULIYAPITIYA</t>
  </si>
  <si>
    <t>1315</t>
  </si>
  <si>
    <t>GARAGE CHARGES - AMPARA</t>
  </si>
  <si>
    <t>0181</t>
  </si>
  <si>
    <t>CLOSURES - LEASING</t>
  </si>
  <si>
    <t>0071</t>
  </si>
  <si>
    <t>BUILDING MAINTENANCE - HO</t>
  </si>
  <si>
    <t>2532</t>
  </si>
  <si>
    <t xml:space="preserve">SAVINGS ACCOUNT - CARGILLS BANK 018103000056                </t>
  </si>
  <si>
    <t>2338</t>
  </si>
  <si>
    <t>JANITORIAL &amp; SANITORY WORK - ELPITIYA</t>
  </si>
  <si>
    <t>1955</t>
  </si>
  <si>
    <t>STAFF WELFARE &amp; BENEFITS - MULLAITTIVU</t>
  </si>
  <si>
    <t>1520</t>
  </si>
  <si>
    <t>TEA &amp; MEAL EXPENSES - NIKAWERATIYA</t>
  </si>
  <si>
    <t>1639</t>
  </si>
  <si>
    <t>TRADE AND REVENUE LICENCES - HOROWPATHANA</t>
  </si>
  <si>
    <t>1790</t>
  </si>
  <si>
    <t>JANITORIAL &amp; SANITORY WORK - AVISSAWELLA</t>
  </si>
  <si>
    <t xml:space="preserve">VEHICLE TRANSFER FEES CONTROL ACCOUNT </t>
  </si>
  <si>
    <t>1994</t>
  </si>
  <si>
    <t>PRINTING &amp; STATIONERY-MALIGAWATTA</t>
  </si>
  <si>
    <t>0036</t>
  </si>
  <si>
    <t xml:space="preserve">OTHER INCOME </t>
  </si>
  <si>
    <t>2806</t>
  </si>
  <si>
    <t>BORROWINGS EXCHANGE REVALUATION - INTER</t>
  </si>
  <si>
    <t>1268</t>
  </si>
  <si>
    <t>DATA COMMUNICATION CHARGES - KEGALLE</t>
  </si>
  <si>
    <t>1180</t>
  </si>
  <si>
    <t>JANITORIAL AND SANITORY WORK-BATTICALOA</t>
  </si>
  <si>
    <t>0709</t>
  </si>
  <si>
    <t>WATER CHARGES - NUWARAELIYA</t>
  </si>
  <si>
    <t>1999</t>
  </si>
  <si>
    <t>JANITORIAL &amp; SANITORY WORK-MALIGAWATTA</t>
  </si>
  <si>
    <t>0563</t>
  </si>
  <si>
    <t>DATA COMMUNICATION CHARGES - KALUTARA</t>
  </si>
  <si>
    <t>0064</t>
  </si>
  <si>
    <t>RENT EXPENSES - CHILAW</t>
  </si>
  <si>
    <t>1501</t>
  </si>
  <si>
    <t>PRINTING &amp; STATIONERY - DENIYAYA</t>
  </si>
  <si>
    <t>0654</t>
  </si>
  <si>
    <t>DOMESTIC COURIER CHARGES - NEGOMBO</t>
  </si>
  <si>
    <t>0195</t>
  </si>
  <si>
    <t xml:space="preserve">INSPECTION CHARGES RECOVERABLE </t>
  </si>
  <si>
    <t>2571</t>
  </si>
  <si>
    <t>WATER CHARGES - NUGEGODA</t>
  </si>
  <si>
    <t>2718</t>
  </si>
  <si>
    <t>TEA &amp; MEAL EXPENSES - PANADURA</t>
  </si>
  <si>
    <t>2602</t>
  </si>
  <si>
    <t xml:space="preserve">CURRENT ACCOUNT BANK OF CHINA </t>
  </si>
  <si>
    <t>0907</t>
  </si>
  <si>
    <t>TRADE &amp; REVENUE LICENSE - DAMBULLA</t>
  </si>
  <si>
    <t>2526</t>
  </si>
  <si>
    <t>PRINTING &amp; STATIONERY -MAWENELLA</t>
  </si>
  <si>
    <t>1500</t>
  </si>
  <si>
    <t>FILE ARCHIVE EXPENSES</t>
  </si>
  <si>
    <t>0572</t>
  </si>
  <si>
    <t>TELEPHONE CHARGES - TISSAMAHARAMA</t>
  </si>
  <si>
    <t>2752</t>
  </si>
  <si>
    <t>NDB BANK LTL</t>
  </si>
  <si>
    <t>1492</t>
  </si>
  <si>
    <t>TRADE &amp; REVENUE LICENSE - DENIYAYA</t>
  </si>
  <si>
    <t>2020</t>
  </si>
  <si>
    <t>SECURITY EXPENSES - MALIGAWATTA</t>
  </si>
  <si>
    <t>0967</t>
  </si>
  <si>
    <t>RECOVERY VISIT EXPENSES - POLONNARUWA</t>
  </si>
  <si>
    <t>1603</t>
  </si>
  <si>
    <t>OFFICE EQUIPMENT MAINTENANCE - GAMPOLA</t>
  </si>
  <si>
    <t>0286</t>
  </si>
  <si>
    <t xml:space="preserve">CRIB CHARGES                                                </t>
  </si>
  <si>
    <t>1622</t>
  </si>
  <si>
    <t>BUILDING MAINTENANCE – AKKARAIPATTU</t>
  </si>
  <si>
    <t>0276</t>
  </si>
  <si>
    <t>PROVISION FOR DEPRECIATION - OFFICE EQUIPMENTS</t>
  </si>
  <si>
    <t>2032</t>
  </si>
  <si>
    <t>BANK CHARGES-UNION BANK</t>
  </si>
  <si>
    <t>2747</t>
  </si>
  <si>
    <t>CHEQUE COLLECTION FOR SAVINGS DEPOSITS</t>
  </si>
  <si>
    <t>0825</t>
  </si>
  <si>
    <t>SUNDRY EXPENSES - MATHUGAMA</t>
  </si>
  <si>
    <t>1147</t>
  </si>
  <si>
    <t>DEPRECIATION - COMPUTER SOFTWARE- AMPARA</t>
  </si>
  <si>
    <t>2871</t>
  </si>
  <si>
    <t>FD EIR ADJUSTMENT</t>
  </si>
  <si>
    <t>1552</t>
  </si>
  <si>
    <t>POSTAGE &amp; STAMPS - NIKAWARATIYA</t>
  </si>
  <si>
    <t>2622</t>
  </si>
  <si>
    <t>FURNITURE &amp; FITTINGS MAINTENANCE  - DENIYAYA</t>
  </si>
  <si>
    <t>2794</t>
  </si>
  <si>
    <t>COUNTER PARTY CURRENT ACCOUNT</t>
  </si>
  <si>
    <t>1332</t>
  </si>
  <si>
    <t>GARAGE CHARGES - JAFFNA</t>
  </si>
  <si>
    <t>0928</t>
  </si>
  <si>
    <t>STAFF TRAINING - AMPARA</t>
  </si>
  <si>
    <t>2007</t>
  </si>
  <si>
    <t>RESCHEDULEMENT CLOUSER-INVOICE DISCOUNTING</t>
  </si>
  <si>
    <t>1184</t>
  </si>
  <si>
    <t>GARAGE CHARGES - NUGEGODA</t>
  </si>
  <si>
    <t>0935</t>
  </si>
  <si>
    <t>STAFF TRAINING - TISSAMAHARAMA</t>
  </si>
  <si>
    <t>2711</t>
  </si>
  <si>
    <t>PROFESSIONAL CHARGES - PANADURA</t>
  </si>
  <si>
    <t>1927</t>
  </si>
  <si>
    <t>CURRENT ACCOUNT-SAMPATH (LISVIN)-006310000238</t>
  </si>
  <si>
    <t>2269</t>
  </si>
  <si>
    <t>CHEQUE RETURN FEE INCOME-FACTORING</t>
  </si>
  <si>
    <t>2303</t>
  </si>
  <si>
    <t>CURRENT ACCOUNTS - BANDARAWELA</t>
  </si>
  <si>
    <t xml:space="preserve">OVERPAYMENTS - HIRE PURCHASE </t>
  </si>
  <si>
    <t>1145</t>
  </si>
  <si>
    <t>DEPRECIATION - COMPUTER SOFTWARE- AMBALANTHOTA</t>
  </si>
  <si>
    <t>2134</t>
  </si>
  <si>
    <t>POSTAGE &amp; STAMPS-MULLAITIVUE</t>
  </si>
  <si>
    <t>1084</t>
  </si>
  <si>
    <t>E.T.F. CONTRIBUTION- GALLE</t>
  </si>
  <si>
    <t>0149</t>
  </si>
  <si>
    <t>MOTOR VEHICLES</t>
  </si>
  <si>
    <t>1896</t>
  </si>
  <si>
    <t>DEUTSCHE SECURITIZATION TRUST 05</t>
  </si>
  <si>
    <t>2487</t>
  </si>
  <si>
    <t>1704</t>
  </si>
  <si>
    <t>DPMC LANK LOAN 2</t>
  </si>
  <si>
    <t>2347</t>
  </si>
  <si>
    <t>BULLET LOAN - DPMCAH</t>
  </si>
  <si>
    <t>1636</t>
  </si>
  <si>
    <t>RECOVERY VISIT EXPENSES - AKKARAIPATTU</t>
  </si>
  <si>
    <t>2296</t>
  </si>
  <si>
    <t>STAFF TRAINING - KIRIBATHGODA</t>
  </si>
  <si>
    <t>0207</t>
  </si>
  <si>
    <t>UN EARNED INCOME LEASE-NP</t>
  </si>
  <si>
    <t>0897</t>
  </si>
  <si>
    <t>NEWS PAPERS &amp; PERIOD - CHILAW</t>
  </si>
  <si>
    <t>1882</t>
  </si>
  <si>
    <t>VEHICLE REPAIRS &amp; MAINTANANCE-BALANGODA</t>
  </si>
  <si>
    <t>0005</t>
  </si>
  <si>
    <t>PREFERENCE SHARECAPITAL</t>
  </si>
  <si>
    <t>1884</t>
  </si>
  <si>
    <t>VEHICLE REPAIRS &amp; MAINTANANCE-DEHIATTAKANDIYA</t>
  </si>
  <si>
    <t>1029</t>
  </si>
  <si>
    <t>PROFESSIONAL CHARGES - ANURADHAPURA</t>
  </si>
  <si>
    <t>0802</t>
  </si>
  <si>
    <t>STAFF MEDICAL EXPENSES - MATARA</t>
  </si>
  <si>
    <t>2012</t>
  </si>
  <si>
    <t>VEHICLE REPAIRE AND MAINTAINCE-MULLAITTIVU</t>
  </si>
  <si>
    <t>1576</t>
  </si>
  <si>
    <t>TRAVELLING &amp; SUBSISTANCE - KULIYAPITIYA</t>
  </si>
  <si>
    <t>0279</t>
  </si>
  <si>
    <t>PROVISION FOR BAD DEBTS-TERM LOANS</t>
  </si>
  <si>
    <t>0151</t>
  </si>
  <si>
    <t>CASH IN HAND</t>
  </si>
  <si>
    <t>0066</t>
  </si>
  <si>
    <t>PRINTING &amp; STATIONERY - HO</t>
  </si>
  <si>
    <t>0462</t>
  </si>
  <si>
    <t>ELECTRICITY - AMPARA</t>
  </si>
  <si>
    <t>0100</t>
  </si>
  <si>
    <t>SECRETARIAL FEES - D.P. CORPORATE SERVICES</t>
  </si>
  <si>
    <t>0182</t>
  </si>
  <si>
    <t>RESCHEDULEMENTS - LEASING</t>
  </si>
  <si>
    <t>0860</t>
  </si>
  <si>
    <t>TRAVELLING &amp; SUBSISTANCE - RATHNAPURA</t>
  </si>
  <si>
    <t>1243</t>
  </si>
  <si>
    <t>ELECTRICITY - AMBALANTHOTA</t>
  </si>
  <si>
    <t>0770</t>
  </si>
  <si>
    <t>STAFF WELFARE &amp; BENEFITS - DEHIATTAKANDIYA</t>
  </si>
  <si>
    <t>1987</t>
  </si>
  <si>
    <t>RENT EXPENSES-MULLAITTIVU</t>
  </si>
  <si>
    <t>0511</t>
  </si>
  <si>
    <t>CASH TRANSPORT FEES - MATARA</t>
  </si>
  <si>
    <t>0675</t>
  </si>
  <si>
    <t>JANITORIAL &amp; SANITORY WORK - KURUNEGALA</t>
  </si>
  <si>
    <t>1689</t>
  </si>
  <si>
    <t>TELEPHONE CHARGES-KILINOCHCHI</t>
  </si>
  <si>
    <t>0528</t>
  </si>
  <si>
    <t>BUILDING MAINTENANCE - KANDY</t>
  </si>
  <si>
    <t>0737</t>
  </si>
  <si>
    <t>PRINTING &amp; STATIONERY - DAMBULLA</t>
  </si>
  <si>
    <t>1448</t>
  </si>
  <si>
    <t>DATA COMMUNICATION CHARGES - MANNAR</t>
  </si>
  <si>
    <t>0582</t>
  </si>
  <si>
    <t>TELEPHONE CHARGES - NEGOMBO</t>
  </si>
  <si>
    <t>1455</t>
  </si>
  <si>
    <t>STAFF WELFARE &amp; BENEFITS - MANNAR</t>
  </si>
  <si>
    <t>0577</t>
  </si>
  <si>
    <t>TELEPHONE CHARGES - DEHIATTAKANDIYA</t>
  </si>
  <si>
    <t>0088</t>
  </si>
  <si>
    <t>DEPRECIATION - LEASE HOLD IMPROVEMENTS</t>
  </si>
  <si>
    <t>2782</t>
  </si>
  <si>
    <t>ADVERTISING EXPENSES - MULLAITHIVU</t>
  </si>
  <si>
    <t>1306</t>
  </si>
  <si>
    <t>OFFICE EQUIPMENTS MAINTENANCE - VAUNIYA</t>
  </si>
  <si>
    <t>2371</t>
  </si>
  <si>
    <t>WATER CHARGES - MAWANELLA</t>
  </si>
  <si>
    <t>0704</t>
  </si>
  <si>
    <t>WATER CHARGES - MATHUGAMA</t>
  </si>
  <si>
    <t>0591</t>
  </si>
  <si>
    <t>OFFICE EQUIPMENT MAINTENANCE - MADAPATHA</t>
  </si>
  <si>
    <t>2896</t>
  </si>
  <si>
    <t>FURNITURE &amp; FITTING MAINTENANCE - JA ELA</t>
  </si>
  <si>
    <t>2620</t>
  </si>
  <si>
    <t>FURNITURE &amp; FITTINGS MAINTENANCE  - DAMBULLA</t>
  </si>
  <si>
    <t>0726</t>
  </si>
  <si>
    <t>POSTAGE &amp; STAMPS - PUTTALAM</t>
  </si>
  <si>
    <t>1331</t>
  </si>
  <si>
    <t>TRADE &amp; REVENUE LICENCE - TRINCO</t>
  </si>
  <si>
    <t>1418</t>
  </si>
  <si>
    <t>BAD DEBTS - REPOSSESSED ASSETS</t>
  </si>
  <si>
    <t>0440</t>
  </si>
  <si>
    <t>RENT EXPENSES - YAKKALA</t>
  </si>
  <si>
    <t>2373</t>
  </si>
  <si>
    <t>TELEPHONE CHARGES - MAWENALLA</t>
  </si>
  <si>
    <t>2719</t>
  </si>
  <si>
    <t>TELEPHONE CHARGES - PANADURA</t>
  </si>
  <si>
    <t>2198</t>
  </si>
  <si>
    <t>PROMOTIONS EXPENSE-MONORAGALA</t>
  </si>
  <si>
    <t>0740</t>
  </si>
  <si>
    <t>PRINTING &amp; STATIONERY - EMBILIPITIYA</t>
  </si>
  <si>
    <t>0637</t>
  </si>
  <si>
    <t>DOMESTIC COURIER CHARGES - AMPARA</t>
  </si>
  <si>
    <t>0113</t>
  </si>
  <si>
    <t>INTEREST ON INTERCOMPANY BORROWINGS</t>
  </si>
  <si>
    <t>0890</t>
  </si>
  <si>
    <t>NEWS PAPERS &amp; PERIOD - POLONNARUWA</t>
  </si>
  <si>
    <t>2628</t>
  </si>
  <si>
    <t>FURNITURE &amp; FITTINGS MAINTENANCE -HORANA</t>
  </si>
  <si>
    <t>2209</t>
  </si>
  <si>
    <t>PROMOTIONS EXPENSE-VAUVNIYA</t>
  </si>
  <si>
    <t>0732</t>
  </si>
  <si>
    <t>POSTAGE &amp; STAMPS - AMBALANTHOTA</t>
  </si>
  <si>
    <t>2337</t>
  </si>
  <si>
    <t>DATA COMMUNICATION CHARGES - ELPITIYA</t>
  </si>
  <si>
    <t>2077</t>
  </si>
  <si>
    <t>ACTUARIAL (GAIN)/LOSS ON GRATIUTY PROVISION</t>
  </si>
  <si>
    <t>0788</t>
  </si>
  <si>
    <t>STAFF MEDICAL EXPENSES - EMBILIPITIYA</t>
  </si>
  <si>
    <t>2648</t>
  </si>
  <si>
    <t>FURNITURE &amp; FITTINGS MAINTENANCE  - MONARAGALA</t>
  </si>
  <si>
    <t>2769</t>
  </si>
  <si>
    <t>PROFESSIONAL CHARGES - WELLAWATTA</t>
  </si>
  <si>
    <t>0091</t>
  </si>
  <si>
    <t>BAD DEBTS LEASE - SPECIFIC</t>
  </si>
  <si>
    <t>1342</t>
  </si>
  <si>
    <t>POSTAGE &amp; STAMPS - JAFFNA</t>
  </si>
  <si>
    <t>1009</t>
  </si>
  <si>
    <t>STAFF BONUS - RATHNAPURA</t>
  </si>
  <si>
    <t>2867</t>
  </si>
  <si>
    <t>SAMPATH BANK LTL</t>
  </si>
  <si>
    <t>1761</t>
  </si>
  <si>
    <t>DPMC LOAN 6</t>
  </si>
  <si>
    <t>1117</t>
  </si>
  <si>
    <t>ENTERTAINMENT - NEGOMBO</t>
  </si>
  <si>
    <t>1938</t>
  </si>
  <si>
    <t>GOODWILL ON AQUISITION OF LISVIN</t>
  </si>
  <si>
    <t>2704</t>
  </si>
  <si>
    <t>E.T.F. CONTRIBUTION- PANADURA</t>
  </si>
  <si>
    <t>1176</t>
  </si>
  <si>
    <t>COMMERCIAL BANK LOAN REF 542969</t>
  </si>
  <si>
    <t>1820</t>
  </si>
  <si>
    <t>NEWS PEPAR &amp; PERIODICALS- AKKARAIPATTU</t>
  </si>
  <si>
    <t>0032</t>
  </si>
  <si>
    <t>HIRING INCOME</t>
  </si>
  <si>
    <t>2799</t>
  </si>
  <si>
    <t>INTEREST PAYABLE ON USD BORROWING</t>
  </si>
  <si>
    <t>1021</t>
  </si>
  <si>
    <t>STAFF BONUS - NEGOMBO</t>
  </si>
  <si>
    <t>1038</t>
  </si>
  <si>
    <t>PROFESSIONAL CHARGES - MONARAGALA</t>
  </si>
  <si>
    <t>2006</t>
  </si>
  <si>
    <t>RESCHEDULEMENT CLOUSER-REVOLVING</t>
  </si>
  <si>
    <t>1607</t>
  </si>
  <si>
    <t>SUNDRY EXPENSES - GAMPOLA</t>
  </si>
  <si>
    <t>1878</t>
  </si>
  <si>
    <t>VEHICLE REPAIRS &amp; MAINTANANCE-GAMPOLA</t>
  </si>
  <si>
    <t>1440</t>
  </si>
  <si>
    <t>UNEARNED INCOME - TREASURY BONDS</t>
  </si>
  <si>
    <t>2587</t>
  </si>
  <si>
    <t>NEWS PAPERS &amp; PERIODICALS - NUGEGODA</t>
  </si>
  <si>
    <t>1558</t>
  </si>
  <si>
    <t>SAMPATH BANK LOAN - NO 302960000514</t>
  </si>
  <si>
    <t>2746</t>
  </si>
  <si>
    <t>WHT PAYABLE SAVINGS</t>
  </si>
  <si>
    <t>2845</t>
  </si>
  <si>
    <t>GARAGE CHARGES - KOTTAWA</t>
  </si>
  <si>
    <t>1311</t>
  </si>
  <si>
    <t>GARAGE CHARGES - TRINCO</t>
  </si>
  <si>
    <t>1855</t>
  </si>
  <si>
    <t>FUEL &amp; OIL-TRINCO</t>
  </si>
  <si>
    <t>2559</t>
  </si>
  <si>
    <t>VEHICLE REPAIRE AND MAINTAINCE-BORELLA</t>
  </si>
  <si>
    <t>0108</t>
  </si>
  <si>
    <t>INITAIL LOSS ON MORATORIUM DEBTORS - LEASE</t>
  </si>
  <si>
    <t>1132</t>
  </si>
  <si>
    <t>DEPRECIATION - COMPUTER SOFTWARE- BADULLA</t>
  </si>
  <si>
    <t>2645</t>
  </si>
  <si>
    <t>FURNITURE &amp; FITTINGS MAINTENANCE  - MATARA</t>
  </si>
  <si>
    <t>1524</t>
  </si>
  <si>
    <t>GARAGE CHARGES - NIKAWERATIYA</t>
  </si>
  <si>
    <t>0219</t>
  </si>
  <si>
    <t>PREPAID RENTAL LEASE - NP</t>
  </si>
  <si>
    <t>2634</t>
  </si>
  <si>
    <t>FURNITURE &amp; FITTINGS MAINTENANCE -KEKIRAWA</t>
  </si>
  <si>
    <t>1811</t>
  </si>
  <si>
    <t>SECURITY EXPENSES- KULIYAPITIYA</t>
  </si>
  <si>
    <t>Type</t>
  </si>
  <si>
    <t>Sub Category</t>
  </si>
  <si>
    <t>Main Ledger</t>
  </si>
  <si>
    <t>CBSL Code</t>
  </si>
  <si>
    <t>AR Code</t>
  </si>
  <si>
    <t>Liability</t>
  </si>
  <si>
    <t>Trade &amp; Other Payables</t>
  </si>
  <si>
    <t>Overpayments</t>
  </si>
  <si>
    <t>1.2.4.8.0.0</t>
  </si>
  <si>
    <t>27b</t>
  </si>
  <si>
    <t>Suspence Creditors</t>
  </si>
  <si>
    <t>Interest In Suspence &amp; Receipt Suspence</t>
  </si>
  <si>
    <t>Accrued Expenses</t>
  </si>
  <si>
    <t>27e</t>
  </si>
  <si>
    <t>27d</t>
  </si>
  <si>
    <t>27a</t>
  </si>
  <si>
    <t>Security Deposits &amp; Prepayments</t>
  </si>
  <si>
    <t>Security Deposits</t>
  </si>
  <si>
    <t>Taxation Payable</t>
  </si>
  <si>
    <t>Taxes Payable</t>
  </si>
  <si>
    <t>28b</t>
  </si>
  <si>
    <t>28c</t>
  </si>
  <si>
    <t>Asset</t>
  </si>
  <si>
    <t>Other Receivable</t>
  </si>
  <si>
    <t>Sundry Debtors</t>
  </si>
  <si>
    <t>Other Current Liabilities</t>
  </si>
  <si>
    <t>Lease Asset Disposal Account</t>
  </si>
  <si>
    <t>1.2.4.9.0.0</t>
  </si>
  <si>
    <t>Rental In Arrears</t>
  </si>
  <si>
    <t>Dealer Finance Rental In Arrears</t>
  </si>
  <si>
    <t>20a</t>
  </si>
  <si>
    <t>Other Charges Payable</t>
  </si>
  <si>
    <t>Long Term Investments</t>
  </si>
  <si>
    <t>Investment In Treasury Bonds</t>
  </si>
  <si>
    <t>19a</t>
  </si>
  <si>
    <t>1.2.4.10.0.0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</si>
</sst>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_(* #,##0_);_(* \(#,##0\);_(* \-??_);_(@_)"/>
    <numFmt numFmtId="166" formatCode="#,##0;\-#,##0;0"/>
    <numFmt numFmtId="167" formatCode="[$-409]mmm\-yy;@"/>
    <numFmt numFmtId="168" formatCode="_(* #,##0.00_);_(* \(#,##0.00\);_(* \-??_);_(@_)"/>
    <numFmt numFmtId="169" formatCode="yyyy\-mm\-dd\ h:mm:ss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1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charset val="1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indexed="8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sz val="11"/>
      <color rgb="FFFF000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/>
      <diagonal/>
    </border>
  </borders>
  <cellStyleXfs count="10">
    <xf numFmtId="0" fontId="0" fillId="0" borderId="0"/>
    <xf numFmtId="43" fontId="2" fillId="0" borderId="0"/>
    <xf numFmtId="9" fontId="2" fillId="0" borderId="0"/>
    <xf numFmtId="0" fontId="4" fillId="14" borderId="0"/>
    <xf numFmtId="0" fontId="12" fillId="0" borderId="0"/>
    <xf numFmtId="0" fontId="13" fillId="0" borderId="0"/>
    <xf numFmtId="9" fontId="13" fillId="0" borderId="0"/>
    <xf numFmtId="168" fontId="13" fillId="0" borderId="0"/>
    <xf numFmtId="0" fontId="13" fillId="0" borderId="0"/>
    <xf numFmtId="168" fontId="13" fillId="0" borderId="0"/>
  </cellStyleXfs>
  <cellXfs count="185">
    <xf numFmtId="0" fontId="0" fillId="0" borderId="0" xfId="0"/>
    <xf numFmtId="17" fontId="1" fillId="0" borderId="0" xfId="0" applyNumberFormat="1" applyFont="1"/>
    <xf numFmtId="0" fontId="1" fillId="0" borderId="0" xfId="0" applyFont="1"/>
    <xf numFmtId="0" fontId="3" fillId="7" borderId="3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8" borderId="1" xfId="0" applyFont="1" applyFill="1" applyBorder="1"/>
    <xf numFmtId="164" fontId="1" fillId="8" borderId="1" xfId="1" applyNumberFormat="1" applyFont="1" applyFill="1" applyBorder="1" applyAlignment="1">
      <alignment horizontal="right"/>
    </xf>
    <xf numFmtId="0" fontId="0" fillId="0" borderId="1" xfId="0" applyBorder="1"/>
    <xf numFmtId="164" fontId="0" fillId="0" borderId="1" xfId="1" applyNumberFormat="1" applyFont="1" applyBorder="1" applyAlignment="1">
      <alignment horizontal="right"/>
    </xf>
    <xf numFmtId="1" fontId="1" fillId="8" borderId="1" xfId="0" applyNumberFormat="1" applyFont="1" applyFill="1" applyBorder="1" applyAlignment="1">
      <alignment horizontal="right"/>
    </xf>
    <xf numFmtId="0" fontId="5" fillId="0" borderId="0" xfId="0" applyFont="1"/>
    <xf numFmtId="0" fontId="6" fillId="0" borderId="0" xfId="0" applyFont="1"/>
    <xf numFmtId="0" fontId="6" fillId="0" borderId="7" xfId="0" applyFont="1" applyBorder="1"/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1" xfId="0" applyBorder="1" applyAlignment="1">
      <alignment wrapText="1"/>
    </xf>
    <xf numFmtId="0" fontId="8" fillId="0" borderId="0" xfId="0" applyFont="1" applyAlignment="1">
      <alignment vertical="center"/>
    </xf>
    <xf numFmtId="0" fontId="0" fillId="0" borderId="0" xfId="0" applyAlignment="1">
      <alignment vertical="center"/>
    </xf>
    <xf numFmtId="43" fontId="0" fillId="0" borderId="0" xfId="1" applyFont="1" applyAlignment="1">
      <alignment vertical="center"/>
    </xf>
    <xf numFmtId="17" fontId="1" fillId="0" borderId="6" xfId="0" applyNumberFormat="1" applyFont="1" applyBorder="1" applyAlignment="1">
      <alignment horizontal="left" vertical="center"/>
    </xf>
    <xf numFmtId="43" fontId="9" fillId="0" borderId="5" xfId="1" applyFont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43" fontId="0" fillId="0" borderId="1" xfId="1" applyFont="1" applyBorder="1" applyAlignment="1">
      <alignment vertical="center"/>
    </xf>
    <xf numFmtId="0" fontId="1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/>
    </xf>
    <xf numFmtId="0" fontId="0" fillId="0" borderId="0" xfId="0" applyAlignment="1">
      <alignment vertical="center" wrapText="1"/>
    </xf>
    <xf numFmtId="164" fontId="1" fillId="5" borderId="1" xfId="1" applyNumberFormat="1" applyFont="1" applyFill="1" applyBorder="1" applyAlignment="1">
      <alignment horizontal="right" vertical="center"/>
    </xf>
    <xf numFmtId="43" fontId="1" fillId="0" borderId="0" xfId="1" applyFont="1" applyAlignment="1">
      <alignment horizontal="right" vertical="center"/>
    </xf>
    <xf numFmtId="164" fontId="0" fillId="0" borderId="1" xfId="1" applyNumberFormat="1" applyFont="1" applyBorder="1" applyAlignment="1">
      <alignment horizontal="right" vertical="center"/>
    </xf>
    <xf numFmtId="164" fontId="0" fillId="2" borderId="1" xfId="1" applyNumberFormat="1" applyFont="1" applyFill="1" applyBorder="1" applyAlignment="1">
      <alignment horizontal="right" vertical="center"/>
    </xf>
    <xf numFmtId="43" fontId="0" fillId="0" borderId="0" xfId="1" applyFont="1" applyAlignment="1">
      <alignment horizontal="right" vertical="center"/>
    </xf>
    <xf numFmtId="164" fontId="1" fillId="4" borderId="1" xfId="1" applyNumberFormat="1" applyFont="1" applyFill="1" applyBorder="1" applyAlignment="1">
      <alignment horizontal="right" vertical="center"/>
    </xf>
    <xf numFmtId="0" fontId="0" fillId="0" borderId="1" xfId="0" applyBorder="1" applyAlignment="1">
      <alignment vertical="center"/>
    </xf>
    <xf numFmtId="0" fontId="7" fillId="0" borderId="0" xfId="0" applyFont="1" applyAlignment="1">
      <alignment vertical="center"/>
    </xf>
    <xf numFmtId="0" fontId="1" fillId="8" borderId="1" xfId="0" applyFont="1" applyFill="1" applyBorder="1" applyAlignment="1">
      <alignment wrapText="1"/>
    </xf>
    <xf numFmtId="0" fontId="1" fillId="4" borderId="1" xfId="0" applyFont="1" applyFill="1" applyBorder="1" applyAlignment="1">
      <alignment vertical="center"/>
    </xf>
    <xf numFmtId="164" fontId="1" fillId="0" borderId="0" xfId="1" applyNumberFormat="1" applyFont="1" applyAlignment="1">
      <alignment vertical="center"/>
    </xf>
    <xf numFmtId="164" fontId="0" fillId="0" borderId="0" xfId="1" applyNumberFormat="1" applyFont="1" applyAlignment="1">
      <alignment vertical="center"/>
    </xf>
    <xf numFmtId="43" fontId="1" fillId="0" borderId="0" xfId="0" applyNumberFormat="1" applyFont="1" applyAlignment="1">
      <alignment vertical="center"/>
    </xf>
    <xf numFmtId="164" fontId="1" fillId="0" borderId="1" xfId="1" applyNumberFormat="1" applyFont="1" applyBorder="1" applyAlignment="1">
      <alignment vertical="center"/>
    </xf>
    <xf numFmtId="164" fontId="0" fillId="0" borderId="1" xfId="1" applyNumberFormat="1" applyFont="1" applyBorder="1" applyAlignment="1">
      <alignment vertical="center"/>
    </xf>
    <xf numFmtId="0" fontId="0" fillId="6" borderId="1" xfId="0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center" vertical="center" wrapText="1"/>
    </xf>
    <xf numFmtId="164" fontId="0" fillId="0" borderId="0" xfId="1" applyNumberFormat="1" applyFont="1"/>
    <xf numFmtId="164" fontId="0" fillId="0" borderId="0" xfId="0" applyNumberFormat="1"/>
    <xf numFmtId="164" fontId="11" fillId="7" borderId="0" xfId="1" applyNumberFormat="1" applyFont="1" applyFill="1"/>
    <xf numFmtId="0" fontId="11" fillId="7" borderId="0" xfId="0" applyFont="1" applyFill="1"/>
    <xf numFmtId="0" fontId="0" fillId="12" borderId="0" xfId="0" applyFill="1"/>
    <xf numFmtId="164" fontId="1" fillId="12" borderId="0" xfId="0" applyNumberFormat="1" applyFont="1" applyFill="1"/>
    <xf numFmtId="0" fontId="1" fillId="12" borderId="0" xfId="0" applyFont="1" applyFill="1"/>
    <xf numFmtId="0" fontId="1" fillId="12" borderId="0" xfId="0" quotePrefix="1" applyFont="1" applyFill="1"/>
    <xf numFmtId="164" fontId="0" fillId="12" borderId="0" xfId="0" applyNumberFormat="1" applyFill="1"/>
    <xf numFmtId="164" fontId="1" fillId="12" borderId="0" xfId="1" applyNumberFormat="1" applyFont="1" applyFill="1"/>
    <xf numFmtId="0" fontId="0" fillId="13" borderId="1" xfId="0" applyFill="1" applyBorder="1" applyAlignment="1">
      <alignment vertical="center"/>
    </xf>
    <xf numFmtId="164" fontId="0" fillId="13" borderId="1" xfId="0" applyNumberFormat="1" applyFill="1" applyBorder="1" applyAlignment="1">
      <alignment vertical="center"/>
    </xf>
    <xf numFmtId="164" fontId="0" fillId="0" borderId="1" xfId="1" applyNumberFormat="1" applyFont="1" applyBorder="1"/>
    <xf numFmtId="0" fontId="0" fillId="15" borderId="1" xfId="0" applyFill="1" applyBorder="1"/>
    <xf numFmtId="0" fontId="0" fillId="16" borderId="1" xfId="0" applyFill="1" applyBorder="1"/>
    <xf numFmtId="10" fontId="0" fillId="13" borderId="1" xfId="2" applyNumberFormat="1" applyFont="1" applyFill="1" applyBorder="1" applyAlignment="1">
      <alignment vertical="center"/>
    </xf>
    <xf numFmtId="0" fontId="0" fillId="5" borderId="1" xfId="0" applyFill="1" applyBorder="1" applyAlignment="1">
      <alignment vertical="center"/>
    </xf>
    <xf numFmtId="164" fontId="0" fillId="5" borderId="1" xfId="0" applyNumberFormat="1" applyFill="1" applyBorder="1" applyAlignment="1">
      <alignment vertical="center"/>
    </xf>
    <xf numFmtId="164" fontId="0" fillId="5" borderId="1" xfId="1" applyNumberFormat="1" applyFont="1" applyFill="1" applyBorder="1" applyAlignment="1">
      <alignment vertical="center"/>
    </xf>
    <xf numFmtId="0" fontId="0" fillId="17" borderId="1" xfId="0" applyFill="1" applyBorder="1" applyAlignment="1">
      <alignment vertical="center"/>
    </xf>
    <xf numFmtId="164" fontId="0" fillId="17" borderId="1" xfId="0" applyNumberFormat="1" applyFill="1" applyBorder="1" applyAlignment="1">
      <alignment vertical="center"/>
    </xf>
    <xf numFmtId="164" fontId="0" fillId="0" borderId="0" xfId="0" applyNumberFormat="1" applyAlignment="1">
      <alignment vertical="center"/>
    </xf>
    <xf numFmtId="164" fontId="0" fillId="6" borderId="1" xfId="0" applyNumberFormat="1" applyFill="1" applyBorder="1" applyAlignment="1">
      <alignment vertical="center"/>
    </xf>
    <xf numFmtId="43" fontId="14" fillId="0" borderId="0" xfId="3" applyNumberFormat="1" applyFont="1" applyFill="1" applyAlignment="1">
      <alignment horizontal="center" vertical="center"/>
    </xf>
    <xf numFmtId="43" fontId="14" fillId="0" borderId="0" xfId="3" applyNumberFormat="1" applyFont="1" applyFill="1" applyAlignment="1">
      <alignment horizontal="center" vertical="center" wrapText="1"/>
    </xf>
    <xf numFmtId="0" fontId="15" fillId="0" borderId="0" xfId="5" applyFont="1" applyAlignment="1">
      <alignment horizontal="center" vertical="center"/>
    </xf>
    <xf numFmtId="165" fontId="15" fillId="0" borderId="0" xfId="5" applyNumberFormat="1" applyFont="1" applyAlignment="1">
      <alignment horizontal="center" vertical="center"/>
    </xf>
    <xf numFmtId="165" fontId="15" fillId="0" borderId="0" xfId="7" applyNumberFormat="1" applyFont="1" applyAlignment="1">
      <alignment horizontal="center" vertical="center"/>
    </xf>
    <xf numFmtId="0" fontId="10" fillId="0" borderId="0" xfId="4" applyFont="1" applyAlignment="1">
      <alignment vertical="center"/>
    </xf>
    <xf numFmtId="165" fontId="15" fillId="0" borderId="0" xfId="5" applyNumberFormat="1" applyFont="1" applyAlignment="1">
      <alignment vertical="center"/>
    </xf>
    <xf numFmtId="10" fontId="15" fillId="0" borderId="0" xfId="6" applyNumberFormat="1" applyFont="1" applyAlignment="1">
      <alignment horizontal="center" vertical="center"/>
    </xf>
    <xf numFmtId="14" fontId="15" fillId="0" borderId="0" xfId="5" applyNumberFormat="1" applyFont="1" applyAlignment="1">
      <alignment horizontal="center" vertical="center"/>
    </xf>
    <xf numFmtId="10" fontId="15" fillId="0" borderId="0" xfId="5" applyNumberFormat="1" applyFont="1" applyAlignment="1">
      <alignment horizontal="center" vertical="center"/>
    </xf>
    <xf numFmtId="0" fontId="15" fillId="0" borderId="0" xfId="5" applyFont="1" applyAlignment="1">
      <alignment vertical="center"/>
    </xf>
    <xf numFmtId="0" fontId="16" fillId="0" borderId="0" xfId="5" applyFont="1" applyAlignment="1">
      <alignment horizontal="right" vertical="center"/>
    </xf>
    <xf numFmtId="165" fontId="16" fillId="0" borderId="0" xfId="5" applyNumberFormat="1" applyFont="1" applyAlignment="1">
      <alignment vertical="center"/>
    </xf>
    <xf numFmtId="43" fontId="15" fillId="0" borderId="0" xfId="1" applyFont="1" applyAlignment="1">
      <alignment horizontal="center" vertical="center"/>
    </xf>
    <xf numFmtId="10" fontId="0" fillId="0" borderId="0" xfId="2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8" fillId="0" borderId="0" xfId="3" applyFont="1" applyFill="1" applyAlignment="1">
      <alignment horizontal="left" vertical="center"/>
    </xf>
    <xf numFmtId="164" fontId="1" fillId="18" borderId="0" xfId="1" applyNumberFormat="1" applyFont="1" applyFill="1" applyAlignment="1">
      <alignment vertical="center"/>
    </xf>
    <xf numFmtId="164" fontId="1" fillId="18" borderId="0" xfId="0" applyNumberFormat="1" applyFont="1" applyFill="1" applyAlignment="1">
      <alignment vertical="center"/>
    </xf>
    <xf numFmtId="0" fontId="0" fillId="9" borderId="0" xfId="0" applyFill="1" applyAlignment="1">
      <alignment vertical="center"/>
    </xf>
    <xf numFmtId="164" fontId="0" fillId="9" borderId="0" xfId="0" applyNumberFormat="1" applyFill="1" applyAlignment="1">
      <alignment vertical="center"/>
    </xf>
    <xf numFmtId="14" fontId="0" fillId="0" borderId="0" xfId="0" applyNumberFormat="1"/>
    <xf numFmtId="10" fontId="0" fillId="0" borderId="0" xfId="2" applyNumberFormat="1" applyFont="1"/>
    <xf numFmtId="0" fontId="1" fillId="0" borderId="0" xfId="0" applyFont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164" fontId="1" fillId="0" borderId="0" xfId="1" applyNumberFormat="1" applyFont="1" applyAlignment="1">
      <alignment horizontal="center" vertical="center" wrapText="1"/>
    </xf>
    <xf numFmtId="10" fontId="1" fillId="0" borderId="0" xfId="2" applyNumberFormat="1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3" fillId="7" borderId="2" xfId="0" applyFont="1" applyFill="1" applyBorder="1" applyAlignment="1">
      <alignment horizontal="center" vertical="center" wrapText="1"/>
    </xf>
    <xf numFmtId="0" fontId="0" fillId="18" borderId="0" xfId="0" applyFill="1" applyAlignment="1">
      <alignment vertical="center"/>
    </xf>
    <xf numFmtId="164" fontId="0" fillId="18" borderId="0" xfId="1" applyNumberFormat="1" applyFont="1" applyFill="1" applyAlignment="1">
      <alignment vertical="center"/>
    </xf>
    <xf numFmtId="164" fontId="0" fillId="18" borderId="0" xfId="0" applyNumberFormat="1" applyFill="1" applyAlignment="1">
      <alignment vertical="center"/>
    </xf>
    <xf numFmtId="0" fontId="15" fillId="18" borderId="0" xfId="5" applyFont="1" applyFill="1" applyAlignment="1">
      <alignment vertical="center"/>
    </xf>
    <xf numFmtId="0" fontId="16" fillId="18" borderId="0" xfId="5" applyFont="1" applyFill="1" applyAlignment="1">
      <alignment horizontal="right" vertical="center"/>
    </xf>
    <xf numFmtId="165" fontId="16" fillId="18" borderId="11" xfId="5" applyNumberFormat="1" applyFont="1" applyFill="1" applyBorder="1" applyAlignment="1">
      <alignment vertical="center"/>
    </xf>
    <xf numFmtId="165" fontId="16" fillId="18" borderId="0" xfId="5" applyNumberFormat="1" applyFont="1" applyFill="1" applyAlignment="1">
      <alignment vertical="center"/>
    </xf>
    <xf numFmtId="165" fontId="16" fillId="18" borderId="9" xfId="5" applyNumberFormat="1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164" fontId="1" fillId="0" borderId="1" xfId="1" applyNumberFormat="1" applyFont="1" applyBorder="1"/>
    <xf numFmtId="164" fontId="0" fillId="6" borderId="0" xfId="1" applyNumberFormat="1" applyFont="1" applyFill="1"/>
    <xf numFmtId="0" fontId="0" fillId="6" borderId="0" xfId="0" applyFill="1"/>
    <xf numFmtId="0" fontId="17" fillId="0" borderId="0" xfId="0" applyFont="1" applyAlignment="1">
      <alignment vertical="center"/>
    </xf>
    <xf numFmtId="43" fontId="17" fillId="0" borderId="0" xfId="1" applyFont="1" applyAlignment="1">
      <alignment vertical="center"/>
    </xf>
    <xf numFmtId="4" fontId="17" fillId="0" borderId="0" xfId="0" applyNumberFormat="1" applyFont="1" applyAlignment="1">
      <alignment vertical="center"/>
    </xf>
    <xf numFmtId="165" fontId="0" fillId="0" borderId="0" xfId="0" applyNumberFormat="1" applyAlignment="1">
      <alignment vertical="center"/>
    </xf>
    <xf numFmtId="43" fontId="0" fillId="0" borderId="0" xfId="1" applyFont="1"/>
    <xf numFmtId="0" fontId="6" fillId="19" borderId="1" xfId="0" applyFont="1" applyFill="1" applyBorder="1" applyAlignment="1">
      <alignment vertical="center"/>
    </xf>
    <xf numFmtId="0" fontId="1" fillId="19" borderId="1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vertical="center"/>
    </xf>
    <xf numFmtId="164" fontId="1" fillId="19" borderId="1" xfId="1" applyNumberFormat="1" applyFont="1" applyFill="1" applyBorder="1" applyAlignment="1">
      <alignment horizontal="center" vertical="center"/>
    </xf>
    <xf numFmtId="0" fontId="0" fillId="10" borderId="0" xfId="0" applyFill="1" applyAlignment="1">
      <alignment vertical="center"/>
    </xf>
    <xf numFmtId="0" fontId="1" fillId="11" borderId="1" xfId="0" applyFont="1" applyFill="1" applyBorder="1" applyAlignment="1">
      <alignment vertical="center"/>
    </xf>
    <xf numFmtId="43" fontId="1" fillId="11" borderId="1" xfId="1" applyFont="1" applyFill="1" applyBorder="1" applyAlignment="1">
      <alignment vertical="center"/>
    </xf>
    <xf numFmtId="164" fontId="1" fillId="19" borderId="1" xfId="1" applyNumberFormat="1" applyFont="1" applyFill="1" applyBorder="1" applyAlignment="1">
      <alignment vertical="center"/>
    </xf>
    <xf numFmtId="164" fontId="0" fillId="10" borderId="0" xfId="1" applyNumberFormat="1" applyFont="1" applyFill="1" applyAlignment="1">
      <alignment vertical="center"/>
    </xf>
    <xf numFmtId="0" fontId="0" fillId="20" borderId="1" xfId="0" applyFill="1" applyBorder="1" applyAlignment="1">
      <alignment horizontal="left" vertical="center"/>
    </xf>
    <xf numFmtId="164" fontId="0" fillId="20" borderId="1" xfId="1" applyNumberFormat="1" applyFont="1" applyFill="1" applyBorder="1" applyAlignment="1">
      <alignment horizontal="right" vertical="center"/>
    </xf>
    <xf numFmtId="0" fontId="18" fillId="0" borderId="1" xfId="0" applyFont="1" applyBorder="1" applyAlignment="1">
      <alignment horizontal="left" vertical="center"/>
    </xf>
    <xf numFmtId="0" fontId="1" fillId="21" borderId="1" xfId="0" applyFont="1" applyFill="1" applyBorder="1" applyAlignment="1">
      <alignment horizontal="left" vertical="center"/>
    </xf>
    <xf numFmtId="164" fontId="1" fillId="21" borderId="1" xfId="1" applyNumberFormat="1" applyFont="1" applyFill="1" applyBorder="1" applyAlignment="1">
      <alignment horizontal="right" vertical="center"/>
    </xf>
    <xf numFmtId="0" fontId="1" fillId="19" borderId="1" xfId="0" applyFont="1" applyFill="1" applyBorder="1" applyAlignment="1">
      <alignment horizontal="left" vertical="center"/>
    </xf>
    <xf numFmtId="164" fontId="1" fillId="19" borderId="1" xfId="1" applyNumberFormat="1" applyFont="1" applyFill="1" applyBorder="1" applyAlignment="1">
      <alignment horizontal="right" vertical="center"/>
    </xf>
    <xf numFmtId="0" fontId="0" fillId="10" borderId="0" xfId="0" applyFill="1" applyAlignment="1">
      <alignment horizontal="left" vertical="center"/>
    </xf>
    <xf numFmtId="164" fontId="0" fillId="10" borderId="0" xfId="1" applyNumberFormat="1" applyFont="1" applyFill="1" applyAlignment="1">
      <alignment horizontal="right" vertical="center"/>
    </xf>
    <xf numFmtId="164" fontId="0" fillId="22" borderId="0" xfId="1" applyNumberFormat="1" applyFont="1" applyFill="1"/>
    <xf numFmtId="164" fontId="1" fillId="0" borderId="0" xfId="1" applyNumberFormat="1" applyFont="1"/>
    <xf numFmtId="164" fontId="0" fillId="0" borderId="1" xfId="0" applyNumberFormat="1" applyBorder="1"/>
    <xf numFmtId="0" fontId="0" fillId="0" borderId="0" xfId="0" quotePrefix="1"/>
    <xf numFmtId="0" fontId="19" fillId="0" borderId="0" xfId="0" applyFont="1"/>
    <xf numFmtId="0" fontId="3" fillId="3" borderId="13" xfId="0" applyFont="1" applyFill="1" applyBorder="1" applyAlignment="1">
      <alignment horizontal="center" vertical="center" wrapText="1"/>
    </xf>
    <xf numFmtId="164" fontId="1" fillId="0" borderId="0" xfId="0" applyNumberFormat="1" applyFont="1"/>
    <xf numFmtId="164" fontId="1" fillId="9" borderId="0" xfId="0" applyNumberFormat="1" applyFont="1" applyFill="1" applyAlignment="1">
      <alignment vertical="center"/>
    </xf>
    <xf numFmtId="0" fontId="1" fillId="9" borderId="0" xfId="0" applyFont="1" applyFill="1" applyAlignment="1">
      <alignment vertical="center"/>
    </xf>
    <xf numFmtId="14" fontId="0" fillId="6" borderId="0" xfId="0" applyNumberFormat="1" applyFill="1"/>
    <xf numFmtId="9" fontId="0" fillId="0" borderId="0" xfId="2" applyFont="1" applyAlignment="1">
      <alignment vertical="center"/>
    </xf>
    <xf numFmtId="14" fontId="16" fillId="6" borderId="0" xfId="5" applyNumberFormat="1" applyFont="1" applyFill="1" applyAlignment="1">
      <alignment horizontal="center" vertical="center"/>
    </xf>
    <xf numFmtId="14" fontId="0" fillId="0" borderId="0" xfId="1" applyNumberFormat="1" applyFont="1"/>
    <xf numFmtId="0" fontId="0" fillId="3" borderId="0" xfId="0" applyFill="1"/>
    <xf numFmtId="0" fontId="20" fillId="0" borderId="0" xfId="0" applyFont="1"/>
    <xf numFmtId="0" fontId="1" fillId="0" borderId="10" xfId="0" applyFont="1" applyBorder="1" applyAlignment="1">
      <alignment horizontal="center" vertical="center" wrapText="1"/>
    </xf>
    <xf numFmtId="0" fontId="0" fillId="0" borderId="0" xfId="0" applyAlignment="1">
      <alignment vertical="top"/>
    </xf>
    <xf numFmtId="0" fontId="3" fillId="3" borderId="0" xfId="0" applyFont="1" applyFill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14" fontId="16" fillId="0" borderId="0" xfId="5" applyNumberFormat="1" applyFont="1" applyAlignment="1">
      <alignment horizontal="center" vertical="center" wrapText="1"/>
    </xf>
    <xf numFmtId="164" fontId="2" fillId="15" borderId="1" xfId="1" applyNumberFormat="1" applyFill="1" applyBorder="1"/>
    <xf numFmtId="164" fontId="2" fillId="16" borderId="1" xfId="1" applyNumberFormat="1" applyFill="1" applyBorder="1"/>
    <xf numFmtId="0" fontId="0" fillId="0" borderId="1" xfId="0" applyBorder="1" applyAlignment="1">
      <alignment vertical="center" wrapText="1"/>
    </xf>
    <xf numFmtId="43" fontId="1" fillId="0" borderId="1" xfId="1" applyFont="1" applyBorder="1" applyAlignment="1">
      <alignment horizontal="center" vertical="center" wrapText="1"/>
    </xf>
    <xf numFmtId="0" fontId="11" fillId="6" borderId="0" xfId="0" applyFont="1" applyFill="1"/>
    <xf numFmtId="0" fontId="1" fillId="6" borderId="0" xfId="0" applyFont="1" applyFill="1"/>
    <xf numFmtId="164" fontId="15" fillId="0" borderId="0" xfId="1" applyNumberFormat="1" applyFont="1" applyAlignment="1">
      <alignment horizontal="center" vertical="center"/>
    </xf>
    <xf numFmtId="164" fontId="15" fillId="0" borderId="0" xfId="1" applyNumberFormat="1" applyFont="1" applyAlignment="1">
      <alignment horizontal="left" vertical="center"/>
    </xf>
    <xf numFmtId="164" fontId="20" fillId="0" borderId="0" xfId="0" applyNumberFormat="1" applyFont="1"/>
    <xf numFmtId="0" fontId="1" fillId="0" borderId="0" xfId="0" applyFont="1" applyAlignment="1">
      <alignment horizontal="center" vertical="center"/>
    </xf>
    <xf numFmtId="0" fontId="0" fillId="11" borderId="0" xfId="0" applyFill="1"/>
    <xf numFmtId="164" fontId="0" fillId="11" borderId="0" xfId="1" applyNumberFormat="1" applyFont="1" applyFill="1"/>
    <xf numFmtId="43" fontId="0" fillId="0" borderId="0" xfId="1" applyFont="1" applyAlignment="1">
      <alignment horizontal="left" vertical="center"/>
    </xf>
    <xf numFmtId="164" fontId="1" fillId="5" borderId="1" xfId="1" applyNumberFormat="1" applyFont="1" applyFill="1" applyBorder="1" applyAlignment="1">
      <alignment vertical="center"/>
    </xf>
    <xf numFmtId="49" fontId="17" fillId="0" borderId="0" xfId="0" applyNumberFormat="1" applyFont="1" applyAlignment="1">
      <alignment vertical="center"/>
    </xf>
    <xf numFmtId="49" fontId="0" fillId="0" borderId="0" xfId="0" applyNumberFormat="1" applyAlignment="1">
      <alignment vertical="center"/>
    </xf>
    <xf numFmtId="166" fontId="0" fillId="5" borderId="1" xfId="1" applyNumberFormat="1" applyFont="1" applyFill="1" applyBorder="1" applyAlignment="1">
      <alignment vertical="center"/>
    </xf>
    <xf numFmtId="49" fontId="0" fillId="0" borderId="0" xfId="0" applyNumberFormat="1"/>
    <xf numFmtId="169" fontId="0" fillId="0" borderId="0" xfId="0" applyNumberFormat="1"/>
    <xf numFmtId="0" fontId="0" fillId="10" borderId="0" xfId="0" applyFill="1" applyAlignment="1">
      <alignment horizontal="left" vertical="center" wrapText="1"/>
    </xf>
    <xf numFmtId="0" fontId="0" fillId="10" borderId="0" xfId="0" applyFill="1" applyAlignment="1">
      <alignment vertical="center"/>
    </xf>
    <xf numFmtId="0" fontId="0" fillId="10" borderId="0" xfId="0" applyFill="1" applyAlignment="1">
      <alignment horizontal="left" vertical="center"/>
    </xf>
    <xf numFmtId="167" fontId="1" fillId="19" borderId="1" xfId="1" applyNumberFormat="1" applyFont="1" applyFill="1" applyBorder="1" applyAlignment="1">
      <alignment horizontal="center" vertical="center"/>
    </xf>
    <xf numFmtId="0" fontId="0" fillId="0" borderId="12" xfId="0" applyBorder="1"/>
    <xf numFmtId="0" fontId="5" fillId="10" borderId="0" xfId="0" applyFont="1" applyFill="1" applyAlignment="1">
      <alignment horizontal="left" vertical="center"/>
    </xf>
    <xf numFmtId="0" fontId="1" fillId="6" borderId="0" xfId="0" applyFont="1" applyFill="1" applyAlignment="1">
      <alignment horizontal="center"/>
    </xf>
    <xf numFmtId="0" fontId="0" fillId="0" borderId="0" xfId="0"/>
  </cellXfs>
  <cellStyles count="10">
    <cellStyle name="Accent1" xfId="3" builtinId="29"/>
    <cellStyle name="Comma" xfId="1" builtinId="3"/>
    <cellStyle name="Comma 2" xfId="9" xr:uid="{00000000-0005-0000-0000-000009000000}"/>
    <cellStyle name="Comma 45 11" xfId="7" xr:uid="{00000000-0005-0000-0000-000007000000}"/>
    <cellStyle name="Normal" xfId="0" builtinId="0"/>
    <cellStyle name="Normal 128" xfId="8" xr:uid="{00000000-0005-0000-0000-000008000000}"/>
    <cellStyle name="Normal 2 10 4" xfId="4" xr:uid="{00000000-0005-0000-0000-000004000000}"/>
    <cellStyle name="Normal 3 44" xfId="5" xr:uid="{00000000-0005-0000-0000-000005000000}"/>
    <cellStyle name="Percent" xfId="2" builtinId="5"/>
    <cellStyle name="Percent 40" xfId="6" xr:uid="{00000000-0005-0000-0000-000006000000}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externalLink" Target="externalLinks/externalLink14.xml"/><Relationship Id="rId39" Type="http://schemas.openxmlformats.org/officeDocument/2006/relationships/theme" Target="theme/theme1.xml"/><Relationship Id="rId21" Type="http://schemas.openxmlformats.org/officeDocument/2006/relationships/externalLink" Target="externalLinks/externalLink9.xml"/><Relationship Id="rId34" Type="http://schemas.openxmlformats.org/officeDocument/2006/relationships/externalLink" Target="externalLinks/externalLink22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29" Type="http://schemas.openxmlformats.org/officeDocument/2006/relationships/externalLink" Target="externalLinks/externalLink17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32" Type="http://schemas.openxmlformats.org/officeDocument/2006/relationships/externalLink" Target="externalLinks/externalLink20.xml"/><Relationship Id="rId37" Type="http://schemas.openxmlformats.org/officeDocument/2006/relationships/externalLink" Target="externalLinks/externalLink25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externalLink" Target="externalLinks/externalLink16.xml"/><Relationship Id="rId36" Type="http://schemas.openxmlformats.org/officeDocument/2006/relationships/externalLink" Target="externalLinks/externalLink24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31" Type="http://schemas.openxmlformats.org/officeDocument/2006/relationships/externalLink" Target="externalLinks/externalLink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externalLink" Target="externalLinks/externalLink15.xml"/><Relationship Id="rId30" Type="http://schemas.openxmlformats.org/officeDocument/2006/relationships/externalLink" Target="externalLinks/externalLink18.xml"/><Relationship Id="rId35" Type="http://schemas.openxmlformats.org/officeDocument/2006/relationships/externalLink" Target="externalLinks/externalLink2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externalLink" Target="externalLinks/externalLink13.xml"/><Relationship Id="rId33" Type="http://schemas.openxmlformats.org/officeDocument/2006/relationships/externalLink" Target="externalLinks/externalLink21.xml"/><Relationship Id="rId38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Annual%20Reports\Annual%20Report%202008\Moshani\AR%20-%2006\Income%20Statement\2%20Yr%20Summary\DOCUME~1\Kavitha\LOCALS~1\Temp\notes6030C8\New%20Folder\Gavesh's%20files\September%202005%20-%20Qtr\P%20&amp;%20L\Profit%20Re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NEW_JOB\MONTHLY%20FILES\1998\December\Provision\Prch\Raprch12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pmcogrp-my.sharepoint.com/VITO/CORP%20PROFORMA/Racorp66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DOCUME~1\xhe297\LOCALS~1\Temp\C.Notes.Data\NEW_JOB\MONTHLY%20FILES\1998\December\Provision\Prch\Raprch12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K_NVL_BPFA01\SYS2\Travel%20Reporting\1999\Mar%2099\BTflash039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rajith.perera\Application%20Data\Microsoft\Excel\Bangladesh\31%20Dec%202010\Commercial\Commercial%20Bangladesh\calculations\General%20Ledger%2031DEC10_Global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rajith.perera/Application%20Data/Microsoft/Excel/Bangladesh/31%20Dec%202010/Commercial/Commercial%20Bangladesh/calculations/General%20Ledger%2031DEC10_Glob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onthly%20Accounts\February'05\Balance%20sheet_FEB%20200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ffice%20Related\Treasury%20LD\CP\Assetline%20Master%20File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Users\ykumara\AppData\Local\Microsoft\Windows\INetCache\Content.Outlook\XBEALRAR\IFRS%209\softlogic%20insurance%20PLC\ECL_General%20%20Tool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pmcogrp-my.sharepoint.com/Budget%20backups/09.02.2018/Budget%202018%2019/Expenses/11%20-%2018_19%20Renewals_Licence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8.17\pros\Quarterlies\September%20Qtr\Qtr%20-%20Sep%202008\FS%20Final\FS\FS_Q2_08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b\Accounts\Mrep02_03\0211BS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ata\CBC\CBC%20Report\Monthly\Yr2006\COF_2006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CBC/CBC%20Report/Monthly/Yr2006/COF_2006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.dpg.lk/Budget%202019%2020/Divisional%20Information/GCRRC/19_20%20HR%20Requirement%20-%20GCRRC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Users\julian.kumarasinghe\Desktop\Month%20%20End%20Workings%20-%20SEPTEMBER\1.%20T%20Bonds\EIR%20For%20remainng%20bonds%20-September%202017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1.%20Work\Client\1.%20Bahrain\1.%20Client%20Data\1.%20KHCB\2.%20Working\3.%20Corporate%20-%20Rating%20wise\v2\3.%20Corporate%20-%20Real%20Estate%20-%20Bahrain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TOSHIBA\AppData\Local\Temp\notes11F6BD\~9944814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kcmb_d057\share%201\DOCUME~1\CHANDA~1\LOCALS~1\Temp\Temporary%20Directory%201%20for%20Alucop%20Cables%20Ltd%2026-05.xls.zip\Documents%20and%20Settings\schandrakumara\Local%20Settings\Temp\wze50f\TO%20KPMG\ENg%20Cash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Users\sakshi.j\AppData\Local\Microsoft\Windows\Temporary%20Internet%20Files\Content.Outlook\5YN00N11\tf028023562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b\Accounts\Mrep02_03\0206PL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175\treasury%2520and%2520banking\Dinesh%2520PC\Treasury%2520Workings\Treasury\Assetline%2520Master%2520File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175\Treasury%20and%20Banking\Dinesh%20PC\Treasury%20Workings\Treasury\Assetline%20Master%20File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rive.dpg.lk\195\Users\kasunsa\Desktop\budget%202018-19\18_19%20Product%20line%20alloc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it Rec"/>
      <sheetName val="Sheet2"/>
      <sheetName val="Sheet1 (2)"/>
      <sheetName val="Sheet1"/>
      <sheetName val="Other Charts"/>
      <sheetName val="BS - Openning - Int"/>
      <sheetName val="P_L for 3 M"/>
      <sheetName val="Profit_Rec"/>
      <sheetName val="Sheet1_(2)"/>
      <sheetName val="Other_Charts"/>
      <sheetName val="BS_-_Openning_-_Int"/>
      <sheetName val="P_L_for_3_M"/>
      <sheetName val="Profit_Rec1"/>
      <sheetName val="Sheet1_(2)1"/>
      <sheetName val="Other_Charts1"/>
      <sheetName val="BS_-_Openning_-_Int1"/>
      <sheetName val="P_L_for_3_M1"/>
      <sheetName val="Profit_Rec2"/>
      <sheetName val="Sheet1_(2)2"/>
      <sheetName val="Other_Charts2"/>
      <sheetName val="BS_-_Openning_-_Int2"/>
      <sheetName val="P_L_for_3_M2"/>
      <sheetName val="Profit_Rec3"/>
      <sheetName val="Sheet1_(2)3"/>
      <sheetName val="Other_Charts3"/>
      <sheetName val="BS_-_Openning_-_Int3"/>
      <sheetName val="P_L_for_3_M3"/>
      <sheetName val="GRADE LIST"/>
      <sheetName val="Months"/>
      <sheetName val="Profit_Rec4"/>
      <sheetName val="Sheet1_(2)4"/>
      <sheetName val="Other_Charts4"/>
      <sheetName val="BS_-_Openning_-_Int4"/>
      <sheetName val="P_L_for_3_M4"/>
      <sheetName val="GRADE_LIST"/>
      <sheetName val="Consol CF"/>
      <sheetName val="Profit_Rec5"/>
      <sheetName val="Sheet1_(2)5"/>
      <sheetName val="Other_Charts5"/>
      <sheetName val="BS_-_Openning_-_Int5"/>
      <sheetName val="P_L_for_3_M5"/>
      <sheetName val="GRADE_LIST1"/>
      <sheetName val="Profit_Rec6"/>
      <sheetName val="Sheet1_(2)6"/>
      <sheetName val="Other_Charts6"/>
      <sheetName val="BS_-_Openning_-_Int6"/>
      <sheetName val="P_L_for_3_M6"/>
      <sheetName val="GRADE_LIST2"/>
      <sheetName val="Profit_Rec7"/>
      <sheetName val="Sheet1_(2)7"/>
      <sheetName val="Other_Charts7"/>
      <sheetName val="BS_-_Openning_-_Int7"/>
      <sheetName val="P_L_for_3_M7"/>
      <sheetName val="GRADE_LIST3"/>
      <sheetName val="UA"/>
      <sheetName val="IS-N"/>
      <sheetName val="Account_Analysis_Report_010719"/>
      <sheetName val="VD3"/>
      <sheetName val="LIST"/>
      <sheetName val="Article"/>
      <sheetName val="CUMAA"/>
      <sheetName val="Currency"/>
      <sheetName val="Non-Statistical Sampling"/>
      <sheetName val="AR Drop Downs"/>
      <sheetName val="DropDown"/>
      <sheetName val="BOC 164mn"/>
      <sheetName val="LANGUAGE"/>
      <sheetName val="Incremental calc"/>
      <sheetName val="BUD-D.XLS"/>
      <sheetName val="FAS115"/>
      <sheetName val="MAIN"/>
      <sheetName val="C&amp;B"/>
      <sheetName val="loan"/>
      <sheetName val="N1"/>
      <sheetName val="STOCKS"/>
      <sheetName val="Dates"/>
      <sheetName val="95BSHEET_M"/>
      <sheetName val="KADAWATHA"/>
      <sheetName val="PL"/>
      <sheetName val="TB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"/>
      <sheetName val="FR"/>
      <sheetName val="CCSG_RV(Q)"/>
      <sheetName val="Income Stmt"/>
      <sheetName val="Calendar5+7"/>
      <sheetName val="Selection"/>
      <sheetName val="LG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"/>
      <sheetName val="FR"/>
      <sheetName val="Main"/>
      <sheetName val="YEAR1"/>
      <sheetName val="Rolling Projection"/>
      <sheetName val="FCST P&amp;L CCG"/>
      <sheetName val="csr rates...FX"/>
      <sheetName val="Income Stmt"/>
      <sheetName val="FCST P&amp;L Lending"/>
      <sheetName val="Menu"/>
      <sheetName val="Data - Forecast"/>
      <sheetName val="Fcst_06"/>
      <sheetName val="Quote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"/>
      <sheetName val="FR"/>
    </sheetNames>
    <sheetDataSet>
      <sheetData sheetId="0" refreshError="1"/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s"/>
      <sheetName val="DATA"/>
      <sheetName val="P&amp;L"/>
      <sheetName val="Flash KI"/>
      <sheetName val="Flash KI Trend"/>
      <sheetName val="Dialog1"/>
      <sheetName val="Module1"/>
      <sheetName val="Assumptions"/>
      <sheetName val="2001 QUOTE"/>
      <sheetName val="5+7 charge"/>
      <sheetName val="PM 5+7"/>
      <sheetName val="Forecast"/>
      <sheetName val="Plan"/>
      <sheetName val="Sheet4"/>
      <sheetName val="#REF"/>
      <sheetName val="Settings"/>
      <sheetName val="BTflash0399"/>
      <sheetName val="YTD Signings"/>
      <sheetName val="F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s"/>
      <sheetName val="BGD"/>
      <sheetName val="Comments"/>
      <sheetName val="Posting"/>
      <sheetName val="Adjustments"/>
      <sheetName val="Balance"/>
      <sheetName val="Inter Br Adj"/>
      <sheetName val="Consolidation"/>
      <sheetName val="data"/>
      <sheetName val="DownLoa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72">
          <cell r="C72" t="str">
            <v>LM</v>
          </cell>
          <cell r="D72" t="str">
            <v>GMCNTR</v>
          </cell>
          <cell r="E72" t="str">
            <v>cde</v>
          </cell>
          <cell r="F72" t="str">
            <v>Last Month</v>
          </cell>
          <cell r="G72" t="str">
            <v>GMCNTR</v>
          </cell>
        </row>
        <row r="73">
          <cell r="C73">
            <v>39568</v>
          </cell>
          <cell r="D73">
            <v>8802</v>
          </cell>
          <cell r="E73" t="str">
            <v>A</v>
          </cell>
          <cell r="F73">
            <v>66157776.659999996</v>
          </cell>
          <cell r="G73" t="str">
            <v>8802A</v>
          </cell>
        </row>
        <row r="74">
          <cell r="C74">
            <v>39568</v>
          </cell>
          <cell r="D74">
            <v>8802</v>
          </cell>
          <cell r="E74" t="str">
            <v>B</v>
          </cell>
          <cell r="F74">
            <v>2368022.9900000002</v>
          </cell>
          <cell r="G74" t="str">
            <v>8802B</v>
          </cell>
        </row>
        <row r="75">
          <cell r="C75">
            <v>39568</v>
          </cell>
          <cell r="D75">
            <v>8803</v>
          </cell>
          <cell r="E75" t="str">
            <v>A</v>
          </cell>
          <cell r="F75">
            <v>16609885.84</v>
          </cell>
          <cell r="G75" t="str">
            <v>8803A</v>
          </cell>
        </row>
        <row r="76">
          <cell r="C76">
            <v>39568</v>
          </cell>
          <cell r="D76">
            <v>8805</v>
          </cell>
          <cell r="E76" t="str">
            <v>A</v>
          </cell>
          <cell r="F76">
            <v>6549184.2199999997</v>
          </cell>
          <cell r="G76" t="str">
            <v>8805A</v>
          </cell>
        </row>
        <row r="77">
          <cell r="C77">
            <v>39568</v>
          </cell>
          <cell r="D77">
            <v>8805</v>
          </cell>
          <cell r="E77" t="str">
            <v>C</v>
          </cell>
          <cell r="F77">
            <v>136299.87</v>
          </cell>
          <cell r="G77" t="str">
            <v>8805C</v>
          </cell>
        </row>
        <row r="78">
          <cell r="C78">
            <v>39568</v>
          </cell>
          <cell r="D78">
            <v>8806</v>
          </cell>
          <cell r="E78" t="str">
            <v>A</v>
          </cell>
          <cell r="F78">
            <v>2920241.5</v>
          </cell>
          <cell r="G78" t="str">
            <v>8806A</v>
          </cell>
        </row>
        <row r="79">
          <cell r="C79">
            <v>39568</v>
          </cell>
          <cell r="D79">
            <v>8807</v>
          </cell>
          <cell r="E79" t="str">
            <v>A</v>
          </cell>
          <cell r="F79">
            <v>2295975.44</v>
          </cell>
          <cell r="G79" t="str">
            <v>8807A</v>
          </cell>
        </row>
        <row r="80">
          <cell r="C80">
            <v>39568</v>
          </cell>
          <cell r="D80">
            <v>8808</v>
          </cell>
          <cell r="E80" t="str">
            <v>A</v>
          </cell>
          <cell r="F80">
            <v>357.93</v>
          </cell>
          <cell r="G80" t="str">
            <v>8808A</v>
          </cell>
        </row>
        <row r="81">
          <cell r="C81">
            <v>39568</v>
          </cell>
          <cell r="D81">
            <v>8893</v>
          </cell>
          <cell r="E81" t="str">
            <v>A</v>
          </cell>
          <cell r="F81">
            <v>78495.789999999994</v>
          </cell>
          <cell r="G81" t="str">
            <v>8893A</v>
          </cell>
        </row>
        <row r="82">
          <cell r="C82">
            <v>39568</v>
          </cell>
          <cell r="D82">
            <v>8894</v>
          </cell>
          <cell r="E82" t="str">
            <v>A</v>
          </cell>
          <cell r="F82">
            <v>38813.43</v>
          </cell>
          <cell r="G82" t="str">
            <v>8894A</v>
          </cell>
        </row>
        <row r="83">
          <cell r="C83">
            <v>39568</v>
          </cell>
          <cell r="D83">
            <v>8894</v>
          </cell>
          <cell r="E83" t="str">
            <v>B</v>
          </cell>
          <cell r="F83">
            <v>852923.03</v>
          </cell>
          <cell r="G83" t="str">
            <v>8894B</v>
          </cell>
        </row>
        <row r="84">
          <cell r="C84">
            <v>39507</v>
          </cell>
          <cell r="D84">
            <v>8808</v>
          </cell>
          <cell r="E84" t="str">
            <v>A</v>
          </cell>
          <cell r="F84">
            <v>0</v>
          </cell>
          <cell r="G84" t="str">
            <v>8808A</v>
          </cell>
        </row>
        <row r="85">
          <cell r="F85">
            <v>0</v>
          </cell>
          <cell r="G85">
            <v>0</v>
          </cell>
        </row>
        <row r="86">
          <cell r="F86">
            <v>0</v>
          </cell>
          <cell r="G86">
            <v>0</v>
          </cell>
        </row>
        <row r="87">
          <cell r="F87">
            <v>0</v>
          </cell>
          <cell r="G87">
            <v>0</v>
          </cell>
        </row>
        <row r="88">
          <cell r="F88">
            <v>0</v>
          </cell>
          <cell r="G88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s"/>
      <sheetName val="BGD"/>
      <sheetName val="Comments"/>
      <sheetName val="Posting"/>
      <sheetName val="Adjustments"/>
      <sheetName val="Balance"/>
      <sheetName val="Inter Br Adj"/>
      <sheetName val="Consolidation"/>
      <sheetName val="data"/>
      <sheetName val="DownLoad"/>
      <sheetName val="Ld_Lc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72">
          <cell r="C72" t="str">
            <v>LM</v>
          </cell>
          <cell r="D72" t="str">
            <v>GMCNTR</v>
          </cell>
          <cell r="E72" t="str">
            <v>cde</v>
          </cell>
          <cell r="F72" t="str">
            <v>Last Month</v>
          </cell>
          <cell r="G72" t="str">
            <v>GMCNTR</v>
          </cell>
        </row>
        <row r="73">
          <cell r="C73">
            <v>39568</v>
          </cell>
          <cell r="D73">
            <v>8802</v>
          </cell>
          <cell r="E73" t="str">
            <v>A</v>
          </cell>
          <cell r="F73">
            <v>66157776.659999996</v>
          </cell>
          <cell r="G73" t="str">
            <v>8802A</v>
          </cell>
        </row>
        <row r="74">
          <cell r="C74">
            <v>39568</v>
          </cell>
          <cell r="D74">
            <v>8802</v>
          </cell>
          <cell r="E74" t="str">
            <v>B</v>
          </cell>
          <cell r="F74">
            <v>2368022.9900000002</v>
          </cell>
          <cell r="G74" t="str">
            <v>8802B</v>
          </cell>
        </row>
        <row r="75">
          <cell r="C75">
            <v>39568</v>
          </cell>
          <cell r="D75">
            <v>8803</v>
          </cell>
          <cell r="E75" t="str">
            <v>A</v>
          </cell>
          <cell r="F75">
            <v>16609885.84</v>
          </cell>
          <cell r="G75" t="str">
            <v>8803A</v>
          </cell>
        </row>
        <row r="76">
          <cell r="C76">
            <v>39568</v>
          </cell>
          <cell r="D76">
            <v>8805</v>
          </cell>
          <cell r="E76" t="str">
            <v>A</v>
          </cell>
          <cell r="F76">
            <v>6549184.2199999997</v>
          </cell>
          <cell r="G76" t="str">
            <v>8805A</v>
          </cell>
        </row>
        <row r="77">
          <cell r="C77">
            <v>39568</v>
          </cell>
          <cell r="D77">
            <v>8805</v>
          </cell>
          <cell r="E77" t="str">
            <v>C</v>
          </cell>
          <cell r="F77">
            <v>136299.87</v>
          </cell>
          <cell r="G77" t="str">
            <v>8805C</v>
          </cell>
        </row>
        <row r="78">
          <cell r="C78">
            <v>39568</v>
          </cell>
          <cell r="D78">
            <v>8806</v>
          </cell>
          <cell r="E78" t="str">
            <v>A</v>
          </cell>
          <cell r="F78">
            <v>2920241.5</v>
          </cell>
          <cell r="G78" t="str">
            <v>8806A</v>
          </cell>
        </row>
        <row r="79">
          <cell r="C79">
            <v>39568</v>
          </cell>
          <cell r="D79">
            <v>8807</v>
          </cell>
          <cell r="E79" t="str">
            <v>A</v>
          </cell>
          <cell r="F79">
            <v>2295975.44</v>
          </cell>
          <cell r="G79" t="str">
            <v>8807A</v>
          </cell>
        </row>
        <row r="80">
          <cell r="C80">
            <v>39568</v>
          </cell>
          <cell r="D80">
            <v>8808</v>
          </cell>
          <cell r="E80" t="str">
            <v>A</v>
          </cell>
          <cell r="F80">
            <v>357.93</v>
          </cell>
          <cell r="G80" t="str">
            <v>8808A</v>
          </cell>
        </row>
        <row r="81">
          <cell r="C81">
            <v>39568</v>
          </cell>
          <cell r="D81">
            <v>8893</v>
          </cell>
          <cell r="E81" t="str">
            <v>A</v>
          </cell>
          <cell r="F81">
            <v>78495.789999999994</v>
          </cell>
          <cell r="G81" t="str">
            <v>8893A</v>
          </cell>
        </row>
        <row r="82">
          <cell r="C82">
            <v>39568</v>
          </cell>
          <cell r="D82">
            <v>8894</v>
          </cell>
          <cell r="E82" t="str">
            <v>A</v>
          </cell>
          <cell r="F82">
            <v>38813.43</v>
          </cell>
          <cell r="G82" t="str">
            <v>8894A</v>
          </cell>
        </row>
        <row r="83">
          <cell r="C83">
            <v>39568</v>
          </cell>
          <cell r="D83">
            <v>8894</v>
          </cell>
          <cell r="E83" t="str">
            <v>B</v>
          </cell>
          <cell r="F83">
            <v>852923.03</v>
          </cell>
          <cell r="G83" t="str">
            <v>8894B</v>
          </cell>
        </row>
        <row r="84">
          <cell r="C84">
            <v>39507</v>
          </cell>
          <cell r="D84">
            <v>8808</v>
          </cell>
          <cell r="E84" t="str">
            <v>A</v>
          </cell>
          <cell r="F84">
            <v>0</v>
          </cell>
          <cell r="G84" t="str">
            <v>8808A</v>
          </cell>
        </row>
        <row r="85">
          <cell r="F85">
            <v>0</v>
          </cell>
          <cell r="G85">
            <v>0</v>
          </cell>
        </row>
        <row r="86">
          <cell r="F86">
            <v>0</v>
          </cell>
          <cell r="G86">
            <v>0</v>
          </cell>
        </row>
        <row r="87">
          <cell r="F87">
            <v>0</v>
          </cell>
          <cell r="G87">
            <v>0</v>
          </cell>
        </row>
        <row r="88">
          <cell r="F88">
            <v>0</v>
          </cell>
          <cell r="G88">
            <v>0</v>
          </cell>
        </row>
      </sheetData>
      <sheetData sheetId="1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TB"/>
      <sheetName val="Balance Sheet - Normal"/>
      <sheetName val="Balance Sheet - ISP"/>
      <sheetName val="Balance Sheet - EGO"/>
      <sheetName val="BS_CONSOL"/>
      <sheetName val="Cash Flow-Cum"/>
      <sheetName val="Cashflow-Month"/>
      <sheetName val="Assets"/>
      <sheetName val="Sheet1"/>
      <sheetName val="Ratios"/>
      <sheetName val="Bank _Inst_Master"/>
      <sheetName val="Lease"/>
      <sheetName val="RIOTAB2"/>
      <sheetName val="Quoted Debt"/>
      <sheetName val="Bond Prices"/>
      <sheetName val="Sheet3"/>
    </sheetNames>
    <sheetDataSet>
      <sheetData sheetId="0" refreshError="1">
        <row r="1">
          <cell r="A1" t="str">
            <v>Expr1</v>
          </cell>
          <cell r="B1" t="str">
            <v>AC_ACODE1</v>
          </cell>
          <cell r="C1" t="str">
            <v>AC_ACODE3</v>
          </cell>
          <cell r="D1" t="str">
            <v>AC_ACODE2</v>
          </cell>
          <cell r="E1" t="str">
            <v>AC_ACODE4</v>
          </cell>
          <cell r="F1" t="str">
            <v>AC_CATDESC</v>
          </cell>
          <cell r="G1" t="str">
            <v>AC_ITMDESC</v>
          </cell>
          <cell r="H1" t="str">
            <v>AC_DIVDESC</v>
          </cell>
          <cell r="I1" t="str">
            <v>SumOfNET</v>
          </cell>
        </row>
        <row r="2">
          <cell r="A2" t="str">
            <v>109901099</v>
          </cell>
          <cell r="B2" t="str">
            <v>10</v>
          </cell>
          <cell r="C2" t="str">
            <v>010</v>
          </cell>
          <cell r="D2" t="str">
            <v>99</v>
          </cell>
          <cell r="E2" t="str">
            <v>99</v>
          </cell>
          <cell r="F2" t="str">
            <v>Assets</v>
          </cell>
          <cell r="G2" t="str">
            <v>Fixed Assets - Software</v>
          </cell>
          <cell r="H2" t="str">
            <v>Other</v>
          </cell>
          <cell r="I2">
            <v>1149017.47</v>
          </cell>
        </row>
        <row r="3">
          <cell r="A3" t="str">
            <v>109901299</v>
          </cell>
          <cell r="B3" t="str">
            <v>10</v>
          </cell>
          <cell r="C3" t="str">
            <v>012</v>
          </cell>
          <cell r="D3" t="str">
            <v>99</v>
          </cell>
          <cell r="E3" t="str">
            <v>99</v>
          </cell>
          <cell r="F3" t="str">
            <v>Assets</v>
          </cell>
          <cell r="G3" t="str">
            <v>Fixed Assets - Buildings</v>
          </cell>
          <cell r="H3" t="str">
            <v>Other</v>
          </cell>
          <cell r="I3">
            <v>0</v>
          </cell>
        </row>
        <row r="4">
          <cell r="A4" t="str">
            <v>109901399</v>
          </cell>
          <cell r="B4" t="str">
            <v>10</v>
          </cell>
          <cell r="C4" t="str">
            <v>013</v>
          </cell>
          <cell r="D4" t="str">
            <v>99</v>
          </cell>
          <cell r="E4" t="str">
            <v>99</v>
          </cell>
          <cell r="F4" t="str">
            <v>Assets</v>
          </cell>
          <cell r="G4" t="str">
            <v>Fixed Assets - Plant &amp; Machinery</v>
          </cell>
          <cell r="H4" t="str">
            <v>Other</v>
          </cell>
          <cell r="I4">
            <v>480671.66</v>
          </cell>
        </row>
        <row r="5">
          <cell r="A5" t="str">
            <v>101201499</v>
          </cell>
          <cell r="B5" t="str">
            <v>10</v>
          </cell>
          <cell r="C5" t="str">
            <v>014</v>
          </cell>
          <cell r="D5" t="str">
            <v>12</v>
          </cell>
          <cell r="E5" t="str">
            <v>99</v>
          </cell>
          <cell r="F5" t="str">
            <v>Assets</v>
          </cell>
          <cell r="G5" t="str">
            <v>Fixed Assets - Tools &amp; Implements</v>
          </cell>
          <cell r="H5" t="str">
            <v>Engineering R&amp;D</v>
          </cell>
          <cell r="I5">
            <v>129468.79</v>
          </cell>
        </row>
        <row r="6">
          <cell r="A6" t="str">
            <v>103101499</v>
          </cell>
          <cell r="B6" t="str">
            <v>10</v>
          </cell>
          <cell r="C6" t="str">
            <v>014</v>
          </cell>
          <cell r="D6" t="str">
            <v>31</v>
          </cell>
          <cell r="E6" t="str">
            <v>99</v>
          </cell>
          <cell r="F6" t="str">
            <v>Assets</v>
          </cell>
          <cell r="G6" t="str">
            <v>Fixed Assets - Tools &amp; Implements</v>
          </cell>
          <cell r="H6" t="str">
            <v>to be deleted - Engineering opearions</v>
          </cell>
          <cell r="I6">
            <v>64024.2</v>
          </cell>
        </row>
        <row r="7">
          <cell r="A7" t="str">
            <v>109901499</v>
          </cell>
          <cell r="B7" t="str">
            <v>10</v>
          </cell>
          <cell r="C7" t="str">
            <v>014</v>
          </cell>
          <cell r="D7" t="str">
            <v>99</v>
          </cell>
          <cell r="E7" t="str">
            <v>99</v>
          </cell>
          <cell r="F7" t="str">
            <v>Assets</v>
          </cell>
          <cell r="G7" t="str">
            <v>Fixed Assets - Tools &amp; Implements</v>
          </cell>
          <cell r="H7" t="str">
            <v>Other</v>
          </cell>
          <cell r="I7">
            <v>1515048.71</v>
          </cell>
        </row>
        <row r="8">
          <cell r="A8" t="str">
            <v>101101510</v>
          </cell>
          <cell r="B8" t="str">
            <v>10</v>
          </cell>
          <cell r="C8" t="str">
            <v>015</v>
          </cell>
          <cell r="D8" t="str">
            <v>11</v>
          </cell>
          <cell r="E8" t="str">
            <v>10</v>
          </cell>
          <cell r="F8" t="str">
            <v>Assets</v>
          </cell>
          <cell r="G8" t="str">
            <v>Fixed Assets - Furniture &amp; Fittings</v>
          </cell>
          <cell r="H8" t="str">
            <v>Software Development</v>
          </cell>
          <cell r="I8">
            <v>0</v>
          </cell>
        </row>
        <row r="9">
          <cell r="A9" t="str">
            <v>109901599</v>
          </cell>
          <cell r="B9" t="str">
            <v>10</v>
          </cell>
          <cell r="C9" t="str">
            <v>015</v>
          </cell>
          <cell r="D9" t="str">
            <v>99</v>
          </cell>
          <cell r="E9" t="str">
            <v>99</v>
          </cell>
          <cell r="F9" t="str">
            <v>Assets</v>
          </cell>
          <cell r="G9" t="str">
            <v>Fixed Assets - Furniture &amp; Fittings</v>
          </cell>
          <cell r="H9" t="str">
            <v>Other</v>
          </cell>
          <cell r="I9">
            <v>4756717.1900000004</v>
          </cell>
        </row>
        <row r="10">
          <cell r="A10" t="str">
            <v>1010001641</v>
          </cell>
          <cell r="B10" t="str">
            <v>10</v>
          </cell>
          <cell r="C10" t="str">
            <v>016</v>
          </cell>
          <cell r="D10" t="str">
            <v>10</v>
          </cell>
          <cell r="E10" t="str">
            <v>41</v>
          </cell>
          <cell r="F10" t="str">
            <v>Assets</v>
          </cell>
          <cell r="G10" t="str">
            <v>Fixed Assets - Office Equipments</v>
          </cell>
          <cell r="H10" t="str">
            <v>Nations trust Bank</v>
          </cell>
          <cell r="I10">
            <v>0</v>
          </cell>
        </row>
        <row r="11">
          <cell r="A11" t="str">
            <v>1010001652</v>
          </cell>
          <cell r="B11" t="str">
            <v>10</v>
          </cell>
          <cell r="C11" t="str">
            <v>016</v>
          </cell>
          <cell r="D11" t="str">
            <v>10</v>
          </cell>
          <cell r="E11" t="str">
            <v>52</v>
          </cell>
          <cell r="F11" t="str">
            <v>Assets</v>
          </cell>
          <cell r="G11" t="str">
            <v>Fixed Assets - Office Equipments</v>
          </cell>
          <cell r="H11" t="str">
            <v>Nations trust Bank</v>
          </cell>
          <cell r="I11">
            <v>0</v>
          </cell>
        </row>
        <row r="12">
          <cell r="A12" t="str">
            <v>1010001670</v>
          </cell>
          <cell r="B12" t="str">
            <v>10</v>
          </cell>
          <cell r="C12" t="str">
            <v>016</v>
          </cell>
          <cell r="D12" t="str">
            <v>10</v>
          </cell>
          <cell r="E12" t="str">
            <v>70</v>
          </cell>
          <cell r="F12" t="str">
            <v>Assets</v>
          </cell>
          <cell r="G12" t="str">
            <v>Fixed Assets - Office Equipments</v>
          </cell>
          <cell r="H12" t="str">
            <v>Nations trust Bank</v>
          </cell>
          <cell r="I12">
            <v>0</v>
          </cell>
        </row>
        <row r="13">
          <cell r="A13" t="str">
            <v>1010001673</v>
          </cell>
          <cell r="B13" t="str">
            <v>10</v>
          </cell>
          <cell r="C13" t="str">
            <v>016</v>
          </cell>
          <cell r="D13" t="str">
            <v>10</v>
          </cell>
          <cell r="E13" t="str">
            <v>73</v>
          </cell>
          <cell r="F13" t="str">
            <v>Assets</v>
          </cell>
          <cell r="G13" t="str">
            <v>Fixed Assets - Office Equipments</v>
          </cell>
          <cell r="H13" t="str">
            <v>Nations trust Bank</v>
          </cell>
          <cell r="I13">
            <v>0</v>
          </cell>
        </row>
        <row r="14">
          <cell r="A14" t="str">
            <v>1010001676</v>
          </cell>
          <cell r="B14" t="str">
            <v>10</v>
          </cell>
          <cell r="C14" t="str">
            <v>016</v>
          </cell>
          <cell r="D14" t="str">
            <v>10</v>
          </cell>
          <cell r="E14" t="str">
            <v>76</v>
          </cell>
          <cell r="F14" t="str">
            <v>Assets</v>
          </cell>
          <cell r="G14" t="str">
            <v>Fixed Assets - Office Equipments</v>
          </cell>
          <cell r="H14" t="str">
            <v>Nations trust Bank</v>
          </cell>
          <cell r="I14">
            <v>0</v>
          </cell>
        </row>
        <row r="15">
          <cell r="A15" t="str">
            <v>1010001699</v>
          </cell>
          <cell r="B15" t="str">
            <v>10</v>
          </cell>
          <cell r="C15" t="str">
            <v>016</v>
          </cell>
          <cell r="D15" t="str">
            <v>10</v>
          </cell>
          <cell r="E15" t="str">
            <v>99</v>
          </cell>
          <cell r="F15" t="str">
            <v>Assets</v>
          </cell>
          <cell r="G15" t="str">
            <v>Fixed Assets - Office Equipments</v>
          </cell>
          <cell r="H15" t="str">
            <v>Nations trust Bank</v>
          </cell>
          <cell r="I15">
            <v>6382405.2999999998</v>
          </cell>
        </row>
        <row r="16">
          <cell r="A16" t="str">
            <v>1010101699</v>
          </cell>
          <cell r="B16" t="str">
            <v>10</v>
          </cell>
          <cell r="C16" t="str">
            <v>016</v>
          </cell>
          <cell r="D16" t="str">
            <v>10</v>
          </cell>
          <cell r="E16" t="str">
            <v>99</v>
          </cell>
          <cell r="F16" t="str">
            <v>Assets</v>
          </cell>
          <cell r="G16" t="str">
            <v>Fixed Assets - Office Equipments</v>
          </cell>
          <cell r="H16" t="str">
            <v>Kahawatta plantation</v>
          </cell>
          <cell r="I16">
            <v>365768.71</v>
          </cell>
        </row>
        <row r="17">
          <cell r="A17" t="str">
            <v>1010201699</v>
          </cell>
          <cell r="B17" t="str">
            <v>10</v>
          </cell>
          <cell r="C17" t="str">
            <v>016</v>
          </cell>
          <cell r="D17" t="str">
            <v>10</v>
          </cell>
          <cell r="E17" t="str">
            <v>99</v>
          </cell>
          <cell r="F17" t="str">
            <v>Assets</v>
          </cell>
          <cell r="G17" t="str">
            <v>Fixed Assets - Office Equipments</v>
          </cell>
          <cell r="H17" t="str">
            <v>Just in time</v>
          </cell>
          <cell r="I17">
            <v>151028</v>
          </cell>
        </row>
        <row r="18">
          <cell r="A18" t="str">
            <v>1010301699</v>
          </cell>
          <cell r="B18" t="str">
            <v>10</v>
          </cell>
          <cell r="C18" t="str">
            <v>016</v>
          </cell>
          <cell r="D18" t="str">
            <v>10</v>
          </cell>
          <cell r="E18" t="str">
            <v>99</v>
          </cell>
          <cell r="F18" t="str">
            <v>Assets</v>
          </cell>
          <cell r="G18" t="str">
            <v>Fixed Assets - Office Equipments</v>
          </cell>
          <cell r="H18" t="str">
            <v>Lanka Electricity Co Ltd.</v>
          </cell>
          <cell r="I18">
            <v>4429955.95</v>
          </cell>
        </row>
        <row r="19">
          <cell r="A19" t="str">
            <v>1010401699</v>
          </cell>
          <cell r="B19" t="str">
            <v>10</v>
          </cell>
          <cell r="C19" t="str">
            <v>016</v>
          </cell>
          <cell r="D19" t="str">
            <v>10</v>
          </cell>
          <cell r="E19" t="str">
            <v>99</v>
          </cell>
          <cell r="F19" t="str">
            <v>Assets</v>
          </cell>
          <cell r="G19" t="str">
            <v>Fixed Assets - Office Equipments</v>
          </cell>
          <cell r="H19" t="str">
            <v>Logical systems</v>
          </cell>
          <cell r="I19">
            <v>161731.28</v>
          </cell>
        </row>
        <row r="20">
          <cell r="A20" t="str">
            <v>1010501699</v>
          </cell>
          <cell r="B20" t="str">
            <v>10</v>
          </cell>
          <cell r="C20" t="str">
            <v>016</v>
          </cell>
          <cell r="D20" t="str">
            <v>10</v>
          </cell>
          <cell r="E20" t="str">
            <v>99</v>
          </cell>
          <cell r="F20" t="str">
            <v>Assets</v>
          </cell>
          <cell r="G20" t="str">
            <v>Fixed Assets - Office Equipments</v>
          </cell>
          <cell r="H20" t="str">
            <v>Skynet Technologies</v>
          </cell>
          <cell r="I20">
            <v>161731.28</v>
          </cell>
        </row>
        <row r="21">
          <cell r="A21" t="str">
            <v>1010601699</v>
          </cell>
          <cell r="B21" t="str">
            <v>10</v>
          </cell>
          <cell r="C21" t="str">
            <v>016</v>
          </cell>
          <cell r="D21" t="str">
            <v>10</v>
          </cell>
          <cell r="E21" t="str">
            <v>99</v>
          </cell>
          <cell r="F21" t="str">
            <v>Assets</v>
          </cell>
          <cell r="G21" t="str">
            <v>Fixed Assets - Office Equipments</v>
          </cell>
          <cell r="H21" t="str">
            <v>Ceylon Electricty Board</v>
          </cell>
          <cell r="I21">
            <v>2947534.29</v>
          </cell>
        </row>
        <row r="22">
          <cell r="A22" t="str">
            <v>1010701699</v>
          </cell>
          <cell r="B22" t="str">
            <v>10</v>
          </cell>
          <cell r="C22" t="str">
            <v>016</v>
          </cell>
          <cell r="D22" t="str">
            <v>10</v>
          </cell>
          <cell r="E22" t="str">
            <v>99</v>
          </cell>
          <cell r="F22" t="str">
            <v>Assets</v>
          </cell>
          <cell r="G22" t="str">
            <v>Fixed Assets - Office Equipments</v>
          </cell>
          <cell r="H22" t="str">
            <v>Ranmalu Fashions</v>
          </cell>
          <cell r="I22">
            <v>72821.64</v>
          </cell>
        </row>
        <row r="23">
          <cell r="A23" t="str">
            <v>1010801699</v>
          </cell>
          <cell r="B23" t="str">
            <v>10</v>
          </cell>
          <cell r="C23" t="str">
            <v>016</v>
          </cell>
          <cell r="D23" t="str">
            <v>10</v>
          </cell>
          <cell r="E23" t="str">
            <v>99</v>
          </cell>
          <cell r="F23" t="str">
            <v>Assets</v>
          </cell>
          <cell r="G23" t="str">
            <v>Fixed Assets - Office Equipments</v>
          </cell>
          <cell r="H23" t="str">
            <v>E-net Marketing (Pte) Limited</v>
          </cell>
          <cell r="I23">
            <v>161731.28</v>
          </cell>
        </row>
        <row r="24">
          <cell r="A24" t="str">
            <v>1010901699</v>
          </cell>
          <cell r="B24" t="str">
            <v>10</v>
          </cell>
          <cell r="C24" t="str">
            <v>016</v>
          </cell>
          <cell r="D24" t="str">
            <v>10</v>
          </cell>
          <cell r="E24" t="str">
            <v>99</v>
          </cell>
          <cell r="F24" t="str">
            <v>Assets</v>
          </cell>
          <cell r="G24" t="str">
            <v>Fixed Assets - Office Equipments</v>
          </cell>
          <cell r="H24" t="str">
            <v>Phoniex</v>
          </cell>
          <cell r="I24">
            <v>72821.97</v>
          </cell>
        </row>
        <row r="25">
          <cell r="A25" t="str">
            <v>101101610</v>
          </cell>
          <cell r="B25" t="str">
            <v>10</v>
          </cell>
          <cell r="C25" t="str">
            <v>016</v>
          </cell>
          <cell r="D25" t="str">
            <v>11</v>
          </cell>
          <cell r="E25" t="str">
            <v>10</v>
          </cell>
          <cell r="F25" t="str">
            <v>Assets</v>
          </cell>
          <cell r="G25" t="str">
            <v>Fixed Assets - Office Equipments</v>
          </cell>
          <cell r="H25" t="str">
            <v>Software Development</v>
          </cell>
          <cell r="I25">
            <v>0</v>
          </cell>
        </row>
        <row r="26">
          <cell r="A26" t="str">
            <v>1011001699</v>
          </cell>
          <cell r="B26" t="str">
            <v>10</v>
          </cell>
          <cell r="C26" t="str">
            <v>016</v>
          </cell>
          <cell r="D26" t="str">
            <v>11</v>
          </cell>
          <cell r="E26" t="str">
            <v>99</v>
          </cell>
          <cell r="F26" t="str">
            <v>Assets</v>
          </cell>
          <cell r="G26" t="str">
            <v>Fixed Assets - Office Equipments</v>
          </cell>
          <cell r="H26" t="str">
            <v>Sampath Bank</v>
          </cell>
          <cell r="I26">
            <v>744369.98</v>
          </cell>
        </row>
        <row r="27">
          <cell r="A27" t="str">
            <v>1011101699</v>
          </cell>
          <cell r="B27" t="str">
            <v>10</v>
          </cell>
          <cell r="C27" t="str">
            <v>016</v>
          </cell>
          <cell r="D27" t="str">
            <v>11</v>
          </cell>
          <cell r="E27" t="str">
            <v>99</v>
          </cell>
          <cell r="F27" t="str">
            <v>Assets</v>
          </cell>
          <cell r="G27" t="str">
            <v>Fixed Assets - Office Equipments</v>
          </cell>
          <cell r="H27" t="str">
            <v>Suntel ( Secondary Area Project )</v>
          </cell>
          <cell r="I27">
            <v>4899425.17</v>
          </cell>
        </row>
        <row r="28">
          <cell r="A28" t="str">
            <v>1011201699</v>
          </cell>
          <cell r="B28" t="str">
            <v>10</v>
          </cell>
          <cell r="C28" t="str">
            <v>016</v>
          </cell>
          <cell r="D28" t="str">
            <v>11</v>
          </cell>
          <cell r="E28" t="str">
            <v>99</v>
          </cell>
          <cell r="F28" t="str">
            <v>Assets</v>
          </cell>
          <cell r="G28" t="str">
            <v>Fixed Assets - Office Equipments</v>
          </cell>
          <cell r="H28" t="str">
            <v>Heenatigala Garments</v>
          </cell>
          <cell r="I28">
            <v>1952750.58</v>
          </cell>
        </row>
        <row r="29">
          <cell r="A29" t="str">
            <v>1011301699</v>
          </cell>
          <cell r="B29" t="str">
            <v>10</v>
          </cell>
          <cell r="C29" t="str">
            <v>016</v>
          </cell>
          <cell r="D29" t="str">
            <v>11</v>
          </cell>
          <cell r="E29" t="str">
            <v>99</v>
          </cell>
          <cell r="F29" t="str">
            <v>Assets</v>
          </cell>
          <cell r="G29" t="str">
            <v>Fixed Assets - Office Equipments</v>
          </cell>
          <cell r="H29" t="str">
            <v>Millenium Information Technology</v>
          </cell>
          <cell r="I29">
            <v>134416.67000000001</v>
          </cell>
        </row>
        <row r="30">
          <cell r="A30" t="str">
            <v>1011401699</v>
          </cell>
          <cell r="B30" t="str">
            <v>10</v>
          </cell>
          <cell r="C30" t="str">
            <v>016</v>
          </cell>
          <cell r="D30" t="str">
            <v>11</v>
          </cell>
          <cell r="E30" t="str">
            <v>99</v>
          </cell>
          <cell r="F30" t="str">
            <v>Assets</v>
          </cell>
          <cell r="G30" t="str">
            <v>Fixed Assets - Office Equipments</v>
          </cell>
          <cell r="H30" t="str">
            <v xml:space="preserve">Lanka Internet </v>
          </cell>
          <cell r="I30">
            <v>307200.02</v>
          </cell>
        </row>
        <row r="31">
          <cell r="A31" t="str">
            <v>1011601699</v>
          </cell>
          <cell r="B31" t="str">
            <v>10</v>
          </cell>
          <cell r="C31" t="str">
            <v>016</v>
          </cell>
          <cell r="D31" t="str">
            <v>11</v>
          </cell>
          <cell r="E31" t="str">
            <v>99</v>
          </cell>
          <cell r="F31" t="str">
            <v>Assets</v>
          </cell>
          <cell r="G31" t="str">
            <v>Fixed Assets - Office Equipments</v>
          </cell>
          <cell r="H31" t="str">
            <v>Norwegian Embassy</v>
          </cell>
          <cell r="I31">
            <v>247006.7</v>
          </cell>
        </row>
        <row r="32">
          <cell r="A32" t="str">
            <v>1011701699</v>
          </cell>
          <cell r="B32" t="str">
            <v>10</v>
          </cell>
          <cell r="C32" t="str">
            <v>016</v>
          </cell>
          <cell r="D32" t="str">
            <v>11</v>
          </cell>
          <cell r="E32" t="str">
            <v>99</v>
          </cell>
          <cell r="F32" t="str">
            <v>Assets</v>
          </cell>
          <cell r="G32" t="str">
            <v>Fixed Assets - Office Equipments</v>
          </cell>
          <cell r="H32" t="str">
            <v>Grain Elevators</v>
          </cell>
          <cell r="I32">
            <v>600796.82999999996</v>
          </cell>
        </row>
        <row r="33">
          <cell r="A33" t="str">
            <v>1011801699</v>
          </cell>
          <cell r="B33" t="str">
            <v>10</v>
          </cell>
          <cell r="C33" t="str">
            <v>016</v>
          </cell>
          <cell r="D33" t="str">
            <v>11</v>
          </cell>
          <cell r="E33" t="str">
            <v>99</v>
          </cell>
          <cell r="F33" t="str">
            <v>Assets</v>
          </cell>
          <cell r="G33" t="str">
            <v>Fixed Assets - Office Equipments</v>
          </cell>
          <cell r="H33" t="str">
            <v>Loadstar</v>
          </cell>
          <cell r="I33">
            <v>712153.88</v>
          </cell>
        </row>
        <row r="34">
          <cell r="A34" t="str">
            <v>1011901699</v>
          </cell>
          <cell r="B34" t="str">
            <v>10</v>
          </cell>
          <cell r="C34" t="str">
            <v>016</v>
          </cell>
          <cell r="D34" t="str">
            <v>11</v>
          </cell>
          <cell r="E34" t="str">
            <v>99</v>
          </cell>
          <cell r="F34" t="str">
            <v>Assets</v>
          </cell>
          <cell r="G34" t="str">
            <v>Fixed Assets - Office Equipments</v>
          </cell>
          <cell r="H34" t="str">
            <v>Baurs &amp; Co.</v>
          </cell>
          <cell r="I34">
            <v>412114.59</v>
          </cell>
        </row>
        <row r="35">
          <cell r="A35" t="str">
            <v>1012001699</v>
          </cell>
          <cell r="B35" t="str">
            <v>10</v>
          </cell>
          <cell r="C35" t="str">
            <v>016</v>
          </cell>
          <cell r="D35" t="str">
            <v>12</v>
          </cell>
          <cell r="E35" t="str">
            <v>99</v>
          </cell>
          <cell r="F35" t="str">
            <v>Assets</v>
          </cell>
          <cell r="G35" t="str">
            <v>Fixed Assets - Office Equipments</v>
          </cell>
          <cell r="H35" t="str">
            <v>Jinadasa Garments</v>
          </cell>
          <cell r="I35">
            <v>689018.08</v>
          </cell>
        </row>
        <row r="36">
          <cell r="A36" t="str">
            <v>1012101699</v>
          </cell>
          <cell r="B36" t="str">
            <v>10</v>
          </cell>
          <cell r="C36" t="str">
            <v>016</v>
          </cell>
          <cell r="D36" t="str">
            <v>12</v>
          </cell>
          <cell r="E36" t="str">
            <v>99</v>
          </cell>
          <cell r="F36" t="str">
            <v>Assets</v>
          </cell>
          <cell r="G36" t="str">
            <v>Fixed Assets - Office Equipments</v>
          </cell>
          <cell r="H36" t="str">
            <v>Abance Pvt Limited  - WAN</v>
          </cell>
          <cell r="I36">
            <v>67003.350000000006</v>
          </cell>
        </row>
        <row r="37">
          <cell r="A37" t="str">
            <v>1012201699</v>
          </cell>
          <cell r="B37" t="str">
            <v>10</v>
          </cell>
          <cell r="C37" t="str">
            <v>016</v>
          </cell>
          <cell r="D37" t="str">
            <v>12</v>
          </cell>
          <cell r="E37" t="str">
            <v>99</v>
          </cell>
          <cell r="F37" t="str">
            <v>Assets</v>
          </cell>
          <cell r="G37" t="str">
            <v>Fixed Assets - Office Equipments</v>
          </cell>
          <cell r="H37" t="str">
            <v>Satellite Link - Madapatha</v>
          </cell>
          <cell r="I37">
            <v>35295.550000000003</v>
          </cell>
        </row>
        <row r="38">
          <cell r="A38" t="str">
            <v>1012401699</v>
          </cell>
          <cell r="B38" t="str">
            <v>10</v>
          </cell>
          <cell r="C38" t="str">
            <v>016</v>
          </cell>
          <cell r="D38" t="str">
            <v>12</v>
          </cell>
          <cell r="E38" t="str">
            <v>99</v>
          </cell>
          <cell r="F38" t="str">
            <v>Assets</v>
          </cell>
          <cell r="G38" t="str">
            <v>Fixed Assets - Office Equipments</v>
          </cell>
          <cell r="H38" t="str">
            <v>Forbes &amp; Walkers</v>
          </cell>
          <cell r="I38">
            <v>872691.54</v>
          </cell>
        </row>
        <row r="39">
          <cell r="A39" t="str">
            <v>1012501699</v>
          </cell>
          <cell r="B39" t="str">
            <v>10</v>
          </cell>
          <cell r="C39" t="str">
            <v>016</v>
          </cell>
          <cell r="D39" t="str">
            <v>12</v>
          </cell>
          <cell r="E39" t="str">
            <v>99</v>
          </cell>
          <cell r="F39" t="str">
            <v>Assets</v>
          </cell>
          <cell r="G39" t="str">
            <v>Fixed Assets - Office Equipments</v>
          </cell>
          <cell r="H39" t="str">
            <v>AJS Apparels</v>
          </cell>
          <cell r="I39">
            <v>392578.8</v>
          </cell>
        </row>
        <row r="40">
          <cell r="A40" t="str">
            <v>1012601699</v>
          </cell>
          <cell r="B40" t="str">
            <v>10</v>
          </cell>
          <cell r="C40" t="str">
            <v>016</v>
          </cell>
          <cell r="D40" t="str">
            <v>12</v>
          </cell>
          <cell r="E40" t="str">
            <v>99</v>
          </cell>
          <cell r="F40" t="str">
            <v>Assets</v>
          </cell>
          <cell r="G40" t="str">
            <v>Fixed Assets - Office Equipments</v>
          </cell>
          <cell r="H40" t="str">
            <v>Swiss Biogenics Ltd</v>
          </cell>
          <cell r="I40">
            <v>232000.75</v>
          </cell>
        </row>
        <row r="41">
          <cell r="A41" t="str">
            <v>1012701699</v>
          </cell>
          <cell r="B41" t="str">
            <v>10</v>
          </cell>
          <cell r="C41" t="str">
            <v>016</v>
          </cell>
          <cell r="D41" t="str">
            <v>12</v>
          </cell>
          <cell r="E41" t="str">
            <v>99</v>
          </cell>
          <cell r="F41" t="str">
            <v>Assets</v>
          </cell>
          <cell r="G41" t="str">
            <v>Fixed Assets - Office Equipments</v>
          </cell>
          <cell r="H41" t="str">
            <v>Sumithra  Garments</v>
          </cell>
          <cell r="I41">
            <v>848144.76</v>
          </cell>
        </row>
        <row r="42">
          <cell r="A42" t="str">
            <v>1012801699</v>
          </cell>
          <cell r="B42" t="str">
            <v>10</v>
          </cell>
          <cell r="C42" t="str">
            <v>016</v>
          </cell>
          <cell r="D42" t="str">
            <v>12</v>
          </cell>
          <cell r="E42" t="str">
            <v>99</v>
          </cell>
          <cell r="F42" t="str">
            <v>Assets</v>
          </cell>
          <cell r="G42" t="str">
            <v>Fixed Assets - Office Equipments</v>
          </cell>
          <cell r="H42" t="str">
            <v>Merc Bank</v>
          </cell>
          <cell r="I42">
            <v>940068.15</v>
          </cell>
        </row>
        <row r="43">
          <cell r="A43" t="str">
            <v>1012901699</v>
          </cell>
          <cell r="B43" t="str">
            <v>10</v>
          </cell>
          <cell r="C43" t="str">
            <v>016</v>
          </cell>
          <cell r="D43" t="str">
            <v>12</v>
          </cell>
          <cell r="E43" t="str">
            <v>99</v>
          </cell>
          <cell r="F43" t="str">
            <v>Assets</v>
          </cell>
          <cell r="G43" t="str">
            <v>Fixed Assets - Office Equipments</v>
          </cell>
          <cell r="H43" t="str">
            <v>Peoples Leasing Company Ltd</v>
          </cell>
          <cell r="I43">
            <v>1781164.36</v>
          </cell>
        </row>
        <row r="44">
          <cell r="A44" t="str">
            <v>101301624</v>
          </cell>
          <cell r="B44" t="str">
            <v>10</v>
          </cell>
          <cell r="C44" t="str">
            <v>016</v>
          </cell>
          <cell r="D44" t="str">
            <v>13</v>
          </cell>
          <cell r="E44" t="str">
            <v>24</v>
          </cell>
          <cell r="F44" t="str">
            <v>Assets</v>
          </cell>
          <cell r="G44" t="str">
            <v>Fixed Assets - Office Equipments</v>
          </cell>
          <cell r="H44" t="str">
            <v>Engineering-OS Support</v>
          </cell>
          <cell r="I44">
            <v>0</v>
          </cell>
        </row>
        <row r="45">
          <cell r="A45" t="str">
            <v>101301625</v>
          </cell>
          <cell r="B45" t="str">
            <v>10</v>
          </cell>
          <cell r="C45" t="str">
            <v>016</v>
          </cell>
          <cell r="D45" t="str">
            <v>13</v>
          </cell>
          <cell r="E45" t="str">
            <v>25</v>
          </cell>
          <cell r="F45" t="str">
            <v>Assets</v>
          </cell>
          <cell r="G45" t="str">
            <v>Fixed Assets - Office Equipments</v>
          </cell>
          <cell r="H45" t="str">
            <v>Engineering-OS Support</v>
          </cell>
          <cell r="I45">
            <v>49399.57</v>
          </cell>
        </row>
        <row r="46">
          <cell r="A46" t="str">
            <v>101301630</v>
          </cell>
          <cell r="B46" t="str">
            <v>10</v>
          </cell>
          <cell r="C46" t="str">
            <v>016</v>
          </cell>
          <cell r="D46" t="str">
            <v>13</v>
          </cell>
          <cell r="E46" t="str">
            <v>30</v>
          </cell>
          <cell r="F46" t="str">
            <v>Assets</v>
          </cell>
          <cell r="G46" t="str">
            <v>Fixed Assets - Office Equipments</v>
          </cell>
          <cell r="H46" t="str">
            <v>Engineering-OS Support</v>
          </cell>
          <cell r="I46">
            <v>0</v>
          </cell>
        </row>
        <row r="47">
          <cell r="A47" t="str">
            <v>1013001699</v>
          </cell>
          <cell r="B47" t="str">
            <v>10</v>
          </cell>
          <cell r="C47" t="str">
            <v>016</v>
          </cell>
          <cell r="D47" t="str">
            <v>13</v>
          </cell>
          <cell r="E47" t="str">
            <v>99</v>
          </cell>
          <cell r="F47" t="str">
            <v>Assets</v>
          </cell>
          <cell r="G47" t="str">
            <v>Fixed Assets - Office Equipments</v>
          </cell>
          <cell r="H47" t="str">
            <v>Managed Services ( ADB Project )</v>
          </cell>
          <cell r="I47">
            <v>23750564.02</v>
          </cell>
        </row>
        <row r="48">
          <cell r="A48" t="str">
            <v>1013101699</v>
          </cell>
          <cell r="B48" t="str">
            <v>10</v>
          </cell>
          <cell r="C48" t="str">
            <v>016</v>
          </cell>
          <cell r="D48" t="str">
            <v>13</v>
          </cell>
          <cell r="E48" t="str">
            <v>99</v>
          </cell>
          <cell r="F48" t="str">
            <v>Assets</v>
          </cell>
          <cell r="G48" t="str">
            <v>Fixed Assets - Office Equipments</v>
          </cell>
          <cell r="H48" t="str">
            <v>LECO-Laser Bit Project</v>
          </cell>
          <cell r="I48">
            <v>1005376.11</v>
          </cell>
        </row>
        <row r="49">
          <cell r="A49" t="str">
            <v>1013301699</v>
          </cell>
          <cell r="B49" t="str">
            <v>10</v>
          </cell>
          <cell r="C49" t="str">
            <v>016</v>
          </cell>
          <cell r="D49" t="str">
            <v>13</v>
          </cell>
          <cell r="E49" t="str">
            <v>99</v>
          </cell>
          <cell r="F49" t="str">
            <v>Assets</v>
          </cell>
          <cell r="G49" t="str">
            <v>Fixed Assets - Office Equipments</v>
          </cell>
          <cell r="H49" t="str">
            <v>J.L. Morisons</v>
          </cell>
          <cell r="I49">
            <v>350118.8</v>
          </cell>
        </row>
        <row r="50">
          <cell r="A50" t="str">
            <v>1013401699</v>
          </cell>
          <cell r="B50" t="str">
            <v>10</v>
          </cell>
          <cell r="C50" t="str">
            <v>016</v>
          </cell>
          <cell r="D50" t="str">
            <v>13</v>
          </cell>
          <cell r="E50" t="str">
            <v>99</v>
          </cell>
          <cell r="F50" t="str">
            <v>Assets</v>
          </cell>
          <cell r="G50" t="str">
            <v>Fixed Assets - Office Equipments</v>
          </cell>
          <cell r="H50" t="str">
            <v>DPMCE Voice Project</v>
          </cell>
          <cell r="I50">
            <v>2415212.33</v>
          </cell>
        </row>
        <row r="51">
          <cell r="A51" t="str">
            <v>1013501699</v>
          </cell>
          <cell r="B51" t="str">
            <v>10</v>
          </cell>
          <cell r="C51" t="str">
            <v>016</v>
          </cell>
          <cell r="D51" t="str">
            <v>13</v>
          </cell>
          <cell r="E51" t="str">
            <v>99</v>
          </cell>
          <cell r="F51" t="str">
            <v>Assets</v>
          </cell>
          <cell r="G51" t="str">
            <v>Fixed Assets - Office Equipments</v>
          </cell>
          <cell r="H51" t="str">
            <v>Lanka Oris Insurance Brokers  Ltd</v>
          </cell>
          <cell r="I51">
            <v>249980</v>
          </cell>
        </row>
        <row r="52">
          <cell r="A52" t="str">
            <v>1013601699</v>
          </cell>
          <cell r="B52" t="str">
            <v>10</v>
          </cell>
          <cell r="C52" t="str">
            <v>016</v>
          </cell>
          <cell r="D52" t="str">
            <v>13</v>
          </cell>
          <cell r="E52" t="str">
            <v>99</v>
          </cell>
          <cell r="F52" t="str">
            <v>Assets</v>
          </cell>
          <cell r="G52" t="str">
            <v>Fixed Assets - Office Equipments</v>
          </cell>
          <cell r="H52" t="str">
            <v>Cargills Quality Foods</v>
          </cell>
          <cell r="I52">
            <v>742759.49</v>
          </cell>
        </row>
        <row r="53">
          <cell r="A53" t="str">
            <v>1013801699</v>
          </cell>
          <cell r="B53" t="str">
            <v>10</v>
          </cell>
          <cell r="C53" t="str">
            <v>016</v>
          </cell>
          <cell r="D53" t="str">
            <v>13</v>
          </cell>
          <cell r="E53" t="str">
            <v>99</v>
          </cell>
          <cell r="F53" t="str">
            <v>Assets</v>
          </cell>
          <cell r="G53" t="str">
            <v>Fixed Assets - Office Equipments</v>
          </cell>
          <cell r="H53" t="str">
            <v>VGK- Matara</v>
          </cell>
          <cell r="I53">
            <v>443579.58</v>
          </cell>
        </row>
        <row r="54">
          <cell r="A54" t="str">
            <v>1013901699</v>
          </cell>
          <cell r="B54" t="str">
            <v>10</v>
          </cell>
          <cell r="C54" t="str">
            <v>016</v>
          </cell>
          <cell r="D54" t="str">
            <v>13</v>
          </cell>
          <cell r="E54" t="str">
            <v>99</v>
          </cell>
          <cell r="F54" t="str">
            <v>Assets</v>
          </cell>
          <cell r="G54" t="str">
            <v>Fixed Assets - Office Equipments</v>
          </cell>
          <cell r="H54" t="str">
            <v>Merchant Credit of Sri Lanka Ltd.</v>
          </cell>
          <cell r="I54">
            <v>13420.89</v>
          </cell>
        </row>
        <row r="55">
          <cell r="A55" t="str">
            <v>101401630</v>
          </cell>
          <cell r="B55" t="str">
            <v>10</v>
          </cell>
          <cell r="C55" t="str">
            <v>016</v>
          </cell>
          <cell r="D55" t="str">
            <v>14</v>
          </cell>
          <cell r="E55" t="str">
            <v>30</v>
          </cell>
          <cell r="F55" t="str">
            <v>Assets</v>
          </cell>
          <cell r="G55" t="str">
            <v>Fixed Assets - Office Equipments</v>
          </cell>
          <cell r="H55" t="str">
            <v>Engineering-Operations</v>
          </cell>
          <cell r="I55">
            <v>0</v>
          </cell>
        </row>
        <row r="56">
          <cell r="A56" t="str">
            <v>1014001699</v>
          </cell>
          <cell r="B56" t="str">
            <v>10</v>
          </cell>
          <cell r="C56" t="str">
            <v>016</v>
          </cell>
          <cell r="D56" t="str">
            <v>14</v>
          </cell>
          <cell r="E56" t="str">
            <v>99</v>
          </cell>
          <cell r="F56" t="str">
            <v>Assets</v>
          </cell>
          <cell r="G56" t="str">
            <v>Fixed Assets - Office Equipments</v>
          </cell>
          <cell r="H56" t="str">
            <v>Swarna Mahal</v>
          </cell>
          <cell r="I56">
            <v>288717.43</v>
          </cell>
        </row>
        <row r="57">
          <cell r="A57" t="str">
            <v>1014101699</v>
          </cell>
          <cell r="B57" t="str">
            <v>10</v>
          </cell>
          <cell r="C57" t="str">
            <v>016</v>
          </cell>
          <cell r="D57" t="str">
            <v>14</v>
          </cell>
          <cell r="E57" t="str">
            <v>99</v>
          </cell>
          <cell r="F57" t="str">
            <v>Assets</v>
          </cell>
          <cell r="G57" t="str">
            <v>Fixed Assets - Office Equipments</v>
          </cell>
          <cell r="H57" t="str">
            <v>Laugh GAS</v>
          </cell>
          <cell r="I57">
            <v>93049.37</v>
          </cell>
        </row>
        <row r="58">
          <cell r="A58" t="str">
            <v>1014201699</v>
          </cell>
          <cell r="B58" t="str">
            <v>10</v>
          </cell>
          <cell r="C58" t="str">
            <v>016</v>
          </cell>
          <cell r="D58" t="str">
            <v>14</v>
          </cell>
          <cell r="E58" t="str">
            <v>99</v>
          </cell>
          <cell r="F58" t="str">
            <v>Assets</v>
          </cell>
          <cell r="G58" t="str">
            <v>Fixed Assets - Office Equipments</v>
          </cell>
          <cell r="H58" t="str">
            <v>THOMAS COOK</v>
          </cell>
          <cell r="I58">
            <v>67608.960000000006</v>
          </cell>
        </row>
        <row r="59">
          <cell r="A59" t="str">
            <v>1014301699</v>
          </cell>
          <cell r="B59" t="str">
            <v>10</v>
          </cell>
          <cell r="C59" t="str">
            <v>016</v>
          </cell>
          <cell r="D59" t="str">
            <v>14</v>
          </cell>
          <cell r="E59" t="str">
            <v>99</v>
          </cell>
          <cell r="F59" t="str">
            <v>Assets</v>
          </cell>
          <cell r="G59" t="str">
            <v>Fixed Assets - Office Equipments</v>
          </cell>
          <cell r="H59" t="str">
            <v>Pership</v>
          </cell>
          <cell r="I59">
            <v>116039.79</v>
          </cell>
        </row>
        <row r="60">
          <cell r="A60" t="str">
            <v>1014401699</v>
          </cell>
          <cell r="B60" t="str">
            <v>10</v>
          </cell>
          <cell r="C60" t="str">
            <v>016</v>
          </cell>
          <cell r="D60" t="str">
            <v>14</v>
          </cell>
          <cell r="E60" t="str">
            <v>99</v>
          </cell>
          <cell r="F60" t="str">
            <v>Assets</v>
          </cell>
          <cell r="G60" t="str">
            <v>Fixed Assets - Office Equipments</v>
          </cell>
          <cell r="H60" t="str">
            <v>VERTICO - Padukka</v>
          </cell>
          <cell r="I60">
            <v>15712.22</v>
          </cell>
        </row>
        <row r="61">
          <cell r="A61" t="str">
            <v>1014501699</v>
          </cell>
          <cell r="B61" t="str">
            <v>10</v>
          </cell>
          <cell r="C61" t="str">
            <v>016</v>
          </cell>
          <cell r="D61" t="str">
            <v>14</v>
          </cell>
          <cell r="E61" t="str">
            <v>99</v>
          </cell>
          <cell r="F61" t="str">
            <v>Assets</v>
          </cell>
          <cell r="G61" t="str">
            <v>Fixed Assets - Office Equipments</v>
          </cell>
          <cell r="H61" t="str">
            <v>IRIS</v>
          </cell>
          <cell r="I61">
            <v>15925.69</v>
          </cell>
        </row>
        <row r="62">
          <cell r="A62" t="str">
            <v>1014601699</v>
          </cell>
          <cell r="B62" t="str">
            <v>10</v>
          </cell>
          <cell r="C62" t="str">
            <v>016</v>
          </cell>
          <cell r="D62" t="str">
            <v>14</v>
          </cell>
          <cell r="E62" t="str">
            <v>99</v>
          </cell>
          <cell r="F62" t="str">
            <v>Assets</v>
          </cell>
          <cell r="G62" t="str">
            <v>Fixed Assets - Office Equipments</v>
          </cell>
          <cell r="H62" t="str">
            <v>DAMRO HOLDINGS</v>
          </cell>
          <cell r="I62">
            <v>419657.28</v>
          </cell>
        </row>
        <row r="63">
          <cell r="A63" t="str">
            <v>1014701699</v>
          </cell>
          <cell r="B63" t="str">
            <v>10</v>
          </cell>
          <cell r="C63" t="str">
            <v>016</v>
          </cell>
          <cell r="D63" t="str">
            <v>14</v>
          </cell>
          <cell r="E63" t="str">
            <v>99</v>
          </cell>
          <cell r="F63" t="str">
            <v>Assets</v>
          </cell>
          <cell r="G63" t="str">
            <v>Fixed Assets - Office Equipments</v>
          </cell>
          <cell r="H63" t="str">
            <v>UNION ASSURANCE</v>
          </cell>
          <cell r="I63">
            <v>15925.69</v>
          </cell>
        </row>
        <row r="64">
          <cell r="A64" t="str">
            <v>1014801699</v>
          </cell>
          <cell r="B64" t="str">
            <v>10</v>
          </cell>
          <cell r="C64" t="str">
            <v>016</v>
          </cell>
          <cell r="D64" t="str">
            <v>14</v>
          </cell>
          <cell r="E64" t="str">
            <v>99</v>
          </cell>
          <cell r="F64" t="str">
            <v>Assets</v>
          </cell>
          <cell r="G64" t="str">
            <v>Fixed Assets - Office Equipments</v>
          </cell>
          <cell r="H64" t="str">
            <v>UNDP</v>
          </cell>
          <cell r="I64">
            <v>111479.88</v>
          </cell>
        </row>
        <row r="65">
          <cell r="A65" t="str">
            <v>1014901699</v>
          </cell>
          <cell r="B65" t="str">
            <v>10</v>
          </cell>
          <cell r="C65" t="str">
            <v>016</v>
          </cell>
          <cell r="D65" t="str">
            <v>14</v>
          </cell>
          <cell r="E65" t="str">
            <v>99</v>
          </cell>
          <cell r="F65" t="str">
            <v>Assets</v>
          </cell>
          <cell r="G65" t="str">
            <v>Fixed Assets - Office Equipments</v>
          </cell>
          <cell r="H65" t="str">
            <v>LION BREWERIES</v>
          </cell>
          <cell r="I65">
            <v>261975</v>
          </cell>
        </row>
        <row r="66">
          <cell r="A66" t="str">
            <v>101501699</v>
          </cell>
          <cell r="B66" t="str">
            <v>10</v>
          </cell>
          <cell r="C66" t="str">
            <v>016</v>
          </cell>
          <cell r="D66" t="str">
            <v>15</v>
          </cell>
          <cell r="E66" t="str">
            <v>99</v>
          </cell>
          <cell r="F66" t="str">
            <v>Assets</v>
          </cell>
          <cell r="G66" t="str">
            <v>Fixed Assets - Office Equipments</v>
          </cell>
          <cell r="H66" t="str">
            <v>ISP Operations</v>
          </cell>
          <cell r="I66">
            <v>3116542.3</v>
          </cell>
        </row>
        <row r="67">
          <cell r="A67" t="str">
            <v>1015101699</v>
          </cell>
          <cell r="B67" t="str">
            <v>10</v>
          </cell>
          <cell r="C67" t="str">
            <v>016</v>
          </cell>
          <cell r="D67" t="str">
            <v>15</v>
          </cell>
          <cell r="E67" t="str">
            <v>99</v>
          </cell>
          <cell r="F67" t="str">
            <v>Assets</v>
          </cell>
          <cell r="G67" t="str">
            <v>Fixed Assets - Office Equipments</v>
          </cell>
          <cell r="H67" t="str">
            <v>SERENDIB LEASURE MANAGEMENT (PVT) LTD</v>
          </cell>
          <cell r="I67">
            <v>441851.4</v>
          </cell>
        </row>
        <row r="68">
          <cell r="A68" t="str">
            <v>1015201699</v>
          </cell>
          <cell r="B68" t="str">
            <v>10</v>
          </cell>
          <cell r="C68" t="str">
            <v>016</v>
          </cell>
          <cell r="D68" t="str">
            <v>15</v>
          </cell>
          <cell r="E68" t="str">
            <v>99</v>
          </cell>
          <cell r="F68" t="str">
            <v>Assets</v>
          </cell>
          <cell r="G68" t="str">
            <v>Fixed Assets - Office Equipments</v>
          </cell>
          <cell r="H68" t="str">
            <v>FRENCH CORNER</v>
          </cell>
          <cell r="I68">
            <v>103081.64</v>
          </cell>
        </row>
        <row r="69">
          <cell r="A69" t="str">
            <v>1015301699</v>
          </cell>
          <cell r="B69" t="str">
            <v>10</v>
          </cell>
          <cell r="C69" t="str">
            <v>016</v>
          </cell>
          <cell r="D69" t="str">
            <v>15</v>
          </cell>
          <cell r="E69" t="str">
            <v>99</v>
          </cell>
          <cell r="F69" t="str">
            <v>Assets</v>
          </cell>
          <cell r="G69" t="str">
            <v>Fixed Assets - Office Equipments</v>
          </cell>
          <cell r="H69" t="str">
            <v>DSI SAMSON GROUP</v>
          </cell>
          <cell r="I69">
            <v>172001.72</v>
          </cell>
        </row>
        <row r="70">
          <cell r="A70" t="str">
            <v>104001620</v>
          </cell>
          <cell r="B70" t="str">
            <v>10</v>
          </cell>
          <cell r="C70" t="str">
            <v>016</v>
          </cell>
          <cell r="D70" t="str">
            <v>40</v>
          </cell>
          <cell r="E70" t="str">
            <v>20</v>
          </cell>
          <cell r="F70" t="str">
            <v>Assets</v>
          </cell>
          <cell r="G70" t="str">
            <v>Fixed Assets - Office Equipments</v>
          </cell>
          <cell r="H70" t="str">
            <v>Marketing - Accessories</v>
          </cell>
          <cell r="I70">
            <v>0</v>
          </cell>
        </row>
        <row r="71">
          <cell r="A71" t="str">
            <v>104601699</v>
          </cell>
          <cell r="B71" t="str">
            <v>10</v>
          </cell>
          <cell r="C71" t="str">
            <v>016</v>
          </cell>
          <cell r="D71" t="str">
            <v>46</v>
          </cell>
          <cell r="E71" t="str">
            <v>99</v>
          </cell>
          <cell r="F71" t="str">
            <v>Assets</v>
          </cell>
          <cell r="G71" t="str">
            <v>Fixed Assets - Office Equipments</v>
          </cell>
          <cell r="H71" t="str">
            <v>Lanka Orix Factors Co. Ltd.</v>
          </cell>
          <cell r="I71">
            <v>134247.01</v>
          </cell>
        </row>
        <row r="72">
          <cell r="A72" t="str">
            <v>107101641</v>
          </cell>
          <cell r="B72" t="str">
            <v>10</v>
          </cell>
          <cell r="C72" t="str">
            <v>016</v>
          </cell>
          <cell r="D72" t="str">
            <v>71</v>
          </cell>
          <cell r="E72" t="str">
            <v>41</v>
          </cell>
          <cell r="F72" t="str">
            <v>Assets</v>
          </cell>
          <cell r="G72" t="str">
            <v>Fixed Assets - Office Equipments</v>
          </cell>
          <cell r="H72" t="str">
            <v>PROJECT-LOLC</v>
          </cell>
          <cell r="I72">
            <v>353306</v>
          </cell>
        </row>
        <row r="73">
          <cell r="A73" t="str">
            <v>107101642</v>
          </cell>
          <cell r="B73" t="str">
            <v>10</v>
          </cell>
          <cell r="C73" t="str">
            <v>016</v>
          </cell>
          <cell r="D73" t="str">
            <v>71</v>
          </cell>
          <cell r="E73" t="str">
            <v>42</v>
          </cell>
          <cell r="F73" t="str">
            <v>Assets</v>
          </cell>
          <cell r="G73" t="str">
            <v>Fixed Assets - Office Equipments</v>
          </cell>
          <cell r="H73" t="str">
            <v>PROJECT-LOLC</v>
          </cell>
          <cell r="I73">
            <v>492592.46</v>
          </cell>
        </row>
        <row r="74">
          <cell r="A74" t="str">
            <v>107101643</v>
          </cell>
          <cell r="B74" t="str">
            <v>10</v>
          </cell>
          <cell r="C74" t="str">
            <v>016</v>
          </cell>
          <cell r="D74" t="str">
            <v>71</v>
          </cell>
          <cell r="E74" t="str">
            <v>43</v>
          </cell>
          <cell r="F74" t="str">
            <v>Assets</v>
          </cell>
          <cell r="G74" t="str">
            <v>Fixed Assets - Office Equipments</v>
          </cell>
          <cell r="H74" t="str">
            <v>PROJECT-LOLC</v>
          </cell>
          <cell r="I74">
            <v>706193.67</v>
          </cell>
        </row>
        <row r="75">
          <cell r="A75" t="str">
            <v>107101644</v>
          </cell>
          <cell r="B75" t="str">
            <v>10</v>
          </cell>
          <cell r="C75" t="str">
            <v>016</v>
          </cell>
          <cell r="D75" t="str">
            <v>71</v>
          </cell>
          <cell r="E75" t="str">
            <v>44</v>
          </cell>
          <cell r="F75" t="str">
            <v>Assets</v>
          </cell>
          <cell r="G75" t="str">
            <v>Fixed Assets - Office Equipments</v>
          </cell>
          <cell r="H75" t="str">
            <v>PROJECT-LOLC</v>
          </cell>
          <cell r="I75">
            <v>510328.81</v>
          </cell>
        </row>
        <row r="76">
          <cell r="A76" t="str">
            <v>107101645</v>
          </cell>
          <cell r="B76" t="str">
            <v>10</v>
          </cell>
          <cell r="C76" t="str">
            <v>016</v>
          </cell>
          <cell r="D76" t="str">
            <v>71</v>
          </cell>
          <cell r="E76" t="str">
            <v>45</v>
          </cell>
          <cell r="F76" t="str">
            <v>Assets</v>
          </cell>
          <cell r="G76" t="str">
            <v>Fixed Assets - Office Equipments</v>
          </cell>
          <cell r="H76" t="str">
            <v>PROJECT-LOLC</v>
          </cell>
          <cell r="I76">
            <v>289286.46000000002</v>
          </cell>
        </row>
        <row r="77">
          <cell r="A77" t="str">
            <v>107101665</v>
          </cell>
          <cell r="B77" t="str">
            <v>10</v>
          </cell>
          <cell r="C77" t="str">
            <v>016</v>
          </cell>
          <cell r="D77" t="str">
            <v>71</v>
          </cell>
          <cell r="E77" t="str">
            <v>65</v>
          </cell>
          <cell r="F77" t="str">
            <v>Assets</v>
          </cell>
          <cell r="G77" t="str">
            <v>Fixed Assets - Office Equipments</v>
          </cell>
          <cell r="H77" t="str">
            <v>PROJECT-LOLC</v>
          </cell>
          <cell r="I77">
            <v>440956.53</v>
          </cell>
        </row>
        <row r="78">
          <cell r="A78" t="str">
            <v>107101672</v>
          </cell>
          <cell r="B78" t="str">
            <v>10</v>
          </cell>
          <cell r="C78" t="str">
            <v>016</v>
          </cell>
          <cell r="D78" t="str">
            <v>71</v>
          </cell>
          <cell r="E78" t="str">
            <v>72</v>
          </cell>
          <cell r="F78" t="str">
            <v>Assets</v>
          </cell>
          <cell r="G78" t="str">
            <v>Fixed Assets - Office Equipments</v>
          </cell>
          <cell r="H78" t="str">
            <v>PROJECT-LOLC</v>
          </cell>
          <cell r="I78">
            <v>401694.46</v>
          </cell>
        </row>
        <row r="79">
          <cell r="A79" t="str">
            <v>107101699</v>
          </cell>
          <cell r="B79" t="str">
            <v>10</v>
          </cell>
          <cell r="C79" t="str">
            <v>016</v>
          </cell>
          <cell r="D79" t="str">
            <v>71</v>
          </cell>
          <cell r="E79" t="str">
            <v>99</v>
          </cell>
          <cell r="F79" t="str">
            <v>Assets</v>
          </cell>
          <cell r="G79" t="str">
            <v>Fixed Assets - Office Equipments</v>
          </cell>
          <cell r="H79" t="str">
            <v>PROJECT-LOLC</v>
          </cell>
          <cell r="I79">
            <v>394162.6</v>
          </cell>
        </row>
        <row r="80">
          <cell r="A80" t="str">
            <v>107201643</v>
          </cell>
          <cell r="B80" t="str">
            <v>10</v>
          </cell>
          <cell r="C80" t="str">
            <v>016</v>
          </cell>
          <cell r="D80" t="str">
            <v>72</v>
          </cell>
          <cell r="E80" t="str">
            <v>43</v>
          </cell>
          <cell r="F80" t="str">
            <v>Assets</v>
          </cell>
          <cell r="G80" t="str">
            <v>Fixed Assets - Office Equipments</v>
          </cell>
          <cell r="H80" t="str">
            <v>Kelani Ceat Co Ltd.</v>
          </cell>
          <cell r="I80">
            <v>204592.96</v>
          </cell>
        </row>
        <row r="81">
          <cell r="A81" t="str">
            <v>107201699</v>
          </cell>
          <cell r="B81" t="str">
            <v>10</v>
          </cell>
          <cell r="C81" t="str">
            <v>016</v>
          </cell>
          <cell r="D81" t="str">
            <v>72</v>
          </cell>
          <cell r="E81" t="str">
            <v>99</v>
          </cell>
          <cell r="F81" t="str">
            <v>Assets</v>
          </cell>
          <cell r="G81" t="str">
            <v>Fixed Assets - Office Equipments</v>
          </cell>
          <cell r="H81" t="str">
            <v>Kelani Ceat Co Ltd.</v>
          </cell>
          <cell r="I81">
            <v>62497.8</v>
          </cell>
        </row>
        <row r="82">
          <cell r="A82" t="str">
            <v>107301699</v>
          </cell>
          <cell r="B82" t="str">
            <v>10</v>
          </cell>
          <cell r="C82" t="str">
            <v>016</v>
          </cell>
          <cell r="D82" t="str">
            <v>73</v>
          </cell>
          <cell r="E82" t="str">
            <v>99</v>
          </cell>
          <cell r="F82" t="str">
            <v>Assets</v>
          </cell>
          <cell r="G82" t="str">
            <v>Fixed Assets - Office Equipments</v>
          </cell>
          <cell r="H82" t="str">
            <v>Hemas Holdings ltd.</v>
          </cell>
          <cell r="I82">
            <v>2005488.54</v>
          </cell>
        </row>
        <row r="83">
          <cell r="A83" t="str">
            <v>107401699</v>
          </cell>
          <cell r="B83" t="str">
            <v>10</v>
          </cell>
          <cell r="C83" t="str">
            <v>016</v>
          </cell>
          <cell r="D83" t="str">
            <v>74</v>
          </cell>
          <cell r="E83" t="str">
            <v>99</v>
          </cell>
          <cell r="F83" t="str">
            <v>Assets</v>
          </cell>
          <cell r="G83" t="str">
            <v>Fixed Assets - Office Equipments</v>
          </cell>
          <cell r="H83" t="str">
            <v>David Pieris Motor Company ( WAN)</v>
          </cell>
          <cell r="I83">
            <v>1886731.28</v>
          </cell>
        </row>
        <row r="84">
          <cell r="A84" t="str">
            <v>107501699</v>
          </cell>
          <cell r="B84" t="str">
            <v>10</v>
          </cell>
          <cell r="C84" t="str">
            <v>016</v>
          </cell>
          <cell r="D84" t="str">
            <v>75</v>
          </cell>
          <cell r="E84" t="str">
            <v>99</v>
          </cell>
          <cell r="F84" t="str">
            <v>Assets</v>
          </cell>
          <cell r="G84" t="str">
            <v>Fixed Assets - Office Equipments</v>
          </cell>
          <cell r="H84" t="str">
            <v>DPMCE - Back up Routers</v>
          </cell>
          <cell r="I84">
            <v>3441090.81</v>
          </cell>
        </row>
        <row r="85">
          <cell r="A85" t="str">
            <v>107601699</v>
          </cell>
          <cell r="B85" t="str">
            <v>10</v>
          </cell>
          <cell r="C85" t="str">
            <v>016</v>
          </cell>
          <cell r="D85" t="str">
            <v>76</v>
          </cell>
          <cell r="E85" t="str">
            <v>99</v>
          </cell>
          <cell r="F85" t="str">
            <v>Assets</v>
          </cell>
          <cell r="G85" t="str">
            <v>Fixed Assets - Office Equipments</v>
          </cell>
          <cell r="H85" t="str">
            <v>Unilever Ceylon Ltd.</v>
          </cell>
          <cell r="I85">
            <v>815641.71</v>
          </cell>
        </row>
        <row r="86">
          <cell r="A86" t="str">
            <v>107701647</v>
          </cell>
          <cell r="B86" t="str">
            <v>10</v>
          </cell>
          <cell r="C86" t="str">
            <v>016</v>
          </cell>
          <cell r="D86" t="str">
            <v>77</v>
          </cell>
          <cell r="E86" t="str">
            <v>47</v>
          </cell>
          <cell r="F86" t="str">
            <v>Assets</v>
          </cell>
          <cell r="G86" t="str">
            <v>Fixed Assets - Office Equipments</v>
          </cell>
          <cell r="H86" t="str">
            <v>Puttalam Cement Ltd.</v>
          </cell>
          <cell r="I86">
            <v>0</v>
          </cell>
        </row>
        <row r="87">
          <cell r="A87" t="str">
            <v>107701699</v>
          </cell>
          <cell r="B87" t="str">
            <v>10</v>
          </cell>
          <cell r="C87" t="str">
            <v>016</v>
          </cell>
          <cell r="D87" t="str">
            <v>77</v>
          </cell>
          <cell r="E87" t="str">
            <v>99</v>
          </cell>
          <cell r="F87" t="str">
            <v>Assets</v>
          </cell>
          <cell r="G87" t="str">
            <v>Fixed Assets - Office Equipments</v>
          </cell>
          <cell r="H87" t="str">
            <v>Puttalam Cement Ltd.</v>
          </cell>
          <cell r="I87">
            <v>1706211.65</v>
          </cell>
        </row>
        <row r="88">
          <cell r="A88" t="str">
            <v>107801699</v>
          </cell>
          <cell r="B88" t="str">
            <v>10</v>
          </cell>
          <cell r="C88" t="str">
            <v>016</v>
          </cell>
          <cell r="D88" t="str">
            <v>78</v>
          </cell>
          <cell r="E88" t="str">
            <v>99</v>
          </cell>
          <cell r="F88" t="str">
            <v>Assets</v>
          </cell>
          <cell r="G88" t="str">
            <v>Fixed Assets - Office Equipments</v>
          </cell>
          <cell r="H88" t="str">
            <v>Discover IT (Pvt.) Ltd.</v>
          </cell>
          <cell r="I88">
            <v>150000</v>
          </cell>
        </row>
        <row r="89">
          <cell r="A89" t="str">
            <v>108001643</v>
          </cell>
          <cell r="B89" t="str">
            <v>10</v>
          </cell>
          <cell r="C89" t="str">
            <v>016</v>
          </cell>
          <cell r="D89" t="str">
            <v>80</v>
          </cell>
          <cell r="E89" t="str">
            <v>43</v>
          </cell>
          <cell r="F89" t="str">
            <v>Assets</v>
          </cell>
          <cell r="G89" t="str">
            <v>Fixed Assets - Office Equipments</v>
          </cell>
          <cell r="H89" t="str">
            <v>Bank of Ceylon Ltd.</v>
          </cell>
          <cell r="I89">
            <v>18006.080000000002</v>
          </cell>
        </row>
        <row r="90">
          <cell r="A90" t="str">
            <v>108001699</v>
          </cell>
          <cell r="B90" t="str">
            <v>10</v>
          </cell>
          <cell r="C90" t="str">
            <v>016</v>
          </cell>
          <cell r="D90" t="str">
            <v>80</v>
          </cell>
          <cell r="E90" t="str">
            <v>99</v>
          </cell>
          <cell r="F90" t="str">
            <v>Assets</v>
          </cell>
          <cell r="G90" t="str">
            <v>Fixed Assets - Office Equipments</v>
          </cell>
          <cell r="H90" t="str">
            <v>Bank of Ceylon Ltd.</v>
          </cell>
          <cell r="I90">
            <v>609349.1</v>
          </cell>
        </row>
        <row r="91">
          <cell r="A91" t="str">
            <v>108201652</v>
          </cell>
          <cell r="B91" t="str">
            <v>10</v>
          </cell>
          <cell r="C91" t="str">
            <v>016</v>
          </cell>
          <cell r="D91" t="str">
            <v>82</v>
          </cell>
          <cell r="E91" t="str">
            <v>52</v>
          </cell>
          <cell r="F91" t="str">
            <v>Assets</v>
          </cell>
          <cell r="G91" t="str">
            <v>Fixed Assets - Office Equipments</v>
          </cell>
          <cell r="H91" t="str">
            <v>Pan Asia Bank</v>
          </cell>
          <cell r="I91">
            <v>200000</v>
          </cell>
        </row>
        <row r="92">
          <cell r="A92" t="str">
            <v>108201653</v>
          </cell>
          <cell r="B92" t="str">
            <v>10</v>
          </cell>
          <cell r="C92" t="str">
            <v>016</v>
          </cell>
          <cell r="D92" t="str">
            <v>82</v>
          </cell>
          <cell r="E92" t="str">
            <v>53</v>
          </cell>
          <cell r="F92" t="str">
            <v>Assets</v>
          </cell>
          <cell r="G92" t="str">
            <v>Fixed Assets - Office Equipments</v>
          </cell>
          <cell r="H92" t="str">
            <v>Pan Asia Bank</v>
          </cell>
          <cell r="I92">
            <v>200000</v>
          </cell>
        </row>
        <row r="93">
          <cell r="A93" t="str">
            <v>108201654</v>
          </cell>
          <cell r="B93" t="str">
            <v>10</v>
          </cell>
          <cell r="C93" t="str">
            <v>016</v>
          </cell>
          <cell r="D93" t="str">
            <v>82</v>
          </cell>
          <cell r="E93" t="str">
            <v>54</v>
          </cell>
          <cell r="F93" t="str">
            <v>Assets</v>
          </cell>
          <cell r="G93" t="str">
            <v>Fixed Assets - Office Equipments</v>
          </cell>
          <cell r="H93" t="str">
            <v>Pan Asia Bank</v>
          </cell>
          <cell r="I93">
            <v>150000</v>
          </cell>
        </row>
        <row r="94">
          <cell r="A94" t="str">
            <v>108201655</v>
          </cell>
          <cell r="B94" t="str">
            <v>10</v>
          </cell>
          <cell r="C94" t="str">
            <v>016</v>
          </cell>
          <cell r="D94" t="str">
            <v>82</v>
          </cell>
          <cell r="E94" t="str">
            <v>55</v>
          </cell>
          <cell r="F94" t="str">
            <v>Assets</v>
          </cell>
          <cell r="G94" t="str">
            <v>Fixed Assets - Office Equipments</v>
          </cell>
          <cell r="H94" t="str">
            <v>Pan Asia Bank</v>
          </cell>
          <cell r="I94">
            <v>150000</v>
          </cell>
        </row>
        <row r="95">
          <cell r="A95" t="str">
            <v>108201656</v>
          </cell>
          <cell r="B95" t="str">
            <v>10</v>
          </cell>
          <cell r="C95" t="str">
            <v>016</v>
          </cell>
          <cell r="D95" t="str">
            <v>82</v>
          </cell>
          <cell r="E95" t="str">
            <v>56</v>
          </cell>
          <cell r="F95" t="str">
            <v>Assets</v>
          </cell>
          <cell r="G95" t="str">
            <v>Fixed Assets - Office Equipments</v>
          </cell>
          <cell r="H95" t="str">
            <v>Pan Asia Bank</v>
          </cell>
          <cell r="I95">
            <v>150000</v>
          </cell>
        </row>
        <row r="96">
          <cell r="A96" t="str">
            <v>108201699</v>
          </cell>
          <cell r="B96" t="str">
            <v>10</v>
          </cell>
          <cell r="C96" t="str">
            <v>016</v>
          </cell>
          <cell r="D96" t="str">
            <v>82</v>
          </cell>
          <cell r="E96" t="str">
            <v>99</v>
          </cell>
          <cell r="F96" t="str">
            <v>Assets</v>
          </cell>
          <cell r="G96" t="str">
            <v>Fixed Assets - Office Equipments</v>
          </cell>
          <cell r="H96" t="str">
            <v>Pan Asia Bank</v>
          </cell>
          <cell r="I96">
            <v>1996335.92</v>
          </cell>
        </row>
        <row r="97">
          <cell r="A97" t="str">
            <v>108301659</v>
          </cell>
          <cell r="B97" t="str">
            <v>10</v>
          </cell>
          <cell r="C97" t="str">
            <v>016</v>
          </cell>
          <cell r="D97" t="str">
            <v>83</v>
          </cell>
          <cell r="E97" t="str">
            <v>59</v>
          </cell>
          <cell r="F97" t="str">
            <v>Assets</v>
          </cell>
          <cell r="G97" t="str">
            <v>Fixed Assets - Office Equipments</v>
          </cell>
          <cell r="H97" t="str">
            <v>ITMIN Ltd.</v>
          </cell>
          <cell r="I97">
            <v>268016.07</v>
          </cell>
        </row>
        <row r="98">
          <cell r="A98" t="str">
            <v>108301699</v>
          </cell>
          <cell r="B98" t="str">
            <v>10</v>
          </cell>
          <cell r="C98" t="str">
            <v>016</v>
          </cell>
          <cell r="D98" t="str">
            <v>83</v>
          </cell>
          <cell r="E98" t="str">
            <v>99</v>
          </cell>
          <cell r="F98" t="str">
            <v>Assets</v>
          </cell>
          <cell r="G98" t="str">
            <v>Fixed Assets - Office Equipments</v>
          </cell>
          <cell r="H98" t="str">
            <v>ITMIN Ltd.</v>
          </cell>
          <cell r="I98">
            <v>643170.34</v>
          </cell>
        </row>
        <row r="99">
          <cell r="A99" t="str">
            <v>108401645</v>
          </cell>
          <cell r="B99" t="str">
            <v>10</v>
          </cell>
          <cell r="C99" t="str">
            <v>016</v>
          </cell>
          <cell r="D99" t="str">
            <v>84</v>
          </cell>
          <cell r="E99" t="str">
            <v>45</v>
          </cell>
          <cell r="F99" t="str">
            <v>Assets</v>
          </cell>
          <cell r="G99" t="str">
            <v>Fixed Assets - Office Equipments</v>
          </cell>
          <cell r="H99" t="str">
            <v>East - West Information Ltd.</v>
          </cell>
          <cell r="I99">
            <v>150000</v>
          </cell>
        </row>
        <row r="100">
          <cell r="A100" t="str">
            <v>108401699</v>
          </cell>
          <cell r="B100" t="str">
            <v>10</v>
          </cell>
          <cell r="C100" t="str">
            <v>016</v>
          </cell>
          <cell r="D100" t="str">
            <v>84</v>
          </cell>
          <cell r="E100" t="str">
            <v>99</v>
          </cell>
          <cell r="F100" t="str">
            <v>Assets</v>
          </cell>
          <cell r="G100" t="str">
            <v>Fixed Assets - Office Equipments</v>
          </cell>
          <cell r="H100" t="str">
            <v>East - West Information Ltd.</v>
          </cell>
          <cell r="I100">
            <v>1104940.19</v>
          </cell>
        </row>
        <row r="101">
          <cell r="A101" t="str">
            <v>108501699</v>
          </cell>
          <cell r="B101" t="str">
            <v>10</v>
          </cell>
          <cell r="C101" t="str">
            <v>016</v>
          </cell>
          <cell r="D101" t="str">
            <v>85</v>
          </cell>
          <cell r="E101" t="str">
            <v>99</v>
          </cell>
          <cell r="F101" t="str">
            <v>Assets</v>
          </cell>
          <cell r="G101" t="str">
            <v>Fixed Assets - Office Equipments</v>
          </cell>
          <cell r="H101" t="str">
            <v>BATA Shoe Co of Ceylon Ltd.</v>
          </cell>
          <cell r="I101">
            <v>816623.42</v>
          </cell>
        </row>
        <row r="102">
          <cell r="A102" t="str">
            <v>108601699</v>
          </cell>
          <cell r="B102" t="str">
            <v>10</v>
          </cell>
          <cell r="C102" t="str">
            <v>016</v>
          </cell>
          <cell r="D102" t="str">
            <v>86</v>
          </cell>
          <cell r="E102" t="str">
            <v>99</v>
          </cell>
          <cell r="F102" t="str">
            <v>Assets</v>
          </cell>
          <cell r="G102" t="str">
            <v>Fixed Assets - Office Equipments</v>
          </cell>
          <cell r="H102" t="str">
            <v>Golden Key ( C/o ITMIN Ltd.)</v>
          </cell>
          <cell r="I102">
            <v>150000</v>
          </cell>
        </row>
        <row r="103">
          <cell r="A103" t="str">
            <v>108701652</v>
          </cell>
          <cell r="B103" t="str">
            <v>10</v>
          </cell>
          <cell r="C103" t="str">
            <v>016</v>
          </cell>
          <cell r="D103" t="str">
            <v>87</v>
          </cell>
          <cell r="E103" t="str">
            <v>52</v>
          </cell>
          <cell r="F103" t="str">
            <v>Assets</v>
          </cell>
          <cell r="G103" t="str">
            <v>Fixed Assets - Office Equipments</v>
          </cell>
          <cell r="H103" t="str">
            <v>Shell Gas Ltd.</v>
          </cell>
          <cell r="I103">
            <v>500000</v>
          </cell>
        </row>
        <row r="104">
          <cell r="A104" t="str">
            <v>108701666</v>
          </cell>
          <cell r="B104" t="str">
            <v>10</v>
          </cell>
          <cell r="C104" t="str">
            <v>016</v>
          </cell>
          <cell r="D104" t="str">
            <v>87</v>
          </cell>
          <cell r="E104" t="str">
            <v>66</v>
          </cell>
          <cell r="F104" t="str">
            <v>Assets</v>
          </cell>
          <cell r="G104" t="str">
            <v>Fixed Assets - Office Equipments</v>
          </cell>
          <cell r="H104" t="str">
            <v>Shell Gas Ltd.</v>
          </cell>
          <cell r="I104">
            <v>500000</v>
          </cell>
        </row>
        <row r="105">
          <cell r="A105" t="str">
            <v>108701667</v>
          </cell>
          <cell r="B105" t="str">
            <v>10</v>
          </cell>
          <cell r="C105" t="str">
            <v>016</v>
          </cell>
          <cell r="D105" t="str">
            <v>87</v>
          </cell>
          <cell r="E105" t="str">
            <v>67</v>
          </cell>
          <cell r="F105" t="str">
            <v>Assets</v>
          </cell>
          <cell r="G105" t="str">
            <v>Fixed Assets - Office Equipments</v>
          </cell>
          <cell r="H105" t="str">
            <v>Shell Gas Ltd.</v>
          </cell>
          <cell r="I105">
            <v>500000</v>
          </cell>
        </row>
        <row r="106">
          <cell r="A106" t="str">
            <v>108701699</v>
          </cell>
          <cell r="B106" t="str">
            <v>10</v>
          </cell>
          <cell r="C106" t="str">
            <v>016</v>
          </cell>
          <cell r="D106" t="str">
            <v>87</v>
          </cell>
          <cell r="E106" t="str">
            <v>99</v>
          </cell>
          <cell r="F106" t="str">
            <v>Assets</v>
          </cell>
          <cell r="G106" t="str">
            <v>Fixed Assets - Office Equipments</v>
          </cell>
          <cell r="H106" t="str">
            <v>Shell Gas Ltd.</v>
          </cell>
          <cell r="I106">
            <v>3563791.41</v>
          </cell>
        </row>
        <row r="107">
          <cell r="A107" t="str">
            <v>108801699</v>
          </cell>
          <cell r="B107" t="str">
            <v>10</v>
          </cell>
          <cell r="C107" t="str">
            <v>016</v>
          </cell>
          <cell r="D107" t="str">
            <v>88</v>
          </cell>
          <cell r="E107" t="str">
            <v>99</v>
          </cell>
          <cell r="F107" t="str">
            <v>Assets</v>
          </cell>
          <cell r="G107" t="str">
            <v>Fixed Assets - Office Equipments</v>
          </cell>
          <cell r="H107" t="str">
            <v>Smart Net Lanka Limited.</v>
          </cell>
          <cell r="I107">
            <v>150000</v>
          </cell>
        </row>
        <row r="108">
          <cell r="A108" t="str">
            <v>108901699</v>
          </cell>
          <cell r="B108" t="str">
            <v>10</v>
          </cell>
          <cell r="C108" t="str">
            <v>016</v>
          </cell>
          <cell r="D108" t="str">
            <v>89</v>
          </cell>
          <cell r="E108" t="str">
            <v>99</v>
          </cell>
          <cell r="F108" t="str">
            <v>Assets</v>
          </cell>
          <cell r="G108" t="str">
            <v>Fixed Assets - Office Equipments</v>
          </cell>
          <cell r="H108" t="str">
            <v>People's Bank ( O/A Just In Time )</v>
          </cell>
          <cell r="I108">
            <v>6664660.1399999997</v>
          </cell>
        </row>
        <row r="109">
          <cell r="A109" t="str">
            <v>109001641</v>
          </cell>
          <cell r="B109" t="str">
            <v>10</v>
          </cell>
          <cell r="C109" t="str">
            <v>016</v>
          </cell>
          <cell r="D109" t="str">
            <v>90</v>
          </cell>
          <cell r="E109" t="str">
            <v>41</v>
          </cell>
          <cell r="F109" t="str">
            <v>Assets</v>
          </cell>
          <cell r="G109" t="str">
            <v>Fixed Assets - Office Equipments</v>
          </cell>
          <cell r="H109" t="str">
            <v>Clipsal Lanka ( O/A of Suntel )</v>
          </cell>
          <cell r="I109">
            <v>0</v>
          </cell>
        </row>
        <row r="110">
          <cell r="A110" t="str">
            <v>109001642</v>
          </cell>
          <cell r="B110" t="str">
            <v>10</v>
          </cell>
          <cell r="C110" t="str">
            <v>016</v>
          </cell>
          <cell r="D110" t="str">
            <v>90</v>
          </cell>
          <cell r="E110" t="str">
            <v>42</v>
          </cell>
          <cell r="F110" t="str">
            <v>Assets</v>
          </cell>
          <cell r="G110" t="str">
            <v>Fixed Assets - Office Equipments</v>
          </cell>
          <cell r="H110" t="str">
            <v>Clipsal Lanka ( O/A of Suntel )</v>
          </cell>
          <cell r="I110">
            <v>0</v>
          </cell>
        </row>
        <row r="111">
          <cell r="A111" t="str">
            <v>109001644</v>
          </cell>
          <cell r="B111" t="str">
            <v>10</v>
          </cell>
          <cell r="C111" t="str">
            <v>016</v>
          </cell>
          <cell r="D111" t="str">
            <v>90</v>
          </cell>
          <cell r="E111" t="str">
            <v>44</v>
          </cell>
          <cell r="F111" t="str">
            <v>Assets</v>
          </cell>
          <cell r="G111" t="str">
            <v>Fixed Assets - Office Equipments</v>
          </cell>
          <cell r="H111" t="str">
            <v>Clipsal Lanka ( O/A of Suntel )</v>
          </cell>
          <cell r="I111">
            <v>0</v>
          </cell>
        </row>
        <row r="112">
          <cell r="A112" t="str">
            <v>109001662</v>
          </cell>
          <cell r="B112" t="str">
            <v>10</v>
          </cell>
          <cell r="C112" t="str">
            <v>016</v>
          </cell>
          <cell r="D112" t="str">
            <v>90</v>
          </cell>
          <cell r="E112" t="str">
            <v>62</v>
          </cell>
          <cell r="F112" t="str">
            <v>Assets</v>
          </cell>
          <cell r="G112" t="str">
            <v>Fixed Assets - Office Equipments</v>
          </cell>
          <cell r="H112" t="str">
            <v>Clipsal Lanka ( O/A of Suntel )</v>
          </cell>
          <cell r="I112">
            <v>0</v>
          </cell>
        </row>
        <row r="113">
          <cell r="A113" t="str">
            <v>109001675</v>
          </cell>
          <cell r="B113" t="str">
            <v>10</v>
          </cell>
          <cell r="C113" t="str">
            <v>016</v>
          </cell>
          <cell r="D113" t="str">
            <v>90</v>
          </cell>
          <cell r="E113" t="str">
            <v>75</v>
          </cell>
          <cell r="F113" t="str">
            <v>Assets</v>
          </cell>
          <cell r="G113" t="str">
            <v>Fixed Assets - Office Equipments</v>
          </cell>
          <cell r="H113" t="str">
            <v>Clipsal Lanka ( O/A of Suntel )</v>
          </cell>
          <cell r="I113">
            <v>0</v>
          </cell>
        </row>
        <row r="114">
          <cell r="A114" t="str">
            <v>109001699</v>
          </cell>
          <cell r="B114" t="str">
            <v>10</v>
          </cell>
          <cell r="C114" t="str">
            <v>016</v>
          </cell>
          <cell r="D114" t="str">
            <v>90</v>
          </cell>
          <cell r="E114" t="str">
            <v>99</v>
          </cell>
          <cell r="F114" t="str">
            <v>Assets</v>
          </cell>
          <cell r="G114" t="str">
            <v>Fixed Assets - Office Equipments</v>
          </cell>
          <cell r="H114" t="str">
            <v>Clipsal Lanka ( O/A of Suntel )</v>
          </cell>
          <cell r="I114">
            <v>2144936.73</v>
          </cell>
        </row>
        <row r="115">
          <cell r="A115" t="str">
            <v>109101699</v>
          </cell>
          <cell r="B115" t="str">
            <v>10</v>
          </cell>
          <cell r="C115" t="str">
            <v>016</v>
          </cell>
          <cell r="D115" t="str">
            <v>91</v>
          </cell>
          <cell r="E115" t="str">
            <v>99</v>
          </cell>
          <cell r="F115" t="str">
            <v>Assets</v>
          </cell>
          <cell r="G115" t="str">
            <v>Fixed Assets - Office Equipments</v>
          </cell>
          <cell r="H115" t="str">
            <v>Central Finance</v>
          </cell>
          <cell r="I115">
            <v>1406286.07</v>
          </cell>
        </row>
        <row r="116">
          <cell r="A116" t="str">
            <v>109201643</v>
          </cell>
          <cell r="B116" t="str">
            <v>10</v>
          </cell>
          <cell r="C116" t="str">
            <v>016</v>
          </cell>
          <cell r="D116" t="str">
            <v>92</v>
          </cell>
          <cell r="E116" t="str">
            <v>43</v>
          </cell>
          <cell r="F116" t="str">
            <v>Assets</v>
          </cell>
          <cell r="G116" t="str">
            <v>Fixed Assets - Office Equipments</v>
          </cell>
          <cell r="H116" t="str">
            <v>Asiasoft (pvt.) Ltd.</v>
          </cell>
          <cell r="I116">
            <v>50000</v>
          </cell>
        </row>
        <row r="117">
          <cell r="A117" t="str">
            <v>109201699</v>
          </cell>
          <cell r="B117" t="str">
            <v>10</v>
          </cell>
          <cell r="C117" t="str">
            <v>016</v>
          </cell>
          <cell r="D117" t="str">
            <v>92</v>
          </cell>
          <cell r="E117" t="str">
            <v>99</v>
          </cell>
          <cell r="F117" t="str">
            <v>Assets</v>
          </cell>
          <cell r="G117" t="str">
            <v>Fixed Assets - Office Equipments</v>
          </cell>
          <cell r="H117" t="str">
            <v>Asiasoft (pvt.) Ltd.</v>
          </cell>
          <cell r="I117">
            <v>64001.279999999999</v>
          </cell>
        </row>
        <row r="118">
          <cell r="A118" t="str">
            <v>109301699</v>
          </cell>
          <cell r="B118" t="str">
            <v>10</v>
          </cell>
          <cell r="C118" t="str">
            <v>016</v>
          </cell>
          <cell r="D118" t="str">
            <v>93</v>
          </cell>
          <cell r="E118" t="str">
            <v>99</v>
          </cell>
          <cell r="F118" t="str">
            <v>Assets</v>
          </cell>
          <cell r="G118" t="str">
            <v>Fixed Assets - Office Equipments</v>
          </cell>
          <cell r="H118" t="str">
            <v>Ceylon Biscuits</v>
          </cell>
          <cell r="I118">
            <v>720696.73</v>
          </cell>
        </row>
        <row r="119">
          <cell r="A119" t="str">
            <v>109501652</v>
          </cell>
          <cell r="B119" t="str">
            <v>10</v>
          </cell>
          <cell r="C119" t="str">
            <v>016</v>
          </cell>
          <cell r="D119" t="str">
            <v>95</v>
          </cell>
          <cell r="E119" t="str">
            <v>52</v>
          </cell>
          <cell r="F119" t="str">
            <v>Assets</v>
          </cell>
          <cell r="G119" t="str">
            <v>Fixed Assets - Office Equipments</v>
          </cell>
          <cell r="H119" t="str">
            <v>Crescat Development Ltd.</v>
          </cell>
          <cell r="I119">
            <v>0</v>
          </cell>
        </row>
        <row r="120">
          <cell r="A120" t="str">
            <v>109501699</v>
          </cell>
          <cell r="B120" t="str">
            <v>10</v>
          </cell>
          <cell r="C120" t="str">
            <v>016</v>
          </cell>
          <cell r="D120" t="str">
            <v>95</v>
          </cell>
          <cell r="E120" t="str">
            <v>99</v>
          </cell>
          <cell r="F120" t="str">
            <v>Assets</v>
          </cell>
          <cell r="G120" t="str">
            <v>Fixed Assets - Office Equipments</v>
          </cell>
          <cell r="H120" t="str">
            <v>Crescat Development Ltd.</v>
          </cell>
          <cell r="I120">
            <v>379972.03</v>
          </cell>
        </row>
        <row r="121">
          <cell r="A121" t="str">
            <v>109601643</v>
          </cell>
          <cell r="B121" t="str">
            <v>10</v>
          </cell>
          <cell r="C121" t="str">
            <v>016</v>
          </cell>
          <cell r="D121" t="str">
            <v>96</v>
          </cell>
          <cell r="E121" t="str">
            <v>43</v>
          </cell>
          <cell r="F121" t="str">
            <v>Assets</v>
          </cell>
          <cell r="G121" t="str">
            <v>Fixed Assets - Office Equipments</v>
          </cell>
          <cell r="H121" t="str">
            <v>Maerst Line</v>
          </cell>
          <cell r="I121">
            <v>0</v>
          </cell>
        </row>
        <row r="122">
          <cell r="A122" t="str">
            <v>109601699</v>
          </cell>
          <cell r="B122" t="str">
            <v>10</v>
          </cell>
          <cell r="C122" t="str">
            <v>016</v>
          </cell>
          <cell r="D122" t="str">
            <v>96</v>
          </cell>
          <cell r="E122" t="str">
            <v>99</v>
          </cell>
          <cell r="F122" t="str">
            <v>Assets</v>
          </cell>
          <cell r="G122" t="str">
            <v>Fixed Assets - Office Equipments</v>
          </cell>
          <cell r="H122" t="str">
            <v>Maerst Line</v>
          </cell>
          <cell r="I122">
            <v>1109338.3799999999</v>
          </cell>
        </row>
        <row r="123">
          <cell r="A123" t="str">
            <v>109701641</v>
          </cell>
          <cell r="B123" t="str">
            <v>10</v>
          </cell>
          <cell r="C123" t="str">
            <v>016</v>
          </cell>
          <cell r="D123" t="str">
            <v>97</v>
          </cell>
          <cell r="E123" t="str">
            <v>41</v>
          </cell>
          <cell r="F123" t="str">
            <v>Assets</v>
          </cell>
          <cell r="G123" t="str">
            <v>Fixed Assets - Office Equipments</v>
          </cell>
          <cell r="H123" t="str">
            <v>Merchant Bank</v>
          </cell>
          <cell r="I123">
            <v>0</v>
          </cell>
        </row>
        <row r="124">
          <cell r="A124" t="str">
            <v>109701643</v>
          </cell>
          <cell r="B124" t="str">
            <v>10</v>
          </cell>
          <cell r="C124" t="str">
            <v>016</v>
          </cell>
          <cell r="D124" t="str">
            <v>97</v>
          </cell>
          <cell r="E124" t="str">
            <v>43</v>
          </cell>
          <cell r="F124" t="str">
            <v>Assets</v>
          </cell>
          <cell r="G124" t="str">
            <v>Fixed Assets - Office Equipments</v>
          </cell>
          <cell r="H124" t="str">
            <v>Merchant Bank</v>
          </cell>
          <cell r="I124">
            <v>0</v>
          </cell>
        </row>
        <row r="125">
          <cell r="A125" t="str">
            <v>109701661</v>
          </cell>
          <cell r="B125" t="str">
            <v>10</v>
          </cell>
          <cell r="C125" t="str">
            <v>016</v>
          </cell>
          <cell r="D125" t="str">
            <v>97</v>
          </cell>
          <cell r="E125" t="str">
            <v>61</v>
          </cell>
          <cell r="F125" t="str">
            <v>Assets</v>
          </cell>
          <cell r="G125" t="str">
            <v>Fixed Assets - Office Equipments</v>
          </cell>
          <cell r="H125" t="str">
            <v>Merchant Bank</v>
          </cell>
          <cell r="I125">
            <v>0</v>
          </cell>
        </row>
        <row r="126">
          <cell r="A126" t="str">
            <v>109701662</v>
          </cell>
          <cell r="B126" t="str">
            <v>10</v>
          </cell>
          <cell r="C126" t="str">
            <v>016</v>
          </cell>
          <cell r="D126" t="str">
            <v>97</v>
          </cell>
          <cell r="E126" t="str">
            <v>62</v>
          </cell>
          <cell r="F126" t="str">
            <v>Assets</v>
          </cell>
          <cell r="G126" t="str">
            <v>Fixed Assets - Office Equipments</v>
          </cell>
          <cell r="H126" t="str">
            <v>Merchant Bank</v>
          </cell>
          <cell r="I126">
            <v>0</v>
          </cell>
        </row>
        <row r="127">
          <cell r="A127" t="str">
            <v>109701699</v>
          </cell>
          <cell r="B127" t="str">
            <v>10</v>
          </cell>
          <cell r="C127" t="str">
            <v>016</v>
          </cell>
          <cell r="D127" t="str">
            <v>97</v>
          </cell>
          <cell r="E127" t="str">
            <v>99</v>
          </cell>
          <cell r="F127" t="str">
            <v>Assets</v>
          </cell>
          <cell r="G127" t="str">
            <v>Fixed Assets - Office Equipments</v>
          </cell>
          <cell r="H127" t="str">
            <v>Merchant Bank</v>
          </cell>
          <cell r="I127">
            <v>951753.35</v>
          </cell>
        </row>
        <row r="128">
          <cell r="A128" t="str">
            <v>109801643</v>
          </cell>
          <cell r="B128" t="str">
            <v>10</v>
          </cell>
          <cell r="C128" t="str">
            <v>016</v>
          </cell>
          <cell r="D128" t="str">
            <v>98</v>
          </cell>
          <cell r="E128" t="str">
            <v>43</v>
          </cell>
          <cell r="F128" t="str">
            <v>Assets</v>
          </cell>
          <cell r="G128" t="str">
            <v>Fixed Assets - Office Equipments</v>
          </cell>
          <cell r="H128" t="str">
            <v>CMC</v>
          </cell>
          <cell r="I128">
            <v>0</v>
          </cell>
        </row>
        <row r="129">
          <cell r="A129" t="str">
            <v>109801699</v>
          </cell>
          <cell r="B129" t="str">
            <v>10</v>
          </cell>
          <cell r="C129" t="str">
            <v>016</v>
          </cell>
          <cell r="D129" t="str">
            <v>98</v>
          </cell>
          <cell r="E129" t="str">
            <v>99</v>
          </cell>
          <cell r="F129" t="str">
            <v>Assets</v>
          </cell>
          <cell r="G129" t="str">
            <v>Fixed Assets - Office Equipments</v>
          </cell>
          <cell r="H129" t="str">
            <v>CMC</v>
          </cell>
          <cell r="I129">
            <v>221256.9</v>
          </cell>
        </row>
        <row r="130">
          <cell r="A130" t="str">
            <v>109901699</v>
          </cell>
          <cell r="B130" t="str">
            <v>10</v>
          </cell>
          <cell r="C130" t="str">
            <v>016</v>
          </cell>
          <cell r="D130" t="str">
            <v>99</v>
          </cell>
          <cell r="E130" t="str">
            <v>99</v>
          </cell>
          <cell r="F130" t="str">
            <v>Assets</v>
          </cell>
          <cell r="G130" t="str">
            <v>Fixed Assets - Office Equipments</v>
          </cell>
          <cell r="H130" t="str">
            <v>Other</v>
          </cell>
          <cell r="I130">
            <v>32536758.219999999</v>
          </cell>
        </row>
        <row r="131">
          <cell r="A131" t="str">
            <v>109901799</v>
          </cell>
          <cell r="B131" t="str">
            <v>10</v>
          </cell>
          <cell r="C131" t="str">
            <v>017</v>
          </cell>
          <cell r="D131" t="str">
            <v>99</v>
          </cell>
          <cell r="E131" t="str">
            <v>99</v>
          </cell>
          <cell r="F131" t="str">
            <v>Assets</v>
          </cell>
          <cell r="G131" t="str">
            <v>Fixed Assets - Motor Vehicles</v>
          </cell>
          <cell r="H131" t="str">
            <v>Other</v>
          </cell>
          <cell r="I131">
            <v>10814689.439999999</v>
          </cell>
        </row>
        <row r="132">
          <cell r="A132" t="str">
            <v>109901899</v>
          </cell>
          <cell r="B132" t="str">
            <v>10</v>
          </cell>
          <cell r="C132" t="str">
            <v>018</v>
          </cell>
          <cell r="D132" t="str">
            <v>99</v>
          </cell>
          <cell r="E132" t="str">
            <v>99</v>
          </cell>
          <cell r="F132" t="str">
            <v>Assets</v>
          </cell>
          <cell r="G132" t="str">
            <v>Capital Work-in-progress</v>
          </cell>
          <cell r="H132" t="str">
            <v>Other</v>
          </cell>
          <cell r="I132">
            <v>892186</v>
          </cell>
        </row>
        <row r="133">
          <cell r="A133" t="str">
            <v>109901999</v>
          </cell>
          <cell r="B133" t="str">
            <v>10</v>
          </cell>
          <cell r="C133" t="str">
            <v>019</v>
          </cell>
          <cell r="D133" t="str">
            <v>99</v>
          </cell>
          <cell r="E133" t="str">
            <v>99</v>
          </cell>
          <cell r="F133" t="str">
            <v>Assets</v>
          </cell>
          <cell r="G133" t="str">
            <v>Leasehold Improvements</v>
          </cell>
          <cell r="H133" t="str">
            <v>Other</v>
          </cell>
          <cell r="I133">
            <v>0</v>
          </cell>
        </row>
        <row r="134">
          <cell r="A134" t="str">
            <v>101102010</v>
          </cell>
          <cell r="B134" t="str">
            <v>10</v>
          </cell>
          <cell r="C134" t="str">
            <v>020</v>
          </cell>
          <cell r="D134" t="str">
            <v>11</v>
          </cell>
          <cell r="E134" t="str">
            <v>10</v>
          </cell>
          <cell r="F134" t="str">
            <v>Assets</v>
          </cell>
          <cell r="G134" t="str">
            <v>Capital Work-in-progress ( Labour )</v>
          </cell>
          <cell r="H134" t="str">
            <v>Software Development</v>
          </cell>
          <cell r="I134">
            <v>1104785.02</v>
          </cell>
        </row>
        <row r="135">
          <cell r="A135" t="str">
            <v>101102020</v>
          </cell>
          <cell r="B135" t="str">
            <v>10</v>
          </cell>
          <cell r="C135" t="str">
            <v>020</v>
          </cell>
          <cell r="D135" t="str">
            <v>11</v>
          </cell>
          <cell r="E135" t="str">
            <v>20</v>
          </cell>
          <cell r="F135" t="str">
            <v>Assets</v>
          </cell>
          <cell r="G135" t="str">
            <v>Capital Work-in-progress ( Labour )</v>
          </cell>
          <cell r="H135" t="str">
            <v>Software Development</v>
          </cell>
          <cell r="I135">
            <v>0</v>
          </cell>
        </row>
        <row r="136">
          <cell r="A136" t="str">
            <v>109902099</v>
          </cell>
          <cell r="B136" t="str">
            <v>10</v>
          </cell>
          <cell r="C136" t="str">
            <v>020</v>
          </cell>
          <cell r="D136" t="str">
            <v>99</v>
          </cell>
          <cell r="E136" t="str">
            <v>99</v>
          </cell>
          <cell r="F136" t="str">
            <v>Assets</v>
          </cell>
          <cell r="G136" t="str">
            <v>Capital Work-in-progress ( Labour )</v>
          </cell>
          <cell r="H136" t="str">
            <v>Other</v>
          </cell>
          <cell r="I136">
            <v>3517650.26</v>
          </cell>
        </row>
        <row r="137">
          <cell r="A137" t="str">
            <v>109902199</v>
          </cell>
          <cell r="B137" t="str">
            <v>10</v>
          </cell>
          <cell r="C137" t="str">
            <v>021</v>
          </cell>
          <cell r="D137" t="str">
            <v>99</v>
          </cell>
          <cell r="E137" t="str">
            <v>99</v>
          </cell>
          <cell r="F137" t="str">
            <v>Assets</v>
          </cell>
          <cell r="G137" t="str">
            <v>Provision for Depreciation - Buildings</v>
          </cell>
          <cell r="H137" t="str">
            <v>Other</v>
          </cell>
          <cell r="I137">
            <v>0</v>
          </cell>
        </row>
        <row r="138">
          <cell r="A138" t="str">
            <v>109902299</v>
          </cell>
          <cell r="B138" t="str">
            <v>10</v>
          </cell>
          <cell r="C138" t="str">
            <v>022</v>
          </cell>
          <cell r="D138" t="str">
            <v>99</v>
          </cell>
          <cell r="E138" t="str">
            <v>99</v>
          </cell>
          <cell r="F138" t="str">
            <v>Assets</v>
          </cell>
          <cell r="G138" t="str">
            <v>Provision for Depreciation - Plant &amp; Machinery</v>
          </cell>
          <cell r="H138" t="str">
            <v>Other</v>
          </cell>
          <cell r="I138">
            <v>-259593.91</v>
          </cell>
        </row>
        <row r="139">
          <cell r="A139" t="str">
            <v>109902399</v>
          </cell>
          <cell r="B139" t="str">
            <v>10</v>
          </cell>
          <cell r="C139" t="str">
            <v>023</v>
          </cell>
          <cell r="D139" t="str">
            <v>99</v>
          </cell>
          <cell r="E139" t="str">
            <v>99</v>
          </cell>
          <cell r="F139" t="str">
            <v>Assets</v>
          </cell>
          <cell r="G139" t="str">
            <v>Provision for Depreciation - Tools &amp; Implements</v>
          </cell>
          <cell r="H139" t="str">
            <v>Other</v>
          </cell>
          <cell r="I139">
            <v>-1207318.3500000001</v>
          </cell>
        </row>
        <row r="140">
          <cell r="A140" t="str">
            <v>109902499</v>
          </cell>
          <cell r="B140" t="str">
            <v>10</v>
          </cell>
          <cell r="C140" t="str">
            <v>024</v>
          </cell>
          <cell r="D140" t="str">
            <v>99</v>
          </cell>
          <cell r="E140" t="str">
            <v>99</v>
          </cell>
          <cell r="F140" t="str">
            <v>Assets</v>
          </cell>
          <cell r="G140" t="str">
            <v>Provision for Depreciation - Furniture &amp; Fittings</v>
          </cell>
          <cell r="H140" t="str">
            <v>Other</v>
          </cell>
          <cell r="I140">
            <v>-2881476.69</v>
          </cell>
        </row>
        <row r="141">
          <cell r="A141" t="str">
            <v>1010002599</v>
          </cell>
          <cell r="B141" t="str">
            <v>10</v>
          </cell>
          <cell r="C141" t="str">
            <v>025</v>
          </cell>
          <cell r="D141" t="str">
            <v>10</v>
          </cell>
          <cell r="E141" t="str">
            <v>99</v>
          </cell>
          <cell r="F141" t="str">
            <v>Assets</v>
          </cell>
          <cell r="G141" t="str">
            <v>Provision for Depreciation - Office Equipments</v>
          </cell>
          <cell r="H141" t="str">
            <v>Nations trust Bank</v>
          </cell>
          <cell r="I141">
            <v>-3460917.52</v>
          </cell>
        </row>
        <row r="142">
          <cell r="A142" t="str">
            <v>1010102599</v>
          </cell>
          <cell r="B142" t="str">
            <v>10</v>
          </cell>
          <cell r="C142" t="str">
            <v>025</v>
          </cell>
          <cell r="D142" t="str">
            <v>10</v>
          </cell>
          <cell r="E142" t="str">
            <v>99</v>
          </cell>
          <cell r="F142" t="str">
            <v>Assets</v>
          </cell>
          <cell r="G142" t="str">
            <v>Provision for Depreciation - Office Equipments</v>
          </cell>
          <cell r="H142" t="str">
            <v>Kahawatta plantation</v>
          </cell>
          <cell r="I142">
            <v>-317321.03000000003</v>
          </cell>
        </row>
        <row r="143">
          <cell r="A143" t="str">
            <v>1010202599</v>
          </cell>
          <cell r="B143" t="str">
            <v>10</v>
          </cell>
          <cell r="C143" t="str">
            <v>025</v>
          </cell>
          <cell r="D143" t="str">
            <v>10</v>
          </cell>
          <cell r="E143" t="str">
            <v>99</v>
          </cell>
          <cell r="F143" t="str">
            <v>Assets</v>
          </cell>
          <cell r="G143" t="str">
            <v>Provision for Depreciation - Office Equipments</v>
          </cell>
          <cell r="H143" t="str">
            <v>Just in time</v>
          </cell>
          <cell r="I143">
            <v>-103202.43</v>
          </cell>
        </row>
        <row r="144">
          <cell r="A144" t="str">
            <v>1010302599</v>
          </cell>
          <cell r="B144" t="str">
            <v>10</v>
          </cell>
          <cell r="C144" t="str">
            <v>025</v>
          </cell>
          <cell r="D144" t="str">
            <v>10</v>
          </cell>
          <cell r="E144" t="str">
            <v>99</v>
          </cell>
          <cell r="F144" t="str">
            <v>Assets</v>
          </cell>
          <cell r="G144" t="str">
            <v>Provision for Depreciation - Office Equipments</v>
          </cell>
          <cell r="H144" t="str">
            <v>Lanka Electricity Co Ltd.</v>
          </cell>
          <cell r="I144">
            <v>-3828127.89</v>
          </cell>
        </row>
        <row r="145">
          <cell r="A145" t="str">
            <v>1010402599</v>
          </cell>
          <cell r="B145" t="str">
            <v>10</v>
          </cell>
          <cell r="C145" t="str">
            <v>025</v>
          </cell>
          <cell r="D145" t="str">
            <v>10</v>
          </cell>
          <cell r="E145" t="str">
            <v>99</v>
          </cell>
          <cell r="F145" t="str">
            <v>Assets</v>
          </cell>
          <cell r="G145" t="str">
            <v>Provision for Depreciation - Office Equipments</v>
          </cell>
          <cell r="H145" t="str">
            <v>Logical systems</v>
          </cell>
          <cell r="I145">
            <v>-145558.14000000001</v>
          </cell>
        </row>
        <row r="146">
          <cell r="A146" t="str">
            <v>1010502599</v>
          </cell>
          <cell r="B146" t="str">
            <v>10</v>
          </cell>
          <cell r="C146" t="str">
            <v>025</v>
          </cell>
          <cell r="D146" t="str">
            <v>10</v>
          </cell>
          <cell r="E146" t="str">
            <v>99</v>
          </cell>
          <cell r="F146" t="str">
            <v>Assets</v>
          </cell>
          <cell r="G146" t="str">
            <v>Provision for Depreciation - Office Equipments</v>
          </cell>
          <cell r="H146" t="str">
            <v>Skynet Technologies</v>
          </cell>
          <cell r="I146">
            <v>-142862.60999999999</v>
          </cell>
        </row>
        <row r="147">
          <cell r="A147" t="str">
            <v>1010602599</v>
          </cell>
          <cell r="B147" t="str">
            <v>10</v>
          </cell>
          <cell r="C147" t="str">
            <v>025</v>
          </cell>
          <cell r="D147" t="str">
            <v>10</v>
          </cell>
          <cell r="E147" t="str">
            <v>99</v>
          </cell>
          <cell r="F147" t="str">
            <v>Assets</v>
          </cell>
          <cell r="G147" t="str">
            <v>Provision for Depreciation - Office Equipments</v>
          </cell>
          <cell r="H147" t="str">
            <v>Ceylon Electricty Board</v>
          </cell>
          <cell r="I147">
            <v>-2204968.83</v>
          </cell>
        </row>
        <row r="148">
          <cell r="A148" t="str">
            <v>1010702599</v>
          </cell>
          <cell r="B148" t="str">
            <v>10</v>
          </cell>
          <cell r="C148" t="str">
            <v>025</v>
          </cell>
          <cell r="D148" t="str">
            <v>10</v>
          </cell>
          <cell r="E148" t="str">
            <v>99</v>
          </cell>
          <cell r="F148" t="str">
            <v>Assets</v>
          </cell>
          <cell r="G148" t="str">
            <v>Provision for Depreciation - Office Equipments</v>
          </cell>
          <cell r="H148" t="str">
            <v>Ranmalu Fashions</v>
          </cell>
          <cell r="I148">
            <v>-41265.54</v>
          </cell>
        </row>
        <row r="149">
          <cell r="A149" t="str">
            <v>1010802599</v>
          </cell>
          <cell r="B149" t="str">
            <v>10</v>
          </cell>
          <cell r="C149" t="str">
            <v>025</v>
          </cell>
          <cell r="D149" t="str">
            <v>10</v>
          </cell>
          <cell r="E149" t="str">
            <v>99</v>
          </cell>
          <cell r="F149" t="str">
            <v>Assets</v>
          </cell>
          <cell r="G149" t="str">
            <v>Provision for Depreciation - Office Equipments</v>
          </cell>
          <cell r="H149" t="str">
            <v>E-net Marketing (Pte) Limited</v>
          </cell>
          <cell r="I149">
            <v>-132080.54</v>
          </cell>
        </row>
        <row r="150">
          <cell r="A150" t="str">
            <v>1010902599</v>
          </cell>
          <cell r="B150" t="str">
            <v>10</v>
          </cell>
          <cell r="C150" t="str">
            <v>025</v>
          </cell>
          <cell r="D150" t="str">
            <v>10</v>
          </cell>
          <cell r="E150" t="str">
            <v>99</v>
          </cell>
          <cell r="F150" t="str">
            <v>Assets</v>
          </cell>
          <cell r="G150" t="str">
            <v>Provision for Depreciation - Office Equipments</v>
          </cell>
          <cell r="H150" t="str">
            <v>Phoniex</v>
          </cell>
          <cell r="I150">
            <v>-61898.69</v>
          </cell>
        </row>
        <row r="151">
          <cell r="A151" t="str">
            <v>1011002599</v>
          </cell>
          <cell r="B151" t="str">
            <v>10</v>
          </cell>
          <cell r="C151" t="str">
            <v>025</v>
          </cell>
          <cell r="D151" t="str">
            <v>11</v>
          </cell>
          <cell r="E151" t="str">
            <v>99</v>
          </cell>
          <cell r="F151" t="str">
            <v>Assets</v>
          </cell>
          <cell r="G151" t="str">
            <v>Provision for Depreciation - Office Equipments</v>
          </cell>
          <cell r="H151" t="str">
            <v>Sampath Bank</v>
          </cell>
          <cell r="I151">
            <v>-554529.79</v>
          </cell>
        </row>
        <row r="152">
          <cell r="A152" t="str">
            <v>1011102599</v>
          </cell>
          <cell r="B152" t="str">
            <v>10</v>
          </cell>
          <cell r="C152" t="str">
            <v>025</v>
          </cell>
          <cell r="D152" t="str">
            <v>11</v>
          </cell>
          <cell r="E152" t="str">
            <v>99</v>
          </cell>
          <cell r="F152" t="str">
            <v>Assets</v>
          </cell>
          <cell r="G152" t="str">
            <v>Provision for Depreciation - Office Equipments</v>
          </cell>
          <cell r="H152" t="str">
            <v>Suntel ( Secondary Area Project )</v>
          </cell>
          <cell r="I152">
            <v>-3912136</v>
          </cell>
        </row>
        <row r="153">
          <cell r="A153" t="str">
            <v>1011202599</v>
          </cell>
          <cell r="B153" t="str">
            <v>10</v>
          </cell>
          <cell r="C153" t="str">
            <v>025</v>
          </cell>
          <cell r="D153" t="str">
            <v>11</v>
          </cell>
          <cell r="E153" t="str">
            <v>99</v>
          </cell>
          <cell r="F153" t="str">
            <v>Assets</v>
          </cell>
          <cell r="G153" t="str">
            <v>Provision for Depreciation - Office Equipments</v>
          </cell>
          <cell r="H153" t="str">
            <v>Heenatigala Garments</v>
          </cell>
          <cell r="I153">
            <v>-1488783.63</v>
          </cell>
        </row>
        <row r="154">
          <cell r="A154" t="str">
            <v>1011302599</v>
          </cell>
          <cell r="B154" t="str">
            <v>10</v>
          </cell>
          <cell r="C154" t="str">
            <v>025</v>
          </cell>
          <cell r="D154" t="str">
            <v>11</v>
          </cell>
          <cell r="E154" t="str">
            <v>99</v>
          </cell>
          <cell r="F154" t="str">
            <v>Assets</v>
          </cell>
          <cell r="G154" t="str">
            <v>Provision for Depreciation - Office Equipments</v>
          </cell>
          <cell r="H154" t="str">
            <v>Millenium Information Technology</v>
          </cell>
          <cell r="I154">
            <v>-103052.81</v>
          </cell>
        </row>
        <row r="155">
          <cell r="A155" t="str">
            <v>1011402599</v>
          </cell>
          <cell r="B155" t="str">
            <v>10</v>
          </cell>
          <cell r="C155" t="str">
            <v>025</v>
          </cell>
          <cell r="D155" t="str">
            <v>11</v>
          </cell>
          <cell r="E155" t="str">
            <v>99</v>
          </cell>
          <cell r="F155" t="str">
            <v>Assets</v>
          </cell>
          <cell r="G155" t="str">
            <v>Provision for Depreciation - Office Equipments</v>
          </cell>
          <cell r="H155" t="str">
            <v xml:space="preserve">Lanka Internet </v>
          </cell>
          <cell r="I155">
            <v>-250880.01</v>
          </cell>
        </row>
        <row r="156">
          <cell r="A156" t="str">
            <v>1011602599</v>
          </cell>
          <cell r="B156" t="str">
            <v>10</v>
          </cell>
          <cell r="C156" t="str">
            <v>025</v>
          </cell>
          <cell r="D156" t="str">
            <v>11</v>
          </cell>
          <cell r="E156" t="str">
            <v>99</v>
          </cell>
          <cell r="F156" t="str">
            <v>Assets</v>
          </cell>
          <cell r="G156" t="str">
            <v>Provision for Depreciation - Office Equipments</v>
          </cell>
          <cell r="H156" t="str">
            <v>Norwegian Embassy</v>
          </cell>
          <cell r="I156">
            <v>-173208.44</v>
          </cell>
        </row>
        <row r="157">
          <cell r="A157" t="str">
            <v>1011702599</v>
          </cell>
          <cell r="B157" t="str">
            <v>10</v>
          </cell>
          <cell r="C157" t="str">
            <v>025</v>
          </cell>
          <cell r="D157" t="str">
            <v>11</v>
          </cell>
          <cell r="E157" t="str">
            <v>99</v>
          </cell>
          <cell r="F157" t="str">
            <v>Assets</v>
          </cell>
          <cell r="G157" t="str">
            <v>Provision for Depreciation - Office Equipments</v>
          </cell>
          <cell r="H157" t="str">
            <v>Grain Elevators</v>
          </cell>
          <cell r="I157">
            <v>-405987.29</v>
          </cell>
        </row>
        <row r="158">
          <cell r="A158" t="str">
            <v>1011802599</v>
          </cell>
          <cell r="B158" t="str">
            <v>10</v>
          </cell>
          <cell r="C158" t="str">
            <v>025</v>
          </cell>
          <cell r="D158" t="str">
            <v>11</v>
          </cell>
          <cell r="E158" t="str">
            <v>99</v>
          </cell>
          <cell r="F158" t="str">
            <v>Assets</v>
          </cell>
          <cell r="G158" t="str">
            <v>Provision for Depreciation - Office Equipments</v>
          </cell>
          <cell r="H158" t="str">
            <v>Loadstar</v>
          </cell>
          <cell r="I158">
            <v>-449630.14</v>
          </cell>
        </row>
        <row r="159">
          <cell r="A159" t="str">
            <v>1011902599</v>
          </cell>
          <cell r="B159" t="str">
            <v>10</v>
          </cell>
          <cell r="C159" t="str">
            <v>025</v>
          </cell>
          <cell r="D159" t="str">
            <v>11</v>
          </cell>
          <cell r="E159" t="str">
            <v>99</v>
          </cell>
          <cell r="F159" t="str">
            <v>Assets</v>
          </cell>
          <cell r="G159" t="str">
            <v>Provision for Depreciation - Office Equipments</v>
          </cell>
          <cell r="H159" t="str">
            <v>Baurs &amp; Co.</v>
          </cell>
          <cell r="I159">
            <v>-239259.77</v>
          </cell>
        </row>
        <row r="160">
          <cell r="A160" t="str">
            <v>1012002599</v>
          </cell>
          <cell r="B160" t="str">
            <v>10</v>
          </cell>
          <cell r="C160" t="str">
            <v>025</v>
          </cell>
          <cell r="D160" t="str">
            <v>12</v>
          </cell>
          <cell r="E160" t="str">
            <v>99</v>
          </cell>
          <cell r="F160" t="str">
            <v>Assets</v>
          </cell>
          <cell r="G160" t="str">
            <v>Provision for Depreciation - Office Equipments</v>
          </cell>
          <cell r="H160" t="str">
            <v>Jinadasa Garments</v>
          </cell>
          <cell r="I160">
            <v>-475690.95</v>
          </cell>
        </row>
        <row r="161">
          <cell r="A161" t="str">
            <v>1012102599</v>
          </cell>
          <cell r="B161" t="str">
            <v>10</v>
          </cell>
          <cell r="C161" t="str">
            <v>025</v>
          </cell>
          <cell r="D161" t="str">
            <v>12</v>
          </cell>
          <cell r="E161" t="str">
            <v>99</v>
          </cell>
          <cell r="F161" t="str">
            <v>Assets</v>
          </cell>
          <cell r="G161" t="str">
            <v>Provision for Depreciation - Office Equipments</v>
          </cell>
          <cell r="H161" t="str">
            <v>Abance Pvt Limited  - WAN</v>
          </cell>
          <cell r="I161">
            <v>-37968.54</v>
          </cell>
        </row>
        <row r="162">
          <cell r="A162" t="str">
            <v>1012202599</v>
          </cell>
          <cell r="B162" t="str">
            <v>10</v>
          </cell>
          <cell r="C162" t="str">
            <v>025</v>
          </cell>
          <cell r="D162" t="str">
            <v>12</v>
          </cell>
          <cell r="E162" t="str">
            <v>99</v>
          </cell>
          <cell r="F162" t="str">
            <v>Assets</v>
          </cell>
          <cell r="G162" t="str">
            <v>Provision for Depreciation - Office Equipments</v>
          </cell>
          <cell r="H162" t="str">
            <v>Satellite Link - Madapatha</v>
          </cell>
          <cell r="I162">
            <v>-21364.84</v>
          </cell>
        </row>
        <row r="163">
          <cell r="A163" t="str">
            <v>1012402599</v>
          </cell>
          <cell r="B163" t="str">
            <v>10</v>
          </cell>
          <cell r="C163" t="str">
            <v>025</v>
          </cell>
          <cell r="D163" t="str">
            <v>12</v>
          </cell>
          <cell r="E163" t="str">
            <v>99</v>
          </cell>
          <cell r="F163" t="str">
            <v>Assets</v>
          </cell>
          <cell r="G163" t="str">
            <v>Provision for Depreciation - Office Equipments</v>
          </cell>
          <cell r="H163" t="str">
            <v>Forbes &amp; Walkers</v>
          </cell>
          <cell r="I163">
            <v>-236874.59</v>
          </cell>
        </row>
        <row r="164">
          <cell r="A164" t="str">
            <v>1012502599</v>
          </cell>
          <cell r="B164" t="str">
            <v>10</v>
          </cell>
          <cell r="C164" t="str">
            <v>025</v>
          </cell>
          <cell r="D164" t="str">
            <v>12</v>
          </cell>
          <cell r="E164" t="str">
            <v>99</v>
          </cell>
          <cell r="F164" t="str">
            <v>Assets</v>
          </cell>
          <cell r="G164" t="str">
            <v>Provision for Depreciation - Office Equipments</v>
          </cell>
          <cell r="H164" t="str">
            <v>AJS Apparels</v>
          </cell>
          <cell r="I164">
            <v>-122485.37</v>
          </cell>
        </row>
        <row r="165">
          <cell r="A165" t="str">
            <v>1012602599</v>
          </cell>
          <cell r="B165" t="str">
            <v>10</v>
          </cell>
          <cell r="C165" t="str">
            <v>025</v>
          </cell>
          <cell r="D165" t="str">
            <v>12</v>
          </cell>
          <cell r="E165" t="str">
            <v>99</v>
          </cell>
          <cell r="F165" t="str">
            <v>Assets</v>
          </cell>
          <cell r="G165" t="str">
            <v>Provision for Depreciation - Office Equipments</v>
          </cell>
          <cell r="H165" t="str">
            <v>Swiss Biogenics Ltd</v>
          </cell>
          <cell r="I165">
            <v>-91934.45</v>
          </cell>
        </row>
        <row r="166">
          <cell r="A166" t="str">
            <v>1012702599</v>
          </cell>
          <cell r="B166" t="str">
            <v>10</v>
          </cell>
          <cell r="C166" t="str">
            <v>025</v>
          </cell>
          <cell r="D166" t="str">
            <v>12</v>
          </cell>
          <cell r="E166" t="str">
            <v>99</v>
          </cell>
          <cell r="F166" t="str">
            <v>Assets</v>
          </cell>
          <cell r="G166" t="str">
            <v>Provision for Depreciation - Office Equipments</v>
          </cell>
          <cell r="H166" t="str">
            <v>Sumithra  Garments</v>
          </cell>
          <cell r="I166">
            <v>-363606.05</v>
          </cell>
        </row>
        <row r="167">
          <cell r="A167" t="str">
            <v>1012802599</v>
          </cell>
          <cell r="B167" t="str">
            <v>10</v>
          </cell>
          <cell r="C167" t="str">
            <v>025</v>
          </cell>
          <cell r="D167" t="str">
            <v>12</v>
          </cell>
          <cell r="E167" t="str">
            <v>99</v>
          </cell>
          <cell r="F167" t="str">
            <v>Assets</v>
          </cell>
          <cell r="G167" t="str">
            <v>Provision for Depreciation - Office Equipments</v>
          </cell>
          <cell r="H167" t="str">
            <v>Merc Bank</v>
          </cell>
          <cell r="I167">
            <v>-397926.16</v>
          </cell>
        </row>
        <row r="168">
          <cell r="A168" t="str">
            <v>1012902599</v>
          </cell>
          <cell r="B168" t="str">
            <v>10</v>
          </cell>
          <cell r="C168" t="str">
            <v>025</v>
          </cell>
          <cell r="D168" t="str">
            <v>12</v>
          </cell>
          <cell r="E168" t="str">
            <v>99</v>
          </cell>
          <cell r="F168" t="str">
            <v>Assets</v>
          </cell>
          <cell r="G168" t="str">
            <v>Provision for Depreciation - Office Equipments</v>
          </cell>
          <cell r="H168" t="str">
            <v>Peoples Leasing Company Ltd</v>
          </cell>
          <cell r="I168">
            <v>128358.03</v>
          </cell>
        </row>
        <row r="169">
          <cell r="A169" t="str">
            <v>1013002599</v>
          </cell>
          <cell r="B169" t="str">
            <v>10</v>
          </cell>
          <cell r="C169" t="str">
            <v>025</v>
          </cell>
          <cell r="D169" t="str">
            <v>13</v>
          </cell>
          <cell r="E169" t="str">
            <v>99</v>
          </cell>
          <cell r="F169" t="str">
            <v>Assets</v>
          </cell>
          <cell r="G169" t="str">
            <v>Provision for Depreciation - Office Equipments</v>
          </cell>
          <cell r="H169" t="str">
            <v>Managed Services ( ADB Project )</v>
          </cell>
          <cell r="I169">
            <v>-3709593.58</v>
          </cell>
        </row>
        <row r="170">
          <cell r="A170" t="str">
            <v>1013102599</v>
          </cell>
          <cell r="B170" t="str">
            <v>10</v>
          </cell>
          <cell r="C170" t="str">
            <v>025</v>
          </cell>
          <cell r="D170" t="str">
            <v>13</v>
          </cell>
          <cell r="E170" t="str">
            <v>99</v>
          </cell>
          <cell r="F170" t="str">
            <v>Assets</v>
          </cell>
          <cell r="G170" t="str">
            <v>Provision for Depreciation - Office Equipments</v>
          </cell>
          <cell r="H170" t="str">
            <v>LECO-Laser Bit Project</v>
          </cell>
          <cell r="I170">
            <v>-301386.86</v>
          </cell>
        </row>
        <row r="171">
          <cell r="A171" t="str">
            <v>1013302599</v>
          </cell>
          <cell r="B171" t="str">
            <v>10</v>
          </cell>
          <cell r="C171" t="str">
            <v>025</v>
          </cell>
          <cell r="D171" t="str">
            <v>13</v>
          </cell>
          <cell r="E171" t="str">
            <v>99</v>
          </cell>
          <cell r="F171" t="str">
            <v>Assets</v>
          </cell>
          <cell r="G171" t="str">
            <v>Provision for Depreciation - Office Equipments</v>
          </cell>
          <cell r="H171" t="str">
            <v>J.L. Morisons</v>
          </cell>
          <cell r="I171">
            <v>-79904.639999999999</v>
          </cell>
        </row>
        <row r="172">
          <cell r="A172" t="str">
            <v>1013402599</v>
          </cell>
          <cell r="B172" t="str">
            <v>10</v>
          </cell>
          <cell r="C172" t="str">
            <v>025</v>
          </cell>
          <cell r="D172" t="str">
            <v>13</v>
          </cell>
          <cell r="E172" t="str">
            <v>99</v>
          </cell>
          <cell r="F172" t="str">
            <v>Assets</v>
          </cell>
          <cell r="G172" t="str">
            <v>Provision for Depreciation - Office Equipments</v>
          </cell>
          <cell r="H172" t="str">
            <v>DPMCE Voice Project</v>
          </cell>
          <cell r="I172">
            <v>-876509.23</v>
          </cell>
        </row>
        <row r="173">
          <cell r="A173" t="str">
            <v>1013502599</v>
          </cell>
          <cell r="B173" t="str">
            <v>10</v>
          </cell>
          <cell r="C173" t="str">
            <v>025</v>
          </cell>
          <cell r="D173" t="str">
            <v>13</v>
          </cell>
          <cell r="E173" t="str">
            <v>99</v>
          </cell>
          <cell r="F173" t="str">
            <v>Assets</v>
          </cell>
          <cell r="G173" t="str">
            <v>Provision for Depreciation - Office Equipments</v>
          </cell>
          <cell r="H173" t="str">
            <v>Lanka Oris Insurance Brokers  Ltd</v>
          </cell>
          <cell r="I173">
            <v>-74993.960000000006</v>
          </cell>
        </row>
        <row r="174">
          <cell r="A174" t="str">
            <v>1013602599</v>
          </cell>
          <cell r="B174" t="str">
            <v>10</v>
          </cell>
          <cell r="C174" t="str">
            <v>025</v>
          </cell>
          <cell r="D174" t="str">
            <v>13</v>
          </cell>
          <cell r="E174" t="str">
            <v>99</v>
          </cell>
          <cell r="F174" t="str">
            <v>Assets</v>
          </cell>
          <cell r="G174" t="str">
            <v>Provision for Depreciation - Office Equipments</v>
          </cell>
          <cell r="H174" t="str">
            <v>Cargills Quality Foods</v>
          </cell>
          <cell r="I174">
            <v>-120953.43</v>
          </cell>
        </row>
        <row r="175">
          <cell r="A175" t="str">
            <v>1013802599</v>
          </cell>
          <cell r="B175" t="str">
            <v>10</v>
          </cell>
          <cell r="C175" t="str">
            <v>025</v>
          </cell>
          <cell r="D175" t="str">
            <v>13</v>
          </cell>
          <cell r="E175" t="str">
            <v>99</v>
          </cell>
          <cell r="F175" t="str">
            <v>Assets</v>
          </cell>
          <cell r="G175" t="str">
            <v>Provision for Depreciation - Office Equipments</v>
          </cell>
          <cell r="H175" t="str">
            <v>VGK- Matara</v>
          </cell>
          <cell r="I175">
            <v>-169523.8</v>
          </cell>
        </row>
        <row r="176">
          <cell r="A176" t="str">
            <v>1013902599</v>
          </cell>
          <cell r="B176" t="str">
            <v>10</v>
          </cell>
          <cell r="C176" t="str">
            <v>025</v>
          </cell>
          <cell r="D176" t="str">
            <v>13</v>
          </cell>
          <cell r="E176" t="str">
            <v>99</v>
          </cell>
          <cell r="F176" t="str">
            <v>Assets</v>
          </cell>
          <cell r="G176" t="str">
            <v>Provision for Depreciation - Office Equipments</v>
          </cell>
          <cell r="H176" t="str">
            <v>Merchant Credit of Sri Lanka Ltd.</v>
          </cell>
          <cell r="I176">
            <v>-671.04</v>
          </cell>
        </row>
        <row r="177">
          <cell r="A177" t="str">
            <v>1014002599</v>
          </cell>
          <cell r="B177" t="str">
            <v>10</v>
          </cell>
          <cell r="C177" t="str">
            <v>025</v>
          </cell>
          <cell r="D177" t="str">
            <v>14</v>
          </cell>
          <cell r="E177" t="str">
            <v>99</v>
          </cell>
          <cell r="F177" t="str">
            <v>Assets</v>
          </cell>
          <cell r="G177" t="str">
            <v>Provision for Depreciation - Office Equipments</v>
          </cell>
          <cell r="H177" t="str">
            <v>Swarna Mahal</v>
          </cell>
          <cell r="I177">
            <v>-34731.49</v>
          </cell>
        </row>
        <row r="178">
          <cell r="A178" t="str">
            <v>1014102599</v>
          </cell>
          <cell r="B178" t="str">
            <v>10</v>
          </cell>
          <cell r="C178" t="str">
            <v>025</v>
          </cell>
          <cell r="D178" t="str">
            <v>14</v>
          </cell>
          <cell r="E178" t="str">
            <v>99</v>
          </cell>
          <cell r="F178" t="str">
            <v>Assets</v>
          </cell>
          <cell r="G178" t="str">
            <v>Provision for Depreciation - Office Equipments</v>
          </cell>
          <cell r="H178" t="str">
            <v>Laugh GAS</v>
          </cell>
          <cell r="I178">
            <v>-24156.25</v>
          </cell>
        </row>
        <row r="179">
          <cell r="A179" t="str">
            <v>1014202599</v>
          </cell>
          <cell r="B179" t="str">
            <v>10</v>
          </cell>
          <cell r="C179" t="str">
            <v>025</v>
          </cell>
          <cell r="D179" t="str">
            <v>14</v>
          </cell>
          <cell r="E179" t="str">
            <v>99</v>
          </cell>
          <cell r="F179" t="str">
            <v>Assets</v>
          </cell>
          <cell r="G179" t="str">
            <v>Provision for Depreciation - Office Equipments</v>
          </cell>
          <cell r="H179" t="str">
            <v>THOMAS COOK</v>
          </cell>
          <cell r="I179">
            <v>-6906.3</v>
          </cell>
        </row>
        <row r="180">
          <cell r="A180" t="str">
            <v>1014302599</v>
          </cell>
          <cell r="B180" t="str">
            <v>10</v>
          </cell>
          <cell r="C180" t="str">
            <v>025</v>
          </cell>
          <cell r="D180" t="str">
            <v>14</v>
          </cell>
          <cell r="E180" t="str">
            <v>99</v>
          </cell>
          <cell r="F180" t="str">
            <v>Assets</v>
          </cell>
          <cell r="G180" t="str">
            <v>Provision for Depreciation - Office Equipments</v>
          </cell>
          <cell r="H180" t="str">
            <v>Pership</v>
          </cell>
          <cell r="I180">
            <v>-19685.5</v>
          </cell>
        </row>
        <row r="181">
          <cell r="A181" t="str">
            <v>1014402599</v>
          </cell>
          <cell r="B181" t="str">
            <v>10</v>
          </cell>
          <cell r="C181" t="str">
            <v>025</v>
          </cell>
          <cell r="D181" t="str">
            <v>14</v>
          </cell>
          <cell r="E181" t="str">
            <v>99</v>
          </cell>
          <cell r="F181" t="str">
            <v>Assets</v>
          </cell>
          <cell r="G181" t="str">
            <v>Provision for Depreciation - Office Equipments</v>
          </cell>
          <cell r="H181" t="str">
            <v>VERTICO - Padukka</v>
          </cell>
          <cell r="I181">
            <v>-2356.83</v>
          </cell>
        </row>
        <row r="182">
          <cell r="A182" t="str">
            <v>1014502599</v>
          </cell>
          <cell r="B182" t="str">
            <v>10</v>
          </cell>
          <cell r="C182" t="str">
            <v>025</v>
          </cell>
          <cell r="D182" t="str">
            <v>14</v>
          </cell>
          <cell r="E182" t="str">
            <v>99</v>
          </cell>
          <cell r="F182" t="str">
            <v>Assets</v>
          </cell>
          <cell r="G182" t="str">
            <v>Provision for Depreciation - Office Equipments</v>
          </cell>
          <cell r="H182" t="str">
            <v>IRIS</v>
          </cell>
          <cell r="I182">
            <v>-2123.7600000000002</v>
          </cell>
        </row>
        <row r="183">
          <cell r="A183" t="str">
            <v>1014602599</v>
          </cell>
          <cell r="B183" t="str">
            <v>10</v>
          </cell>
          <cell r="C183" t="str">
            <v>025</v>
          </cell>
          <cell r="D183" t="str">
            <v>14</v>
          </cell>
          <cell r="E183" t="str">
            <v>99</v>
          </cell>
          <cell r="F183" t="str">
            <v>Assets</v>
          </cell>
          <cell r="G183" t="str">
            <v>Provision for Depreciation - Office Equipments</v>
          </cell>
          <cell r="H183" t="str">
            <v>DAMRO HOLDINGS</v>
          </cell>
          <cell r="I183">
            <v>-34971.49</v>
          </cell>
        </row>
        <row r="184">
          <cell r="A184" t="str">
            <v>1014702599</v>
          </cell>
          <cell r="B184" t="str">
            <v>10</v>
          </cell>
          <cell r="C184" t="str">
            <v>025</v>
          </cell>
          <cell r="D184" t="str">
            <v>14</v>
          </cell>
          <cell r="E184" t="str">
            <v>99</v>
          </cell>
          <cell r="F184" t="str">
            <v>Assets</v>
          </cell>
          <cell r="G184" t="str">
            <v>Provision for Depreciation - Office Equipments</v>
          </cell>
          <cell r="H184" t="str">
            <v>UNION ASSURANCE</v>
          </cell>
          <cell r="I184">
            <v>-1858.01</v>
          </cell>
        </row>
        <row r="185">
          <cell r="A185" t="str">
            <v>1014802599</v>
          </cell>
          <cell r="B185" t="str">
            <v>10</v>
          </cell>
          <cell r="C185" t="str">
            <v>025</v>
          </cell>
          <cell r="D185" t="str">
            <v>14</v>
          </cell>
          <cell r="E185" t="str">
            <v>99</v>
          </cell>
          <cell r="F185" t="str">
            <v>Assets</v>
          </cell>
          <cell r="G185" t="str">
            <v>Provision for Depreciation - Office Equipments</v>
          </cell>
          <cell r="H185" t="str">
            <v>UNDP</v>
          </cell>
          <cell r="I185">
            <v>-10086.280000000001</v>
          </cell>
        </row>
        <row r="186">
          <cell r="A186" t="str">
            <v>1014902599</v>
          </cell>
          <cell r="B186" t="str">
            <v>10</v>
          </cell>
          <cell r="C186" t="str">
            <v>025</v>
          </cell>
          <cell r="D186" t="str">
            <v>14</v>
          </cell>
          <cell r="E186" t="str">
            <v>99</v>
          </cell>
          <cell r="F186" t="str">
            <v>Assets</v>
          </cell>
          <cell r="G186" t="str">
            <v>Provision for Depreciation - Office Equipments</v>
          </cell>
          <cell r="H186" t="str">
            <v>LION BREWERIES</v>
          </cell>
          <cell r="I186">
            <v>-17954.5</v>
          </cell>
        </row>
        <row r="187">
          <cell r="A187" t="str">
            <v>101502599</v>
          </cell>
          <cell r="B187" t="str">
            <v>10</v>
          </cell>
          <cell r="C187" t="str">
            <v>025</v>
          </cell>
          <cell r="D187" t="str">
            <v>15</v>
          </cell>
          <cell r="E187" t="str">
            <v>99</v>
          </cell>
          <cell r="F187" t="str">
            <v>Assets</v>
          </cell>
          <cell r="G187" t="str">
            <v>Provision for Depreciation - Office Equipments</v>
          </cell>
          <cell r="H187" t="str">
            <v>ISP Operations</v>
          </cell>
          <cell r="I187">
            <v>-2435243.65</v>
          </cell>
        </row>
        <row r="188">
          <cell r="A188" t="str">
            <v>1015102599</v>
          </cell>
          <cell r="B188" t="str">
            <v>10</v>
          </cell>
          <cell r="C188" t="str">
            <v>025</v>
          </cell>
          <cell r="D188" t="str">
            <v>15</v>
          </cell>
          <cell r="E188" t="str">
            <v>99</v>
          </cell>
          <cell r="F188" t="str">
            <v>Assets</v>
          </cell>
          <cell r="G188" t="str">
            <v>Provision for Depreciation - Office Equipments</v>
          </cell>
          <cell r="H188" t="str">
            <v>SERENDIB LEASURE MANAGEMENT (PVT) LTD</v>
          </cell>
          <cell r="I188">
            <v>-10614.06</v>
          </cell>
        </row>
        <row r="189">
          <cell r="A189" t="str">
            <v>1015202599</v>
          </cell>
          <cell r="B189" t="str">
            <v>10</v>
          </cell>
          <cell r="C189" t="str">
            <v>025</v>
          </cell>
          <cell r="D189" t="str">
            <v>15</v>
          </cell>
          <cell r="E189" t="str">
            <v>99</v>
          </cell>
          <cell r="F189" t="str">
            <v>Assets</v>
          </cell>
          <cell r="G189" t="str">
            <v>Provision for Depreciation - Office Equipments</v>
          </cell>
          <cell r="H189" t="str">
            <v>FRENCH CORNER</v>
          </cell>
          <cell r="I189">
            <v>-5154.09</v>
          </cell>
        </row>
        <row r="190">
          <cell r="A190" t="str">
            <v>1015302599</v>
          </cell>
          <cell r="B190" t="str">
            <v>10</v>
          </cell>
          <cell r="C190" t="str">
            <v>025</v>
          </cell>
          <cell r="D190" t="str">
            <v>15</v>
          </cell>
          <cell r="E190" t="str">
            <v>99</v>
          </cell>
          <cell r="F190" t="str">
            <v>Assets</v>
          </cell>
          <cell r="G190" t="str">
            <v>Provision for Depreciation - Office Equipments</v>
          </cell>
          <cell r="H190" t="str">
            <v>DSI SAMSON GROUP</v>
          </cell>
          <cell r="I190">
            <v>-5733.4</v>
          </cell>
        </row>
        <row r="191">
          <cell r="A191" t="str">
            <v>104602599</v>
          </cell>
          <cell r="B191" t="str">
            <v>10</v>
          </cell>
          <cell r="C191" t="str">
            <v>025</v>
          </cell>
          <cell r="D191" t="str">
            <v>46</v>
          </cell>
          <cell r="E191" t="str">
            <v>99</v>
          </cell>
          <cell r="F191" t="str">
            <v>Assets</v>
          </cell>
          <cell r="G191" t="str">
            <v>Provision for Depreciation - Office Equipments</v>
          </cell>
          <cell r="H191" t="str">
            <v>Lanka Orix Factors Co. Ltd.</v>
          </cell>
          <cell r="I191">
            <v>-118584.85</v>
          </cell>
        </row>
        <row r="192">
          <cell r="A192" t="str">
            <v>107102541</v>
          </cell>
          <cell r="B192" t="str">
            <v>10</v>
          </cell>
          <cell r="C192" t="str">
            <v>025</v>
          </cell>
          <cell r="D192" t="str">
            <v>71</v>
          </cell>
          <cell r="E192" t="str">
            <v>41</v>
          </cell>
          <cell r="F192" t="str">
            <v>Assets</v>
          </cell>
          <cell r="G192" t="str">
            <v>Provision for Depreciation - Office Equipments</v>
          </cell>
          <cell r="H192" t="str">
            <v>PROJECT-LOLC</v>
          </cell>
          <cell r="I192">
            <v>-190953.58</v>
          </cell>
        </row>
        <row r="193">
          <cell r="A193" t="str">
            <v>107102542</v>
          </cell>
          <cell r="B193" t="str">
            <v>10</v>
          </cell>
          <cell r="C193" t="str">
            <v>025</v>
          </cell>
          <cell r="D193" t="str">
            <v>71</v>
          </cell>
          <cell r="E193" t="str">
            <v>42</v>
          </cell>
          <cell r="F193" t="str">
            <v>Assets</v>
          </cell>
          <cell r="G193" t="str">
            <v>Provision for Depreciation - Office Equipments</v>
          </cell>
          <cell r="H193" t="str">
            <v>PROJECT-LOLC</v>
          </cell>
          <cell r="I193">
            <v>-335234.53000000003</v>
          </cell>
        </row>
        <row r="194">
          <cell r="A194" t="str">
            <v>107102543</v>
          </cell>
          <cell r="B194" t="str">
            <v>10</v>
          </cell>
          <cell r="C194" t="str">
            <v>025</v>
          </cell>
          <cell r="D194" t="str">
            <v>71</v>
          </cell>
          <cell r="E194" t="str">
            <v>43</v>
          </cell>
          <cell r="F194" t="str">
            <v>Assets</v>
          </cell>
          <cell r="G194" t="str">
            <v>Provision for Depreciation - Office Equipments</v>
          </cell>
          <cell r="H194" t="str">
            <v>PROJECT-LOLC</v>
          </cell>
          <cell r="I194">
            <v>-682582.55</v>
          </cell>
        </row>
        <row r="195">
          <cell r="A195" t="str">
            <v>107102544</v>
          </cell>
          <cell r="B195" t="str">
            <v>10</v>
          </cell>
          <cell r="C195" t="str">
            <v>025</v>
          </cell>
          <cell r="D195" t="str">
            <v>71</v>
          </cell>
          <cell r="E195" t="str">
            <v>44</v>
          </cell>
          <cell r="F195" t="str">
            <v>Assets</v>
          </cell>
          <cell r="G195" t="str">
            <v>Provision for Depreciation - Office Equipments</v>
          </cell>
          <cell r="H195" t="str">
            <v>PROJECT-LOLC</v>
          </cell>
          <cell r="I195">
            <v>-351195.06</v>
          </cell>
        </row>
        <row r="196">
          <cell r="A196" t="str">
            <v>107102545</v>
          </cell>
          <cell r="B196" t="str">
            <v>10</v>
          </cell>
          <cell r="C196" t="str">
            <v>025</v>
          </cell>
          <cell r="D196" t="str">
            <v>71</v>
          </cell>
          <cell r="E196" t="str">
            <v>45</v>
          </cell>
          <cell r="F196" t="str">
            <v>Assets</v>
          </cell>
          <cell r="G196" t="str">
            <v>Provision for Depreciation - Office Equipments</v>
          </cell>
          <cell r="H196" t="str">
            <v>PROJECT-LOLC</v>
          </cell>
          <cell r="I196">
            <v>-185095.15</v>
          </cell>
        </row>
        <row r="197">
          <cell r="A197" t="str">
            <v>107102565</v>
          </cell>
          <cell r="B197" t="str">
            <v>10</v>
          </cell>
          <cell r="C197" t="str">
            <v>025</v>
          </cell>
          <cell r="D197" t="str">
            <v>71</v>
          </cell>
          <cell r="E197" t="str">
            <v>65</v>
          </cell>
          <cell r="F197" t="str">
            <v>Assets</v>
          </cell>
          <cell r="G197" t="str">
            <v>Provision for Depreciation - Office Equipments</v>
          </cell>
          <cell r="H197" t="str">
            <v>PROJECT-LOLC</v>
          </cell>
          <cell r="I197">
            <v>-463924.1</v>
          </cell>
        </row>
        <row r="198">
          <cell r="A198" t="str">
            <v>107102572</v>
          </cell>
          <cell r="B198" t="str">
            <v>10</v>
          </cell>
          <cell r="C198" t="str">
            <v>025</v>
          </cell>
          <cell r="D198" t="str">
            <v>71</v>
          </cell>
          <cell r="E198" t="str">
            <v>72</v>
          </cell>
          <cell r="F198" t="str">
            <v>Assets</v>
          </cell>
          <cell r="G198" t="str">
            <v>Provision for Depreciation - Office Equipments</v>
          </cell>
          <cell r="H198" t="str">
            <v>PROJECT-LOLC</v>
          </cell>
          <cell r="I198">
            <v>-1326084.71</v>
          </cell>
        </row>
        <row r="199">
          <cell r="A199" t="str">
            <v>107102599</v>
          </cell>
          <cell r="B199" t="str">
            <v>10</v>
          </cell>
          <cell r="C199" t="str">
            <v>025</v>
          </cell>
          <cell r="D199" t="str">
            <v>71</v>
          </cell>
          <cell r="E199" t="str">
            <v>99</v>
          </cell>
          <cell r="F199" t="str">
            <v>Assets</v>
          </cell>
          <cell r="G199" t="str">
            <v>Provision for Depreciation - Office Equipments</v>
          </cell>
          <cell r="H199" t="str">
            <v>PROJECT-LOLC</v>
          </cell>
          <cell r="I199">
            <v>301992.63</v>
          </cell>
        </row>
        <row r="200">
          <cell r="A200" t="str">
            <v>107202599</v>
          </cell>
          <cell r="B200" t="str">
            <v>10</v>
          </cell>
          <cell r="C200" t="str">
            <v>025</v>
          </cell>
          <cell r="D200" t="str">
            <v>72</v>
          </cell>
          <cell r="E200" t="str">
            <v>99</v>
          </cell>
          <cell r="F200" t="str">
            <v>Assets</v>
          </cell>
          <cell r="G200" t="str">
            <v>Provision for Depreciation - Office Equipments</v>
          </cell>
          <cell r="H200" t="str">
            <v>Kelani Ceat Co Ltd.</v>
          </cell>
          <cell r="I200">
            <v>-222933.37</v>
          </cell>
        </row>
        <row r="201">
          <cell r="A201" t="str">
            <v>107302599</v>
          </cell>
          <cell r="B201" t="str">
            <v>10</v>
          </cell>
          <cell r="C201" t="str">
            <v>025</v>
          </cell>
          <cell r="D201" t="str">
            <v>73</v>
          </cell>
          <cell r="E201" t="str">
            <v>99</v>
          </cell>
          <cell r="F201" t="str">
            <v>Assets</v>
          </cell>
          <cell r="G201" t="str">
            <v>Provision for Depreciation - Office Equipments</v>
          </cell>
          <cell r="H201" t="str">
            <v>Hemas Holdings ltd.</v>
          </cell>
          <cell r="I201">
            <v>-1726688.47</v>
          </cell>
        </row>
        <row r="202">
          <cell r="A202" t="str">
            <v>107402599</v>
          </cell>
          <cell r="B202" t="str">
            <v>10</v>
          </cell>
          <cell r="C202" t="str">
            <v>025</v>
          </cell>
          <cell r="D202" t="str">
            <v>74</v>
          </cell>
          <cell r="E202" t="str">
            <v>99</v>
          </cell>
          <cell r="F202" t="str">
            <v>Assets</v>
          </cell>
          <cell r="G202" t="str">
            <v>Provision for Depreciation - Office Equipments</v>
          </cell>
          <cell r="H202" t="str">
            <v>David Pieris Motor Company ( WAN)</v>
          </cell>
          <cell r="I202">
            <v>-717224.84</v>
          </cell>
        </row>
        <row r="203">
          <cell r="A203" t="str">
            <v>107502599</v>
          </cell>
          <cell r="B203" t="str">
            <v>10</v>
          </cell>
          <cell r="C203" t="str">
            <v>025</v>
          </cell>
          <cell r="D203" t="str">
            <v>75</v>
          </cell>
          <cell r="E203" t="str">
            <v>99</v>
          </cell>
          <cell r="F203" t="str">
            <v>Assets</v>
          </cell>
          <cell r="G203" t="str">
            <v>Provision for Depreciation - Office Equipments</v>
          </cell>
          <cell r="H203" t="str">
            <v>DPMCE - Back up Routers</v>
          </cell>
          <cell r="I203">
            <v>-1771576.96</v>
          </cell>
        </row>
        <row r="204">
          <cell r="A204" t="str">
            <v>107602599</v>
          </cell>
          <cell r="B204" t="str">
            <v>10</v>
          </cell>
          <cell r="C204" t="str">
            <v>025</v>
          </cell>
          <cell r="D204" t="str">
            <v>76</v>
          </cell>
          <cell r="E204" t="str">
            <v>99</v>
          </cell>
          <cell r="F204" t="str">
            <v>Assets</v>
          </cell>
          <cell r="G204" t="str">
            <v>Provision for Depreciation - Office Equipments</v>
          </cell>
          <cell r="H204" t="str">
            <v>Unilever Ceylon Ltd.</v>
          </cell>
          <cell r="I204">
            <v>-803998.47</v>
          </cell>
        </row>
        <row r="205">
          <cell r="A205" t="str">
            <v>107702599</v>
          </cell>
          <cell r="B205" t="str">
            <v>10</v>
          </cell>
          <cell r="C205" t="str">
            <v>025</v>
          </cell>
          <cell r="D205" t="str">
            <v>77</v>
          </cell>
          <cell r="E205" t="str">
            <v>99</v>
          </cell>
          <cell r="F205" t="str">
            <v>Assets</v>
          </cell>
          <cell r="G205" t="str">
            <v>Provision for Depreciation - Office Equipments</v>
          </cell>
          <cell r="H205" t="str">
            <v>Puttalam Cement Ltd.</v>
          </cell>
          <cell r="I205">
            <v>-1479357.23</v>
          </cell>
        </row>
        <row r="206">
          <cell r="A206" t="str">
            <v>107802599</v>
          </cell>
          <cell r="B206" t="str">
            <v>10</v>
          </cell>
          <cell r="C206" t="str">
            <v>025</v>
          </cell>
          <cell r="D206" t="str">
            <v>78</v>
          </cell>
          <cell r="E206" t="str">
            <v>99</v>
          </cell>
          <cell r="F206" t="str">
            <v>Assets</v>
          </cell>
          <cell r="G206" t="str">
            <v>Provision for Depreciation - Office Equipments</v>
          </cell>
          <cell r="H206" t="str">
            <v>Discover IT (Pvt.) Ltd.</v>
          </cell>
          <cell r="I206">
            <v>-170000</v>
          </cell>
        </row>
        <row r="207">
          <cell r="A207" t="str">
            <v>108002599</v>
          </cell>
          <cell r="B207" t="str">
            <v>10</v>
          </cell>
          <cell r="C207" t="str">
            <v>025</v>
          </cell>
          <cell r="D207" t="str">
            <v>80</v>
          </cell>
          <cell r="E207" t="str">
            <v>99</v>
          </cell>
          <cell r="F207" t="str">
            <v>Assets</v>
          </cell>
          <cell r="G207" t="str">
            <v>Provision for Depreciation - Office Equipments</v>
          </cell>
          <cell r="H207" t="str">
            <v>Bank of Ceylon Ltd.</v>
          </cell>
          <cell r="I207">
            <v>-598881.18999999994</v>
          </cell>
        </row>
        <row r="208">
          <cell r="A208" t="str">
            <v>108202599</v>
          </cell>
          <cell r="B208" t="str">
            <v>10</v>
          </cell>
          <cell r="C208" t="str">
            <v>025</v>
          </cell>
          <cell r="D208" t="str">
            <v>82</v>
          </cell>
          <cell r="E208" t="str">
            <v>99</v>
          </cell>
          <cell r="F208" t="str">
            <v>Assets</v>
          </cell>
          <cell r="G208" t="str">
            <v>Provision for Depreciation - Office Equipments</v>
          </cell>
          <cell r="H208" t="str">
            <v>Pan Asia Bank</v>
          </cell>
          <cell r="I208">
            <v>-2648399.73</v>
          </cell>
        </row>
        <row r="209">
          <cell r="A209" t="str">
            <v>108302599</v>
          </cell>
          <cell r="B209" t="str">
            <v>10</v>
          </cell>
          <cell r="C209" t="str">
            <v>025</v>
          </cell>
          <cell r="D209" t="str">
            <v>83</v>
          </cell>
          <cell r="E209" t="str">
            <v>99</v>
          </cell>
          <cell r="F209" t="str">
            <v>Assets</v>
          </cell>
          <cell r="G209" t="str">
            <v>Provision for Depreciation - Office Equipments</v>
          </cell>
          <cell r="H209" t="str">
            <v>ITMIN Ltd.</v>
          </cell>
          <cell r="I209">
            <v>-908064.02</v>
          </cell>
        </row>
        <row r="210">
          <cell r="A210" t="str">
            <v>108402599</v>
          </cell>
          <cell r="B210" t="str">
            <v>10</v>
          </cell>
          <cell r="C210" t="str">
            <v>025</v>
          </cell>
          <cell r="D210" t="str">
            <v>84</v>
          </cell>
          <cell r="E210" t="str">
            <v>99</v>
          </cell>
          <cell r="F210" t="str">
            <v>Assets</v>
          </cell>
          <cell r="G210" t="str">
            <v>Provision for Depreciation - Office Equipments</v>
          </cell>
          <cell r="H210" t="str">
            <v>East - West Information Ltd.</v>
          </cell>
          <cell r="I210">
            <v>-1139210.78</v>
          </cell>
        </row>
        <row r="211">
          <cell r="A211" t="str">
            <v>108502599</v>
          </cell>
          <cell r="B211" t="str">
            <v>10</v>
          </cell>
          <cell r="C211" t="str">
            <v>025</v>
          </cell>
          <cell r="D211" t="str">
            <v>85</v>
          </cell>
          <cell r="E211" t="str">
            <v>99</v>
          </cell>
          <cell r="F211" t="str">
            <v>Assets</v>
          </cell>
          <cell r="G211" t="str">
            <v>Provision for Depreciation - Office Equipments</v>
          </cell>
          <cell r="H211" t="str">
            <v>BATA Shoe Co of Ceylon Ltd.</v>
          </cell>
          <cell r="I211">
            <v>-442194.33</v>
          </cell>
        </row>
        <row r="212">
          <cell r="A212" t="str">
            <v>108602599</v>
          </cell>
          <cell r="B212" t="str">
            <v>10</v>
          </cell>
          <cell r="C212" t="str">
            <v>025</v>
          </cell>
          <cell r="D212" t="str">
            <v>86</v>
          </cell>
          <cell r="E212" t="str">
            <v>99</v>
          </cell>
          <cell r="F212" t="str">
            <v>Assets</v>
          </cell>
          <cell r="G212" t="str">
            <v>Provision for Depreciation - Office Equipments</v>
          </cell>
          <cell r="H212" t="str">
            <v>Golden Key ( C/o ITMIN Ltd.)</v>
          </cell>
          <cell r="I212">
            <v>-150000</v>
          </cell>
        </row>
        <row r="213">
          <cell r="A213" t="str">
            <v>108702599</v>
          </cell>
          <cell r="B213" t="str">
            <v>10</v>
          </cell>
          <cell r="C213" t="str">
            <v>025</v>
          </cell>
          <cell r="D213" t="str">
            <v>87</v>
          </cell>
          <cell r="E213" t="str">
            <v>99</v>
          </cell>
          <cell r="F213" t="str">
            <v>Assets</v>
          </cell>
          <cell r="G213" t="str">
            <v>Provision for Depreciation - Office Equipments</v>
          </cell>
          <cell r="H213" t="str">
            <v>Shell Gas Ltd.</v>
          </cell>
          <cell r="I213">
            <v>-3272104.57</v>
          </cell>
        </row>
        <row r="214">
          <cell r="A214" t="str">
            <v>108802599</v>
          </cell>
          <cell r="B214" t="str">
            <v>10</v>
          </cell>
          <cell r="C214" t="str">
            <v>025</v>
          </cell>
          <cell r="D214" t="str">
            <v>88</v>
          </cell>
          <cell r="E214" t="str">
            <v>99</v>
          </cell>
          <cell r="F214" t="str">
            <v>Assets</v>
          </cell>
          <cell r="G214" t="str">
            <v>Provision for Depreciation - Office Equipments</v>
          </cell>
          <cell r="H214" t="str">
            <v>Smart Net Lanka Limited.</v>
          </cell>
          <cell r="I214">
            <v>-150000</v>
          </cell>
        </row>
        <row r="215">
          <cell r="A215" t="str">
            <v>108902599</v>
          </cell>
          <cell r="B215" t="str">
            <v>10</v>
          </cell>
          <cell r="C215" t="str">
            <v>025</v>
          </cell>
          <cell r="D215" t="str">
            <v>89</v>
          </cell>
          <cell r="E215" t="str">
            <v>99</v>
          </cell>
          <cell r="F215" t="str">
            <v>Assets</v>
          </cell>
          <cell r="G215" t="str">
            <v>Provision for Depreciation - Office Equipments</v>
          </cell>
          <cell r="H215" t="str">
            <v>People's Bank ( O/A Just In Time )</v>
          </cell>
          <cell r="I215">
            <v>-5984857.1200000001</v>
          </cell>
        </row>
        <row r="216">
          <cell r="A216" t="str">
            <v>109002599</v>
          </cell>
          <cell r="B216" t="str">
            <v>10</v>
          </cell>
          <cell r="C216" t="str">
            <v>025</v>
          </cell>
          <cell r="D216" t="str">
            <v>90</v>
          </cell>
          <cell r="E216" t="str">
            <v>99</v>
          </cell>
          <cell r="F216" t="str">
            <v>Assets</v>
          </cell>
          <cell r="G216" t="str">
            <v>Provision for Depreciation - Office Equipments</v>
          </cell>
          <cell r="H216" t="str">
            <v>Clipsal Lanka ( O/A of Suntel )</v>
          </cell>
          <cell r="I216">
            <v>-1868279.3</v>
          </cell>
        </row>
        <row r="217">
          <cell r="A217" t="str">
            <v>109102599</v>
          </cell>
          <cell r="B217" t="str">
            <v>10</v>
          </cell>
          <cell r="C217" t="str">
            <v>025</v>
          </cell>
          <cell r="D217" t="str">
            <v>91</v>
          </cell>
          <cell r="E217" t="str">
            <v>99</v>
          </cell>
          <cell r="F217" t="str">
            <v>Assets</v>
          </cell>
          <cell r="G217" t="str">
            <v>Provision for Depreciation - Office Equipments</v>
          </cell>
          <cell r="H217" t="str">
            <v>Central Finance</v>
          </cell>
          <cell r="I217">
            <v>-1329210.47</v>
          </cell>
        </row>
        <row r="218">
          <cell r="A218" t="str">
            <v>109202599</v>
          </cell>
          <cell r="B218" t="str">
            <v>10</v>
          </cell>
          <cell r="C218" t="str">
            <v>025</v>
          </cell>
          <cell r="D218" t="str">
            <v>92</v>
          </cell>
          <cell r="E218" t="str">
            <v>99</v>
          </cell>
          <cell r="F218" t="str">
            <v>Assets</v>
          </cell>
          <cell r="G218" t="str">
            <v>Provision for Depreciation - Office Equipments</v>
          </cell>
          <cell r="H218" t="str">
            <v>Asiasoft (pvt.) Ltd.</v>
          </cell>
          <cell r="I218">
            <v>-65500.41</v>
          </cell>
        </row>
        <row r="219">
          <cell r="A219" t="str">
            <v>109302599</v>
          </cell>
          <cell r="B219" t="str">
            <v>10</v>
          </cell>
          <cell r="C219" t="str">
            <v>025</v>
          </cell>
          <cell r="D219" t="str">
            <v>93</v>
          </cell>
          <cell r="E219" t="str">
            <v>99</v>
          </cell>
          <cell r="F219" t="str">
            <v>Assets</v>
          </cell>
          <cell r="G219" t="str">
            <v>Provision for Depreciation - Office Equipments</v>
          </cell>
          <cell r="H219" t="str">
            <v>Ceylon Biscuits</v>
          </cell>
          <cell r="I219">
            <v>-305826.82</v>
          </cell>
        </row>
        <row r="220">
          <cell r="A220" t="str">
            <v>109502599</v>
          </cell>
          <cell r="B220" t="str">
            <v>10</v>
          </cell>
          <cell r="C220" t="str">
            <v>025</v>
          </cell>
          <cell r="D220" t="str">
            <v>95</v>
          </cell>
          <cell r="E220" t="str">
            <v>99</v>
          </cell>
          <cell r="F220" t="str">
            <v>Assets</v>
          </cell>
          <cell r="G220" t="str">
            <v>Provision for Depreciation - Office Equipments</v>
          </cell>
          <cell r="H220" t="str">
            <v>Crescat Development Ltd.</v>
          </cell>
          <cell r="I220">
            <v>-354395.97</v>
          </cell>
        </row>
        <row r="221">
          <cell r="A221" t="str">
            <v>109602599</v>
          </cell>
          <cell r="B221" t="str">
            <v>10</v>
          </cell>
          <cell r="C221" t="str">
            <v>025</v>
          </cell>
          <cell r="D221" t="str">
            <v>96</v>
          </cell>
          <cell r="E221" t="str">
            <v>99</v>
          </cell>
          <cell r="F221" t="str">
            <v>Assets</v>
          </cell>
          <cell r="G221" t="str">
            <v>Provision for Depreciation - Office Equipments</v>
          </cell>
          <cell r="H221" t="str">
            <v>Maerst Line</v>
          </cell>
          <cell r="I221">
            <v>-679682.15</v>
          </cell>
        </row>
        <row r="222">
          <cell r="A222" t="str">
            <v>109702599</v>
          </cell>
          <cell r="B222" t="str">
            <v>10</v>
          </cell>
          <cell r="C222" t="str">
            <v>025</v>
          </cell>
          <cell r="D222" t="str">
            <v>97</v>
          </cell>
          <cell r="E222" t="str">
            <v>99</v>
          </cell>
          <cell r="F222" t="str">
            <v>Assets</v>
          </cell>
          <cell r="G222" t="str">
            <v>Provision for Depreciation - Office Equipments</v>
          </cell>
          <cell r="H222" t="str">
            <v>Merchant Bank</v>
          </cell>
          <cell r="I222">
            <v>-926889.68</v>
          </cell>
        </row>
        <row r="223">
          <cell r="A223" t="str">
            <v>109802599</v>
          </cell>
          <cell r="B223" t="str">
            <v>10</v>
          </cell>
          <cell r="C223" t="str">
            <v>025</v>
          </cell>
          <cell r="D223" t="str">
            <v>98</v>
          </cell>
          <cell r="E223" t="str">
            <v>99</v>
          </cell>
          <cell r="F223" t="str">
            <v>Assets</v>
          </cell>
          <cell r="G223" t="str">
            <v>Provision for Depreciation - Office Equipments</v>
          </cell>
          <cell r="H223" t="str">
            <v>CMC</v>
          </cell>
          <cell r="I223">
            <v>-206367.97</v>
          </cell>
        </row>
        <row r="224">
          <cell r="A224" t="str">
            <v>109902599</v>
          </cell>
          <cell r="B224" t="str">
            <v>10</v>
          </cell>
          <cell r="C224" t="str">
            <v>025</v>
          </cell>
          <cell r="D224" t="str">
            <v>99</v>
          </cell>
          <cell r="E224" t="str">
            <v>99</v>
          </cell>
          <cell r="F224" t="str">
            <v>Assets</v>
          </cell>
          <cell r="G224" t="str">
            <v>Provision for Depreciation - Office Equipments</v>
          </cell>
          <cell r="H224" t="str">
            <v>Other</v>
          </cell>
          <cell r="I224">
            <v>-18488197.300000001</v>
          </cell>
        </row>
        <row r="225">
          <cell r="A225" t="str">
            <v>101302624</v>
          </cell>
          <cell r="B225" t="str">
            <v>10</v>
          </cell>
          <cell r="C225" t="str">
            <v>026</v>
          </cell>
          <cell r="D225" t="str">
            <v>13</v>
          </cell>
          <cell r="E225" t="str">
            <v>24</v>
          </cell>
          <cell r="F225" t="str">
            <v>Assets</v>
          </cell>
          <cell r="G225" t="str">
            <v>Provision for Depreciation - Motor Vehicles</v>
          </cell>
          <cell r="H225" t="str">
            <v>Engineering-OS Support</v>
          </cell>
          <cell r="I225">
            <v>0</v>
          </cell>
        </row>
        <row r="226">
          <cell r="A226" t="str">
            <v>109902699</v>
          </cell>
          <cell r="B226" t="str">
            <v>10</v>
          </cell>
          <cell r="C226" t="str">
            <v>026</v>
          </cell>
          <cell r="D226" t="str">
            <v>99</v>
          </cell>
          <cell r="E226" t="str">
            <v>99</v>
          </cell>
          <cell r="F226" t="str">
            <v>Assets</v>
          </cell>
          <cell r="G226" t="str">
            <v>Provision for Depreciation - Motor Vehicles</v>
          </cell>
          <cell r="H226" t="str">
            <v>Other</v>
          </cell>
          <cell r="I226">
            <v>-6990581.8300000001</v>
          </cell>
        </row>
        <row r="227">
          <cell r="A227" t="str">
            <v>109902799</v>
          </cell>
          <cell r="B227" t="str">
            <v>10</v>
          </cell>
          <cell r="C227" t="str">
            <v>027</v>
          </cell>
          <cell r="D227" t="str">
            <v>99</v>
          </cell>
          <cell r="E227" t="str">
            <v>99</v>
          </cell>
          <cell r="F227" t="str">
            <v>Assets</v>
          </cell>
          <cell r="G227" t="str">
            <v>Provision for Depriciation - Software</v>
          </cell>
          <cell r="H227" t="str">
            <v>Other</v>
          </cell>
          <cell r="I227">
            <v>-783340.33</v>
          </cell>
        </row>
        <row r="228">
          <cell r="A228" t="str">
            <v>101503099</v>
          </cell>
          <cell r="B228" t="str">
            <v>10</v>
          </cell>
          <cell r="C228" t="str">
            <v>030</v>
          </cell>
          <cell r="D228" t="str">
            <v>15</v>
          </cell>
          <cell r="E228" t="str">
            <v>99</v>
          </cell>
          <cell r="F228" t="str">
            <v>Assets</v>
          </cell>
          <cell r="G228" t="str">
            <v>Provision for Bad Debts</v>
          </cell>
          <cell r="H228" t="str">
            <v>ISP Operations</v>
          </cell>
          <cell r="I228">
            <v>0</v>
          </cell>
        </row>
        <row r="229">
          <cell r="A229" t="str">
            <v>109903099</v>
          </cell>
          <cell r="B229" t="str">
            <v>10</v>
          </cell>
          <cell r="C229" t="str">
            <v>030</v>
          </cell>
          <cell r="D229" t="str">
            <v>99</v>
          </cell>
          <cell r="E229" t="str">
            <v>99</v>
          </cell>
          <cell r="F229" t="str">
            <v>Assets</v>
          </cell>
          <cell r="G229" t="str">
            <v>Provision for Bad Debts</v>
          </cell>
          <cell r="H229" t="str">
            <v>Other</v>
          </cell>
          <cell r="I229">
            <v>-662344.56000000006</v>
          </cell>
        </row>
        <row r="230">
          <cell r="A230" t="str">
            <v>101503199</v>
          </cell>
          <cell r="B230" t="str">
            <v>10</v>
          </cell>
          <cell r="C230" t="str">
            <v>031</v>
          </cell>
          <cell r="D230" t="str">
            <v>15</v>
          </cell>
          <cell r="E230" t="str">
            <v>99</v>
          </cell>
          <cell r="F230" t="str">
            <v>Assets</v>
          </cell>
          <cell r="G230" t="str">
            <v>Disposals of Fixed Assets</v>
          </cell>
          <cell r="H230" t="str">
            <v>ISP Operations</v>
          </cell>
          <cell r="I230">
            <v>0</v>
          </cell>
        </row>
        <row r="231">
          <cell r="A231" t="str">
            <v>109903199</v>
          </cell>
          <cell r="B231" t="str">
            <v>10</v>
          </cell>
          <cell r="C231" t="str">
            <v>031</v>
          </cell>
          <cell r="D231" t="str">
            <v>99</v>
          </cell>
          <cell r="E231" t="str">
            <v>99</v>
          </cell>
          <cell r="F231" t="str">
            <v>Assets</v>
          </cell>
          <cell r="G231" t="str">
            <v>Disposals of Fixed Assets</v>
          </cell>
          <cell r="H231" t="str">
            <v>Other</v>
          </cell>
          <cell r="I231">
            <v>-0.02</v>
          </cell>
        </row>
        <row r="232">
          <cell r="A232" t="str">
            <v>109904999</v>
          </cell>
          <cell r="B232" t="str">
            <v>10</v>
          </cell>
          <cell r="C232" t="str">
            <v>049</v>
          </cell>
          <cell r="D232" t="str">
            <v>99</v>
          </cell>
          <cell r="E232" t="str">
            <v>99</v>
          </cell>
          <cell r="F232" t="str">
            <v>Assets</v>
          </cell>
          <cell r="G232" t="str">
            <v>Short Term Investments- DP Capital Management (Pvt) Ltd</v>
          </cell>
          <cell r="H232" t="str">
            <v>Other</v>
          </cell>
          <cell r="I232">
            <v>5273688.33</v>
          </cell>
        </row>
        <row r="233">
          <cell r="A233" t="str">
            <v>109905099</v>
          </cell>
          <cell r="B233" t="str">
            <v>10</v>
          </cell>
          <cell r="C233" t="str">
            <v>050</v>
          </cell>
          <cell r="D233" t="str">
            <v>99</v>
          </cell>
          <cell r="E233" t="str">
            <v>99</v>
          </cell>
          <cell r="F233" t="str">
            <v>Assets</v>
          </cell>
          <cell r="G233" t="str">
            <v>LONG TERM INVESTMENTS-GLOBLE ACCESS LTD -SHARES</v>
          </cell>
          <cell r="H233" t="str">
            <v>Other</v>
          </cell>
          <cell r="I233">
            <v>0</v>
          </cell>
        </row>
        <row r="234">
          <cell r="A234" t="str">
            <v>101005101</v>
          </cell>
          <cell r="B234" t="str">
            <v>10</v>
          </cell>
          <cell r="C234" t="str">
            <v>051</v>
          </cell>
          <cell r="D234" t="str">
            <v>10</v>
          </cell>
          <cell r="E234" t="str">
            <v>01</v>
          </cell>
          <cell r="F234" t="str">
            <v>Assets</v>
          </cell>
          <cell r="G234" t="str">
            <v>SHORT TERM INVESTMENTS -T.B. REPURCHASE</v>
          </cell>
          <cell r="H234" t="str">
            <v>to be deleted-Software Development</v>
          </cell>
          <cell r="I234">
            <v>0</v>
          </cell>
        </row>
        <row r="235">
          <cell r="A235" t="str">
            <v>109905199</v>
          </cell>
          <cell r="B235" t="str">
            <v>10</v>
          </cell>
          <cell r="C235" t="str">
            <v>051</v>
          </cell>
          <cell r="D235" t="str">
            <v>99</v>
          </cell>
          <cell r="E235" t="str">
            <v>99</v>
          </cell>
          <cell r="F235" t="str">
            <v>Assets</v>
          </cell>
          <cell r="G235" t="str">
            <v>SHORT TERM INVESTMENTS -T.B. REPURCHASE</v>
          </cell>
          <cell r="H235" t="str">
            <v>Other</v>
          </cell>
          <cell r="I235">
            <v>0</v>
          </cell>
        </row>
        <row r="236">
          <cell r="A236" t="str">
            <v>101505299</v>
          </cell>
          <cell r="B236" t="str">
            <v>10</v>
          </cell>
          <cell r="C236" t="str">
            <v>052</v>
          </cell>
          <cell r="D236" t="str">
            <v>15</v>
          </cell>
          <cell r="E236" t="str">
            <v>99</v>
          </cell>
          <cell r="F236" t="str">
            <v>Assets</v>
          </cell>
          <cell r="G236" t="str">
            <v>Deffered Expenses - License</v>
          </cell>
          <cell r="H236" t="str">
            <v>ISP Operations</v>
          </cell>
          <cell r="I236">
            <v>1225000</v>
          </cell>
        </row>
        <row r="237">
          <cell r="A237" t="str">
            <v>101605299</v>
          </cell>
          <cell r="B237" t="str">
            <v>10</v>
          </cell>
          <cell r="C237" t="str">
            <v>052</v>
          </cell>
          <cell r="D237" t="str">
            <v>16</v>
          </cell>
          <cell r="E237" t="str">
            <v>99</v>
          </cell>
          <cell r="F237" t="str">
            <v>Assets</v>
          </cell>
          <cell r="G237" t="str">
            <v>Deffered Expenses - License</v>
          </cell>
          <cell r="H237" t="str">
            <v>EGO division</v>
          </cell>
          <cell r="I237">
            <v>3915970.86</v>
          </cell>
        </row>
        <row r="238">
          <cell r="A238" t="str">
            <v>109905299</v>
          </cell>
          <cell r="B238" t="str">
            <v>10</v>
          </cell>
          <cell r="C238" t="str">
            <v>052</v>
          </cell>
          <cell r="D238" t="str">
            <v>99</v>
          </cell>
          <cell r="E238" t="str">
            <v>99</v>
          </cell>
          <cell r="F238" t="str">
            <v>Assets</v>
          </cell>
          <cell r="G238" t="str">
            <v>Deffered Expenses - License</v>
          </cell>
          <cell r="H238" t="str">
            <v>Other</v>
          </cell>
          <cell r="I238">
            <v>0</v>
          </cell>
        </row>
        <row r="239">
          <cell r="A239" t="str">
            <v>109905399</v>
          </cell>
          <cell r="B239" t="str">
            <v>10</v>
          </cell>
          <cell r="C239" t="str">
            <v>053</v>
          </cell>
          <cell r="D239" t="str">
            <v>99</v>
          </cell>
          <cell r="E239" t="str">
            <v>99</v>
          </cell>
          <cell r="F239" t="str">
            <v>Assets</v>
          </cell>
          <cell r="G239" t="str">
            <v>Deffered Expenses-Disconnection &amp; Reconnection Fee</v>
          </cell>
          <cell r="H239" t="str">
            <v>Other</v>
          </cell>
          <cell r="I239">
            <v>0</v>
          </cell>
        </row>
        <row r="240">
          <cell r="A240" t="str">
            <v>109905499</v>
          </cell>
          <cell r="B240" t="str">
            <v>10</v>
          </cell>
          <cell r="C240" t="str">
            <v>054</v>
          </cell>
          <cell r="D240" t="str">
            <v>99</v>
          </cell>
          <cell r="E240" t="str">
            <v>99</v>
          </cell>
          <cell r="F240" t="str">
            <v>Assets</v>
          </cell>
          <cell r="G240" t="str">
            <v>Call Deposit - HSBC</v>
          </cell>
          <cell r="H240" t="str">
            <v>Other</v>
          </cell>
          <cell r="I240">
            <v>1419448.94</v>
          </cell>
        </row>
        <row r="241">
          <cell r="A241" t="str">
            <v>109905599</v>
          </cell>
          <cell r="B241" t="str">
            <v>10</v>
          </cell>
          <cell r="C241" t="str">
            <v>055</v>
          </cell>
          <cell r="D241" t="str">
            <v>99</v>
          </cell>
          <cell r="E241" t="str">
            <v>99</v>
          </cell>
          <cell r="F241" t="str">
            <v>Assets</v>
          </cell>
          <cell r="G241" t="str">
            <v>Deffered Expenses - Project cost</v>
          </cell>
          <cell r="H241" t="str">
            <v>Other</v>
          </cell>
          <cell r="I241">
            <v>12512.95</v>
          </cell>
        </row>
        <row r="242">
          <cell r="A242" t="str">
            <v>101308125</v>
          </cell>
          <cell r="B242" t="str">
            <v>10</v>
          </cell>
          <cell r="C242" t="str">
            <v>081</v>
          </cell>
          <cell r="D242" t="str">
            <v>13</v>
          </cell>
          <cell r="E242" t="str">
            <v>25</v>
          </cell>
          <cell r="F242" t="str">
            <v>Assets</v>
          </cell>
          <cell r="G242" t="str">
            <v>Stocks</v>
          </cell>
          <cell r="H242" t="str">
            <v>Engineering-OS Support</v>
          </cell>
          <cell r="I242">
            <v>0</v>
          </cell>
        </row>
        <row r="243">
          <cell r="A243" t="str">
            <v>101408130</v>
          </cell>
          <cell r="B243" t="str">
            <v>10</v>
          </cell>
          <cell r="C243" t="str">
            <v>081</v>
          </cell>
          <cell r="D243" t="str">
            <v>14</v>
          </cell>
          <cell r="E243" t="str">
            <v>30</v>
          </cell>
          <cell r="F243" t="str">
            <v>Assets</v>
          </cell>
          <cell r="G243" t="str">
            <v>Stocks</v>
          </cell>
          <cell r="H243" t="str">
            <v>Engineering-Operations</v>
          </cell>
          <cell r="I243">
            <v>0</v>
          </cell>
        </row>
        <row r="244">
          <cell r="A244" t="str">
            <v>101808124</v>
          </cell>
          <cell r="B244" t="str">
            <v>10</v>
          </cell>
          <cell r="C244" t="str">
            <v>081</v>
          </cell>
          <cell r="D244" t="str">
            <v>18</v>
          </cell>
          <cell r="E244" t="str">
            <v>24</v>
          </cell>
          <cell r="F244" t="str">
            <v>Assets</v>
          </cell>
          <cell r="G244" t="str">
            <v>Stocks</v>
          </cell>
          <cell r="H244" t="str">
            <v>OUTSTATION OPERATIONS</v>
          </cell>
          <cell r="I244">
            <v>36957</v>
          </cell>
        </row>
        <row r="245">
          <cell r="A245" t="str">
            <v>102008120</v>
          </cell>
          <cell r="B245" t="str">
            <v>10</v>
          </cell>
          <cell r="C245" t="str">
            <v>081</v>
          </cell>
          <cell r="D245" t="str">
            <v>20</v>
          </cell>
          <cell r="E245" t="str">
            <v>20</v>
          </cell>
          <cell r="F245" t="str">
            <v>Assets</v>
          </cell>
          <cell r="G245" t="str">
            <v>Stocks</v>
          </cell>
          <cell r="H245" t="str">
            <v>to be deleted.-Engineering-R&amp;D</v>
          </cell>
          <cell r="I245">
            <v>3755936.83</v>
          </cell>
        </row>
        <row r="246">
          <cell r="A246" t="str">
            <v>102008180</v>
          </cell>
          <cell r="B246" t="str">
            <v>10</v>
          </cell>
          <cell r="C246" t="str">
            <v>081</v>
          </cell>
          <cell r="D246" t="str">
            <v>20</v>
          </cell>
          <cell r="E246" t="str">
            <v>80</v>
          </cell>
          <cell r="F246" t="str">
            <v>Assets</v>
          </cell>
          <cell r="G246" t="str">
            <v>Stocks</v>
          </cell>
          <cell r="H246" t="str">
            <v>to be deleted.-Engineering-R&amp;D</v>
          </cell>
          <cell r="I246">
            <v>1051070.47</v>
          </cell>
        </row>
        <row r="247">
          <cell r="A247" t="str">
            <v>102008199</v>
          </cell>
          <cell r="B247" t="str">
            <v>10</v>
          </cell>
          <cell r="C247" t="str">
            <v>081</v>
          </cell>
          <cell r="D247" t="str">
            <v>20</v>
          </cell>
          <cell r="E247" t="str">
            <v>99</v>
          </cell>
          <cell r="F247" t="str">
            <v>Assets</v>
          </cell>
          <cell r="G247" t="str">
            <v>Stocks</v>
          </cell>
          <cell r="H247" t="str">
            <v>to be deleted.-Engineering-R&amp;D</v>
          </cell>
          <cell r="I247">
            <v>340874.44</v>
          </cell>
        </row>
        <row r="248">
          <cell r="A248" t="str">
            <v>104008120</v>
          </cell>
          <cell r="B248" t="str">
            <v>10</v>
          </cell>
          <cell r="C248" t="str">
            <v>081</v>
          </cell>
          <cell r="D248" t="str">
            <v>40</v>
          </cell>
          <cell r="E248" t="str">
            <v>20</v>
          </cell>
          <cell r="F248" t="str">
            <v>Assets</v>
          </cell>
          <cell r="G248" t="str">
            <v>Stocks</v>
          </cell>
          <cell r="H248" t="str">
            <v>Marketing - Accessories</v>
          </cell>
          <cell r="I248">
            <v>724279.55</v>
          </cell>
        </row>
        <row r="249">
          <cell r="A249" t="str">
            <v>104008141</v>
          </cell>
          <cell r="B249" t="str">
            <v>10</v>
          </cell>
          <cell r="C249" t="str">
            <v>081</v>
          </cell>
          <cell r="D249" t="str">
            <v>40</v>
          </cell>
          <cell r="E249" t="str">
            <v>41</v>
          </cell>
          <cell r="F249" t="str">
            <v>Assets</v>
          </cell>
          <cell r="G249" t="str">
            <v>Stocks</v>
          </cell>
          <cell r="H249" t="str">
            <v>Marketing - Accessories</v>
          </cell>
          <cell r="I249">
            <v>-0.68</v>
          </cell>
        </row>
        <row r="250">
          <cell r="A250" t="str">
            <v>104008180</v>
          </cell>
          <cell r="B250" t="str">
            <v>10</v>
          </cell>
          <cell r="C250" t="str">
            <v>081</v>
          </cell>
          <cell r="D250" t="str">
            <v>40</v>
          </cell>
          <cell r="E250" t="str">
            <v>80</v>
          </cell>
          <cell r="F250" t="str">
            <v>Assets</v>
          </cell>
          <cell r="G250" t="str">
            <v>Stocks</v>
          </cell>
          <cell r="H250" t="str">
            <v>Marketing - Accessories</v>
          </cell>
          <cell r="I250">
            <v>4501.43</v>
          </cell>
        </row>
        <row r="251">
          <cell r="A251" t="str">
            <v>104008199</v>
          </cell>
          <cell r="B251" t="str">
            <v>10</v>
          </cell>
          <cell r="C251" t="str">
            <v>081</v>
          </cell>
          <cell r="D251" t="str">
            <v>40</v>
          </cell>
          <cell r="E251" t="str">
            <v>99</v>
          </cell>
          <cell r="F251" t="str">
            <v>Assets</v>
          </cell>
          <cell r="G251" t="str">
            <v>Stocks</v>
          </cell>
          <cell r="H251" t="str">
            <v>Marketing - Accessories</v>
          </cell>
          <cell r="I251">
            <v>20287759.440000001</v>
          </cell>
        </row>
        <row r="252">
          <cell r="A252" t="str">
            <v>109908199</v>
          </cell>
          <cell r="B252" t="str">
            <v>10</v>
          </cell>
          <cell r="C252" t="str">
            <v>081</v>
          </cell>
          <cell r="D252" t="str">
            <v>99</v>
          </cell>
          <cell r="E252" t="str">
            <v>99</v>
          </cell>
          <cell r="F252" t="str">
            <v>Assets</v>
          </cell>
          <cell r="G252" t="str">
            <v>Stocks</v>
          </cell>
          <cell r="H252" t="str">
            <v>Other</v>
          </cell>
          <cell r="I252">
            <v>46780.98</v>
          </cell>
        </row>
        <row r="253">
          <cell r="A253" t="str">
            <v>102008220</v>
          </cell>
          <cell r="B253" t="str">
            <v>10</v>
          </cell>
          <cell r="C253" t="str">
            <v>082</v>
          </cell>
          <cell r="D253" t="str">
            <v>20</v>
          </cell>
          <cell r="E253" t="str">
            <v>20</v>
          </cell>
          <cell r="F253" t="str">
            <v>Assets</v>
          </cell>
          <cell r="G253" t="str">
            <v>Work-in-progress</v>
          </cell>
          <cell r="H253" t="str">
            <v>to be deleted.-Engineering-R&amp;D</v>
          </cell>
          <cell r="I253">
            <v>172166.26</v>
          </cell>
        </row>
        <row r="254">
          <cell r="A254" t="str">
            <v>102008280</v>
          </cell>
          <cell r="B254" t="str">
            <v>10</v>
          </cell>
          <cell r="C254" t="str">
            <v>082</v>
          </cell>
          <cell r="D254" t="str">
            <v>20</v>
          </cell>
          <cell r="E254" t="str">
            <v>80</v>
          </cell>
          <cell r="F254" t="str">
            <v>Assets</v>
          </cell>
          <cell r="G254" t="str">
            <v>Work-in-progress</v>
          </cell>
          <cell r="H254" t="str">
            <v>to be deleted.-Engineering-R&amp;D</v>
          </cell>
          <cell r="I254">
            <v>-11687.12</v>
          </cell>
        </row>
        <row r="255">
          <cell r="A255" t="str">
            <v>102008299</v>
          </cell>
          <cell r="B255" t="str">
            <v>10</v>
          </cell>
          <cell r="C255" t="str">
            <v>082</v>
          </cell>
          <cell r="D255" t="str">
            <v>20</v>
          </cell>
          <cell r="E255" t="str">
            <v>99</v>
          </cell>
          <cell r="F255" t="str">
            <v>Assets</v>
          </cell>
          <cell r="G255" t="str">
            <v>Work-in-progress</v>
          </cell>
          <cell r="H255" t="str">
            <v>to be deleted.-Engineering-R&amp;D</v>
          </cell>
          <cell r="I255">
            <v>11687.12</v>
          </cell>
        </row>
        <row r="256">
          <cell r="A256" t="str">
            <v>104008220</v>
          </cell>
          <cell r="B256" t="str">
            <v>10</v>
          </cell>
          <cell r="C256" t="str">
            <v>082</v>
          </cell>
          <cell r="D256" t="str">
            <v>40</v>
          </cell>
          <cell r="E256" t="str">
            <v>20</v>
          </cell>
          <cell r="F256" t="str">
            <v>Assets</v>
          </cell>
          <cell r="G256" t="str">
            <v>Work-in-progress</v>
          </cell>
          <cell r="H256" t="str">
            <v>Marketing - Accessories</v>
          </cell>
          <cell r="I256">
            <v>28081197.25</v>
          </cell>
        </row>
        <row r="257">
          <cell r="A257" t="str">
            <v>104008241</v>
          </cell>
          <cell r="B257" t="str">
            <v>10</v>
          </cell>
          <cell r="C257" t="str">
            <v>082</v>
          </cell>
          <cell r="D257" t="str">
            <v>40</v>
          </cell>
          <cell r="E257" t="str">
            <v>41</v>
          </cell>
          <cell r="F257" t="str">
            <v>Assets</v>
          </cell>
          <cell r="G257" t="str">
            <v>Work-in-progress</v>
          </cell>
          <cell r="H257" t="str">
            <v>Marketing - Accessories</v>
          </cell>
          <cell r="I257">
            <v>2651.04</v>
          </cell>
        </row>
        <row r="258">
          <cell r="A258" t="str">
            <v>104008280</v>
          </cell>
          <cell r="B258" t="str">
            <v>10</v>
          </cell>
          <cell r="C258" t="str">
            <v>082</v>
          </cell>
          <cell r="D258" t="str">
            <v>40</v>
          </cell>
          <cell r="E258" t="str">
            <v>80</v>
          </cell>
          <cell r="F258" t="str">
            <v>Assets</v>
          </cell>
          <cell r="G258" t="str">
            <v>Work-in-progress</v>
          </cell>
          <cell r="H258" t="str">
            <v>Marketing - Accessories</v>
          </cell>
          <cell r="I258">
            <v>82048.100000000006</v>
          </cell>
        </row>
        <row r="259">
          <cell r="A259" t="str">
            <v>104008299</v>
          </cell>
          <cell r="B259" t="str">
            <v>10</v>
          </cell>
          <cell r="C259" t="str">
            <v>082</v>
          </cell>
          <cell r="D259" t="str">
            <v>40</v>
          </cell>
          <cell r="E259" t="str">
            <v>99</v>
          </cell>
          <cell r="F259" t="str">
            <v>Assets</v>
          </cell>
          <cell r="G259" t="str">
            <v>Work-in-progress</v>
          </cell>
          <cell r="H259" t="str">
            <v>Marketing - Accessories</v>
          </cell>
          <cell r="I259">
            <v>-14672947.15</v>
          </cell>
        </row>
        <row r="260">
          <cell r="A260" t="str">
            <v>107008299</v>
          </cell>
          <cell r="B260" t="str">
            <v>10</v>
          </cell>
          <cell r="C260" t="str">
            <v>082</v>
          </cell>
          <cell r="D260" t="str">
            <v>70</v>
          </cell>
          <cell r="E260" t="str">
            <v>99</v>
          </cell>
          <cell r="F260" t="str">
            <v>Assets</v>
          </cell>
          <cell r="G260" t="str">
            <v>Work-in-progress</v>
          </cell>
          <cell r="H260" t="str">
            <v>(Unauthorised Account)-Cancel IOU/Vouchers</v>
          </cell>
          <cell r="I260">
            <v>0</v>
          </cell>
        </row>
        <row r="261">
          <cell r="A261" t="str">
            <v>109908299</v>
          </cell>
          <cell r="B261" t="str">
            <v>10</v>
          </cell>
          <cell r="C261" t="str">
            <v>082</v>
          </cell>
          <cell r="D261" t="str">
            <v>99</v>
          </cell>
          <cell r="E261" t="str">
            <v>99</v>
          </cell>
          <cell r="F261" t="str">
            <v>Assets</v>
          </cell>
          <cell r="G261" t="str">
            <v>Work-in-progress</v>
          </cell>
          <cell r="H261" t="str">
            <v>Other</v>
          </cell>
          <cell r="I261">
            <v>0</v>
          </cell>
        </row>
        <row r="262">
          <cell r="A262" t="str">
            <v>104008399</v>
          </cell>
          <cell r="B262" t="str">
            <v>10</v>
          </cell>
          <cell r="C262" t="str">
            <v>083</v>
          </cell>
          <cell r="D262" t="str">
            <v>40</v>
          </cell>
          <cell r="E262" t="str">
            <v>99</v>
          </cell>
          <cell r="F262" t="str">
            <v>Assets</v>
          </cell>
          <cell r="G262" t="str">
            <v>Provision for Obsolete Stocks</v>
          </cell>
          <cell r="H262" t="str">
            <v>Marketing - Accessories</v>
          </cell>
          <cell r="I262">
            <v>0</v>
          </cell>
        </row>
        <row r="263">
          <cell r="A263" t="str">
            <v>104008420</v>
          </cell>
          <cell r="B263" t="str">
            <v>10</v>
          </cell>
          <cell r="C263" t="str">
            <v>084</v>
          </cell>
          <cell r="D263" t="str">
            <v>40</v>
          </cell>
          <cell r="E263" t="str">
            <v>20</v>
          </cell>
          <cell r="F263" t="str">
            <v>Assets</v>
          </cell>
          <cell r="G263" t="str">
            <v>Goods in Transit - Imports Cost</v>
          </cell>
          <cell r="H263" t="str">
            <v>Marketing - Accessories</v>
          </cell>
          <cell r="I263">
            <v>0</v>
          </cell>
        </row>
        <row r="264">
          <cell r="A264" t="str">
            <v>109908499</v>
          </cell>
          <cell r="B264" t="str">
            <v>10</v>
          </cell>
          <cell r="C264" t="str">
            <v>084</v>
          </cell>
          <cell r="D264" t="str">
            <v>99</v>
          </cell>
          <cell r="E264" t="str">
            <v>99</v>
          </cell>
          <cell r="F264" t="str">
            <v>Assets</v>
          </cell>
          <cell r="G264" t="str">
            <v>Goods in Transit - Imports Cost</v>
          </cell>
          <cell r="H264" t="str">
            <v>Other</v>
          </cell>
          <cell r="I264">
            <v>2576765.5299999998</v>
          </cell>
        </row>
        <row r="265">
          <cell r="A265" t="str">
            <v>109908599</v>
          </cell>
          <cell r="B265" t="str">
            <v>10</v>
          </cell>
          <cell r="C265" t="str">
            <v>085</v>
          </cell>
          <cell r="D265" t="str">
            <v>99</v>
          </cell>
          <cell r="E265" t="str">
            <v>99</v>
          </cell>
          <cell r="F265" t="str">
            <v>Assets</v>
          </cell>
          <cell r="G265" t="str">
            <v>Goods in Transit - Shipping Guarantee</v>
          </cell>
          <cell r="H265" t="str">
            <v>Other</v>
          </cell>
          <cell r="I265">
            <v>0</v>
          </cell>
        </row>
        <row r="266">
          <cell r="A266" t="str">
            <v>109908699</v>
          </cell>
          <cell r="B266" t="str">
            <v>10</v>
          </cell>
          <cell r="C266" t="str">
            <v>086</v>
          </cell>
          <cell r="D266" t="str">
            <v>99</v>
          </cell>
          <cell r="E266" t="str">
            <v>99</v>
          </cell>
          <cell r="F266" t="str">
            <v>Assets</v>
          </cell>
          <cell r="G266" t="str">
            <v>Bank Guarantee</v>
          </cell>
          <cell r="H266" t="str">
            <v>Other</v>
          </cell>
          <cell r="I266">
            <v>0</v>
          </cell>
        </row>
        <row r="267">
          <cell r="A267" t="str">
            <v>109908799</v>
          </cell>
          <cell r="B267" t="str">
            <v>10</v>
          </cell>
          <cell r="C267" t="str">
            <v>087</v>
          </cell>
          <cell r="D267" t="str">
            <v>99</v>
          </cell>
          <cell r="E267" t="str">
            <v>99</v>
          </cell>
          <cell r="F267" t="str">
            <v>Assets</v>
          </cell>
          <cell r="G267" t="str">
            <v>Other Receiverble-Legal Fee</v>
          </cell>
          <cell r="H267" t="str">
            <v>Other</v>
          </cell>
          <cell r="I267">
            <v>11950</v>
          </cell>
        </row>
        <row r="268">
          <cell r="A268" t="str">
            <v>109908999</v>
          </cell>
          <cell r="B268" t="str">
            <v>10</v>
          </cell>
          <cell r="C268" t="str">
            <v>089</v>
          </cell>
          <cell r="D268" t="str">
            <v>99</v>
          </cell>
          <cell r="E268" t="str">
            <v>99</v>
          </cell>
          <cell r="F268" t="str">
            <v>Assets</v>
          </cell>
          <cell r="G268" t="str">
            <v>Other Trade Receiverble</v>
          </cell>
          <cell r="H268" t="str">
            <v>Other</v>
          </cell>
          <cell r="I268">
            <v>0</v>
          </cell>
        </row>
        <row r="269">
          <cell r="A269" t="str">
            <v>109909099</v>
          </cell>
          <cell r="B269" t="str">
            <v>10</v>
          </cell>
          <cell r="C269" t="str">
            <v>090</v>
          </cell>
          <cell r="D269" t="str">
            <v>99</v>
          </cell>
          <cell r="E269" t="str">
            <v>99</v>
          </cell>
          <cell r="F269" t="str">
            <v>Assets</v>
          </cell>
          <cell r="G269" t="str">
            <v>Other Receiverble</v>
          </cell>
          <cell r="H269" t="str">
            <v>Other</v>
          </cell>
          <cell r="I269">
            <v>35370.75</v>
          </cell>
        </row>
        <row r="270">
          <cell r="A270" t="str">
            <v>101509198</v>
          </cell>
          <cell r="B270" t="str">
            <v>10</v>
          </cell>
          <cell r="C270" t="str">
            <v>091</v>
          </cell>
          <cell r="D270" t="str">
            <v>15</v>
          </cell>
          <cell r="E270" t="str">
            <v>98</v>
          </cell>
          <cell r="F270" t="str">
            <v>Assets</v>
          </cell>
          <cell r="G270" t="str">
            <v>Debtors Control</v>
          </cell>
          <cell r="H270" t="str">
            <v>ISP Operations</v>
          </cell>
          <cell r="I270">
            <v>0</v>
          </cell>
        </row>
        <row r="271">
          <cell r="A271" t="str">
            <v>101509199</v>
          </cell>
          <cell r="B271" t="str">
            <v>10</v>
          </cell>
          <cell r="C271" t="str">
            <v>091</v>
          </cell>
          <cell r="D271" t="str">
            <v>15</v>
          </cell>
          <cell r="E271" t="str">
            <v>99</v>
          </cell>
          <cell r="F271" t="str">
            <v>Assets</v>
          </cell>
          <cell r="G271" t="str">
            <v>Debtors Control</v>
          </cell>
          <cell r="H271" t="str">
            <v>ISP Operations</v>
          </cell>
          <cell r="I271">
            <v>1675001.62</v>
          </cell>
        </row>
        <row r="272">
          <cell r="A272" t="str">
            <v>109909199</v>
          </cell>
          <cell r="B272" t="str">
            <v>10</v>
          </cell>
          <cell r="C272" t="str">
            <v>091</v>
          </cell>
          <cell r="D272" t="str">
            <v>99</v>
          </cell>
          <cell r="E272" t="str">
            <v>99</v>
          </cell>
          <cell r="F272" t="str">
            <v>Assets</v>
          </cell>
          <cell r="G272" t="str">
            <v>Debtors Control</v>
          </cell>
          <cell r="H272" t="str">
            <v>Other</v>
          </cell>
          <cell r="I272">
            <v>53954585.420000002</v>
          </cell>
        </row>
        <row r="273">
          <cell r="A273" t="str">
            <v>109909299</v>
          </cell>
          <cell r="B273" t="str">
            <v>10</v>
          </cell>
          <cell r="C273" t="str">
            <v>092</v>
          </cell>
          <cell r="D273" t="str">
            <v>99</v>
          </cell>
          <cell r="E273" t="str">
            <v>99</v>
          </cell>
          <cell r="F273" t="str">
            <v>Assets</v>
          </cell>
          <cell r="G273" t="str">
            <v>Insurance Prepaid</v>
          </cell>
          <cell r="H273" t="str">
            <v>Other</v>
          </cell>
          <cell r="I273">
            <v>635627.86</v>
          </cell>
        </row>
        <row r="274">
          <cell r="A274" t="str">
            <v>109909399</v>
          </cell>
          <cell r="B274" t="str">
            <v>10</v>
          </cell>
          <cell r="C274" t="str">
            <v>093</v>
          </cell>
          <cell r="D274" t="str">
            <v>99</v>
          </cell>
          <cell r="E274" t="str">
            <v>99</v>
          </cell>
          <cell r="F274" t="str">
            <v>Assets</v>
          </cell>
          <cell r="G274" t="str">
            <v>Debtors Suspense</v>
          </cell>
          <cell r="H274" t="str">
            <v>Other</v>
          </cell>
          <cell r="I274">
            <v>0</v>
          </cell>
        </row>
        <row r="275">
          <cell r="A275" t="str">
            <v>109909599</v>
          </cell>
          <cell r="B275" t="str">
            <v>10</v>
          </cell>
          <cell r="C275" t="str">
            <v>095</v>
          </cell>
          <cell r="D275" t="str">
            <v>99</v>
          </cell>
          <cell r="E275" t="str">
            <v>99</v>
          </cell>
          <cell r="F275" t="str">
            <v>Assets</v>
          </cell>
          <cell r="G275" t="str">
            <v>Staff Vehicle Loans</v>
          </cell>
          <cell r="H275" t="str">
            <v>Other</v>
          </cell>
          <cell r="I275">
            <v>1880896.64</v>
          </cell>
        </row>
        <row r="276">
          <cell r="A276" t="str">
            <v>109909799</v>
          </cell>
          <cell r="B276" t="str">
            <v>10</v>
          </cell>
          <cell r="C276" t="str">
            <v>097</v>
          </cell>
          <cell r="D276" t="str">
            <v>99</v>
          </cell>
          <cell r="E276" t="str">
            <v>99</v>
          </cell>
          <cell r="F276" t="str">
            <v>Assets</v>
          </cell>
          <cell r="G276" t="str">
            <v>Insurance Claim Receivable</v>
          </cell>
          <cell r="H276" t="str">
            <v>Other</v>
          </cell>
          <cell r="I276">
            <v>-397860.68</v>
          </cell>
        </row>
        <row r="277">
          <cell r="A277" t="str">
            <v>109909899</v>
          </cell>
          <cell r="B277" t="str">
            <v>10</v>
          </cell>
          <cell r="C277" t="str">
            <v>098</v>
          </cell>
          <cell r="D277" t="str">
            <v>99</v>
          </cell>
          <cell r="E277" t="str">
            <v>99</v>
          </cell>
          <cell r="F277" t="str">
            <v>Assets</v>
          </cell>
          <cell r="G277" t="str">
            <v>Other Staff Loans</v>
          </cell>
          <cell r="H277" t="str">
            <v>Other</v>
          </cell>
          <cell r="I277">
            <v>70000</v>
          </cell>
        </row>
        <row r="278">
          <cell r="A278" t="str">
            <v>101510399</v>
          </cell>
          <cell r="B278" t="str">
            <v>10</v>
          </cell>
          <cell r="C278" t="str">
            <v>103</v>
          </cell>
          <cell r="D278" t="str">
            <v>15</v>
          </cell>
          <cell r="E278" t="str">
            <v>99</v>
          </cell>
          <cell r="F278" t="str">
            <v>Assets</v>
          </cell>
          <cell r="G278" t="str">
            <v>GST provision A/C for monthly rentals</v>
          </cell>
          <cell r="H278" t="str">
            <v>ISP Operations</v>
          </cell>
          <cell r="I278">
            <v>210.73</v>
          </cell>
        </row>
        <row r="279">
          <cell r="A279" t="str">
            <v>109910399</v>
          </cell>
          <cell r="B279" t="str">
            <v>10</v>
          </cell>
          <cell r="C279" t="str">
            <v>103</v>
          </cell>
          <cell r="D279" t="str">
            <v>99</v>
          </cell>
          <cell r="E279" t="str">
            <v>99</v>
          </cell>
          <cell r="F279" t="str">
            <v>Assets</v>
          </cell>
          <cell r="G279" t="str">
            <v>GST provision A/C for monthly rentals</v>
          </cell>
          <cell r="H279" t="str">
            <v>Other</v>
          </cell>
          <cell r="I279">
            <v>-3617191.4</v>
          </cell>
        </row>
        <row r="280">
          <cell r="A280" t="str">
            <v>101510499</v>
          </cell>
          <cell r="B280" t="str">
            <v>10</v>
          </cell>
          <cell r="C280" t="str">
            <v>104</v>
          </cell>
          <cell r="D280" t="str">
            <v>15</v>
          </cell>
          <cell r="E280" t="str">
            <v>99</v>
          </cell>
          <cell r="F280" t="str">
            <v>Assets</v>
          </cell>
          <cell r="G280" t="str">
            <v>Deposits &amp; Prepayments</v>
          </cell>
          <cell r="H280" t="str">
            <v>ISP Operations</v>
          </cell>
          <cell r="I280">
            <v>0.04</v>
          </cell>
        </row>
        <row r="281">
          <cell r="A281" t="str">
            <v>109910499</v>
          </cell>
          <cell r="B281" t="str">
            <v>10</v>
          </cell>
          <cell r="C281" t="str">
            <v>104</v>
          </cell>
          <cell r="D281" t="str">
            <v>99</v>
          </cell>
          <cell r="E281" t="str">
            <v>99</v>
          </cell>
          <cell r="F281" t="str">
            <v>Assets</v>
          </cell>
          <cell r="G281" t="str">
            <v>Deposits &amp; Prepayments</v>
          </cell>
          <cell r="H281" t="str">
            <v>Other</v>
          </cell>
          <cell r="I281">
            <v>3556556.93</v>
          </cell>
        </row>
        <row r="282">
          <cell r="A282" t="str">
            <v>101510599</v>
          </cell>
          <cell r="B282" t="str">
            <v>10</v>
          </cell>
          <cell r="C282" t="str">
            <v>105</v>
          </cell>
          <cell r="D282" t="str">
            <v>15</v>
          </cell>
          <cell r="E282" t="str">
            <v>99</v>
          </cell>
          <cell r="F282" t="str">
            <v>Assets</v>
          </cell>
          <cell r="G282" t="str">
            <v>Insurance Claim Receivable-on Fixed Assets</v>
          </cell>
          <cell r="H282" t="str">
            <v>ISP Operations</v>
          </cell>
          <cell r="I282">
            <v>206488.92</v>
          </cell>
        </row>
        <row r="283">
          <cell r="A283" t="str">
            <v>109910599</v>
          </cell>
          <cell r="B283" t="str">
            <v>10</v>
          </cell>
          <cell r="C283" t="str">
            <v>105</v>
          </cell>
          <cell r="D283" t="str">
            <v>99</v>
          </cell>
          <cell r="E283" t="str">
            <v>99</v>
          </cell>
          <cell r="F283" t="str">
            <v>Assets</v>
          </cell>
          <cell r="G283" t="str">
            <v>Insurance Claim Receivable-on Fixed Assets</v>
          </cell>
          <cell r="H283" t="str">
            <v>Other</v>
          </cell>
          <cell r="I283">
            <v>4457529.95</v>
          </cell>
        </row>
        <row r="284">
          <cell r="A284" t="str">
            <v>101510699</v>
          </cell>
          <cell r="B284" t="str">
            <v>10</v>
          </cell>
          <cell r="C284" t="str">
            <v>106</v>
          </cell>
          <cell r="D284" t="str">
            <v>15</v>
          </cell>
          <cell r="E284" t="str">
            <v>99</v>
          </cell>
          <cell r="F284" t="str">
            <v>Assets</v>
          </cell>
          <cell r="G284" t="str">
            <v>Refundable Deposits</v>
          </cell>
          <cell r="H284" t="str">
            <v>ISP Operations</v>
          </cell>
          <cell r="I284">
            <v>0</v>
          </cell>
        </row>
        <row r="285">
          <cell r="A285" t="str">
            <v>109910699</v>
          </cell>
          <cell r="B285" t="str">
            <v>10</v>
          </cell>
          <cell r="C285" t="str">
            <v>106</v>
          </cell>
          <cell r="D285" t="str">
            <v>99</v>
          </cell>
          <cell r="E285" t="str">
            <v>99</v>
          </cell>
          <cell r="F285" t="str">
            <v>Assets</v>
          </cell>
          <cell r="G285" t="str">
            <v>Refundable Deposits</v>
          </cell>
          <cell r="H285" t="str">
            <v>Other</v>
          </cell>
          <cell r="I285">
            <v>488750</v>
          </cell>
        </row>
        <row r="286">
          <cell r="A286" t="str">
            <v>109910999</v>
          </cell>
          <cell r="B286" t="str">
            <v>10</v>
          </cell>
          <cell r="C286" t="str">
            <v>109</v>
          </cell>
          <cell r="D286" t="str">
            <v>99</v>
          </cell>
          <cell r="E286" t="str">
            <v>99</v>
          </cell>
          <cell r="F286" t="str">
            <v>Assets</v>
          </cell>
          <cell r="G286" t="str">
            <v>Unpaid Invoices - Control</v>
          </cell>
          <cell r="H286" t="str">
            <v>Other</v>
          </cell>
          <cell r="I286">
            <v>2837.4</v>
          </cell>
        </row>
        <row r="287">
          <cell r="A287" t="str">
            <v>109911199</v>
          </cell>
          <cell r="B287" t="str">
            <v>10</v>
          </cell>
          <cell r="C287" t="str">
            <v>111</v>
          </cell>
          <cell r="D287" t="str">
            <v>99</v>
          </cell>
          <cell r="E287" t="str">
            <v>99</v>
          </cell>
          <cell r="F287" t="str">
            <v>Assets</v>
          </cell>
          <cell r="G287" t="str">
            <v>Debtors - E seva Kany</v>
          </cell>
          <cell r="H287" t="str">
            <v>Other</v>
          </cell>
          <cell r="I287">
            <v>153.25</v>
          </cell>
        </row>
        <row r="288">
          <cell r="A288" t="str">
            <v>109911299</v>
          </cell>
          <cell r="B288" t="str">
            <v>10</v>
          </cell>
          <cell r="C288" t="str">
            <v>112</v>
          </cell>
          <cell r="D288" t="str">
            <v>99</v>
          </cell>
          <cell r="E288" t="str">
            <v>99</v>
          </cell>
          <cell r="F288" t="str">
            <v>Assets</v>
          </cell>
          <cell r="G288" t="str">
            <v>Economic Service Charge Recoverable</v>
          </cell>
          <cell r="H288" t="str">
            <v>Other</v>
          </cell>
          <cell r="I288">
            <v>1624597.53</v>
          </cell>
        </row>
        <row r="289">
          <cell r="A289" t="str">
            <v>109911799</v>
          </cell>
          <cell r="B289" t="str">
            <v>10</v>
          </cell>
          <cell r="C289" t="str">
            <v>117</v>
          </cell>
          <cell r="D289" t="str">
            <v>99</v>
          </cell>
          <cell r="E289" t="str">
            <v>99</v>
          </cell>
          <cell r="F289" t="str">
            <v>Assets</v>
          </cell>
          <cell r="G289" t="str">
            <v>Inter Company Current Account - Health  Management Systems (Pvt) Ltd</v>
          </cell>
          <cell r="H289" t="str">
            <v>Other</v>
          </cell>
          <cell r="I289">
            <v>35803</v>
          </cell>
        </row>
        <row r="290">
          <cell r="A290" t="str">
            <v>109911899</v>
          </cell>
          <cell r="B290" t="str">
            <v>10</v>
          </cell>
          <cell r="C290" t="str">
            <v>118</v>
          </cell>
          <cell r="D290" t="str">
            <v>99</v>
          </cell>
          <cell r="E290" t="str">
            <v>99</v>
          </cell>
          <cell r="F290" t="str">
            <v>Assets</v>
          </cell>
          <cell r="G290" t="str">
            <v>Inter Company Current Accounts - Asia Pacific Technologies (Pvt.) Ltd.</v>
          </cell>
          <cell r="H290" t="str">
            <v>Other</v>
          </cell>
          <cell r="I290">
            <v>0</v>
          </cell>
        </row>
        <row r="291">
          <cell r="A291" t="str">
            <v>109912099</v>
          </cell>
          <cell r="B291" t="str">
            <v>10</v>
          </cell>
          <cell r="C291" t="str">
            <v>120</v>
          </cell>
          <cell r="D291" t="str">
            <v>99</v>
          </cell>
          <cell r="E291" t="str">
            <v>99</v>
          </cell>
          <cell r="F291" t="str">
            <v>Assets</v>
          </cell>
          <cell r="G291" t="str">
            <v>Inter Company Current Account - DP Technologies (Pvt.) Ltd.</v>
          </cell>
          <cell r="H291" t="str">
            <v>Other</v>
          </cell>
          <cell r="I291">
            <v>-4170.79</v>
          </cell>
        </row>
        <row r="292">
          <cell r="A292" t="str">
            <v>109912199</v>
          </cell>
          <cell r="B292" t="str">
            <v>10</v>
          </cell>
          <cell r="C292" t="str">
            <v>121</v>
          </cell>
          <cell r="D292" t="str">
            <v>99</v>
          </cell>
          <cell r="E292" t="str">
            <v>99</v>
          </cell>
          <cell r="F292" t="str">
            <v>Assets</v>
          </cell>
          <cell r="G292" t="str">
            <v>Cash/Bank - Petty Cash - Finance</v>
          </cell>
          <cell r="H292" t="str">
            <v>Other</v>
          </cell>
          <cell r="I292">
            <v>-4375009.46</v>
          </cell>
        </row>
        <row r="293">
          <cell r="A293" t="str">
            <v>109912399</v>
          </cell>
          <cell r="B293" t="str">
            <v>10</v>
          </cell>
          <cell r="C293" t="str">
            <v>123</v>
          </cell>
          <cell r="D293" t="str">
            <v>99</v>
          </cell>
          <cell r="E293" t="str">
            <v>99</v>
          </cell>
          <cell r="F293" t="str">
            <v>Assets</v>
          </cell>
          <cell r="G293" t="str">
            <v>Cash/Bank  - Petty Cash - LP</v>
          </cell>
          <cell r="H293" t="str">
            <v>Other</v>
          </cell>
          <cell r="I293">
            <v>25000</v>
          </cell>
        </row>
        <row r="294">
          <cell r="A294" t="str">
            <v>109912499</v>
          </cell>
          <cell r="B294" t="str">
            <v>10</v>
          </cell>
          <cell r="C294" t="str">
            <v>124</v>
          </cell>
          <cell r="D294" t="str">
            <v>99</v>
          </cell>
          <cell r="E294" t="str">
            <v>99</v>
          </cell>
          <cell r="F294" t="str">
            <v>Assets</v>
          </cell>
          <cell r="G294" t="str">
            <v>Cash/Bank  - Petty Cash  -Software Development</v>
          </cell>
          <cell r="H294" t="str">
            <v>Other</v>
          </cell>
          <cell r="I294">
            <v>0</v>
          </cell>
        </row>
        <row r="295">
          <cell r="A295" t="str">
            <v>109912599</v>
          </cell>
          <cell r="B295" t="str">
            <v>10</v>
          </cell>
          <cell r="C295" t="str">
            <v>125</v>
          </cell>
          <cell r="D295" t="str">
            <v>99</v>
          </cell>
          <cell r="E295" t="str">
            <v>99</v>
          </cell>
          <cell r="F295" t="str">
            <v>Assets</v>
          </cell>
          <cell r="G295" t="str">
            <v>Cash/Bank  - Petty Cash - Transport</v>
          </cell>
          <cell r="H295" t="str">
            <v>Other</v>
          </cell>
          <cell r="I295">
            <v>0</v>
          </cell>
        </row>
        <row r="296">
          <cell r="A296" t="str">
            <v>101512999</v>
          </cell>
          <cell r="B296" t="str">
            <v>10</v>
          </cell>
          <cell r="C296" t="str">
            <v>129</v>
          </cell>
          <cell r="D296" t="str">
            <v>15</v>
          </cell>
          <cell r="E296" t="str">
            <v>99</v>
          </cell>
          <cell r="F296" t="str">
            <v>Assets</v>
          </cell>
          <cell r="G296" t="str">
            <v>VAT @ 20% Provision A/c for Monthly Rentals</v>
          </cell>
          <cell r="H296" t="str">
            <v>ISP Operations</v>
          </cell>
          <cell r="I296">
            <v>1815.88</v>
          </cell>
        </row>
        <row r="297">
          <cell r="A297" t="str">
            <v>109912999</v>
          </cell>
          <cell r="B297" t="str">
            <v>10</v>
          </cell>
          <cell r="C297" t="str">
            <v>129</v>
          </cell>
          <cell r="D297" t="str">
            <v>99</v>
          </cell>
          <cell r="E297" t="str">
            <v>99</v>
          </cell>
          <cell r="F297" t="str">
            <v>Assets</v>
          </cell>
          <cell r="G297" t="str">
            <v>VAT @ 20% Provision A/c for Monthly Rentals</v>
          </cell>
          <cell r="H297" t="str">
            <v>Other</v>
          </cell>
          <cell r="I297">
            <v>0</v>
          </cell>
        </row>
        <row r="298">
          <cell r="A298" t="str">
            <v>101513099</v>
          </cell>
          <cell r="B298" t="str">
            <v>10</v>
          </cell>
          <cell r="C298" t="str">
            <v>130</v>
          </cell>
          <cell r="D298" t="str">
            <v>15</v>
          </cell>
          <cell r="E298" t="str">
            <v>99</v>
          </cell>
          <cell r="F298" t="str">
            <v>Assets</v>
          </cell>
          <cell r="G298" t="str">
            <v>VAT @ Empt% Provision A/c for Monthly Rentals</v>
          </cell>
          <cell r="H298" t="str">
            <v>ISP Operations</v>
          </cell>
          <cell r="I298">
            <v>148.5</v>
          </cell>
        </row>
        <row r="299">
          <cell r="A299" t="str">
            <v>109913099</v>
          </cell>
          <cell r="B299" t="str">
            <v>10</v>
          </cell>
          <cell r="C299" t="str">
            <v>130</v>
          </cell>
          <cell r="D299" t="str">
            <v>99</v>
          </cell>
          <cell r="E299" t="str">
            <v>99</v>
          </cell>
          <cell r="F299" t="str">
            <v>Assets</v>
          </cell>
          <cell r="G299" t="str">
            <v>VAT @ Empt% Provision A/c for Monthly Rentals</v>
          </cell>
          <cell r="H299" t="str">
            <v>Other</v>
          </cell>
          <cell r="I299">
            <v>23760</v>
          </cell>
        </row>
        <row r="300">
          <cell r="A300" t="str">
            <v>101513199</v>
          </cell>
          <cell r="B300" t="str">
            <v>10</v>
          </cell>
          <cell r="C300" t="str">
            <v>131</v>
          </cell>
          <cell r="D300" t="str">
            <v>15</v>
          </cell>
          <cell r="E300" t="str">
            <v>99</v>
          </cell>
          <cell r="F300" t="str">
            <v>Assets</v>
          </cell>
          <cell r="G300" t="str">
            <v>VAT @ 15% Provision A/C for Monthly Rentals</v>
          </cell>
          <cell r="H300" t="str">
            <v>ISP Operations</v>
          </cell>
          <cell r="I300">
            <v>532.49</v>
          </cell>
        </row>
        <row r="301">
          <cell r="A301" t="str">
            <v>109913199</v>
          </cell>
          <cell r="B301" t="str">
            <v>10</v>
          </cell>
          <cell r="C301" t="str">
            <v>131</v>
          </cell>
          <cell r="D301" t="str">
            <v>99</v>
          </cell>
          <cell r="E301" t="str">
            <v>99</v>
          </cell>
          <cell r="F301" t="str">
            <v>Assets</v>
          </cell>
          <cell r="G301" t="str">
            <v>VAT @ 15% Provision A/C for Monthly Rentals</v>
          </cell>
          <cell r="H301" t="str">
            <v>Other</v>
          </cell>
          <cell r="I301">
            <v>4007620.5</v>
          </cell>
        </row>
        <row r="302">
          <cell r="A302" t="str">
            <v>109913699</v>
          </cell>
          <cell r="B302" t="str">
            <v>10</v>
          </cell>
          <cell r="C302" t="str">
            <v>136</v>
          </cell>
          <cell r="D302" t="str">
            <v>99</v>
          </cell>
          <cell r="E302" t="str">
            <v>99</v>
          </cell>
          <cell r="F302" t="str">
            <v>Assets</v>
          </cell>
          <cell r="G302" t="str">
            <v>Cash/Bank  - Standard Chartered</v>
          </cell>
          <cell r="H302" t="str">
            <v>Other</v>
          </cell>
          <cell r="I302">
            <v>0</v>
          </cell>
        </row>
        <row r="303">
          <cell r="A303" t="str">
            <v>109913799</v>
          </cell>
          <cell r="B303" t="str">
            <v>10</v>
          </cell>
          <cell r="C303" t="str">
            <v>137</v>
          </cell>
          <cell r="D303" t="str">
            <v>99</v>
          </cell>
          <cell r="E303" t="str">
            <v>99</v>
          </cell>
          <cell r="F303" t="str">
            <v>Assets</v>
          </cell>
          <cell r="G303" t="str">
            <v>Cash/Bank - Grindlays Colombo</v>
          </cell>
          <cell r="H303" t="str">
            <v>Other</v>
          </cell>
          <cell r="I303">
            <v>0</v>
          </cell>
        </row>
        <row r="304">
          <cell r="A304" t="str">
            <v>109913899</v>
          </cell>
          <cell r="B304" t="str">
            <v>10</v>
          </cell>
          <cell r="C304" t="str">
            <v>138</v>
          </cell>
          <cell r="D304" t="str">
            <v>99</v>
          </cell>
          <cell r="E304" t="str">
            <v>99</v>
          </cell>
          <cell r="F304" t="str">
            <v>Assets</v>
          </cell>
          <cell r="G304" t="str">
            <v>Cash/Bank - Nations Trust Bank</v>
          </cell>
          <cell r="H304" t="str">
            <v>Other</v>
          </cell>
          <cell r="I304">
            <v>-4469324.18</v>
          </cell>
        </row>
        <row r="305">
          <cell r="A305" t="str">
            <v>109913999</v>
          </cell>
          <cell r="B305" t="str">
            <v>10</v>
          </cell>
          <cell r="C305" t="str">
            <v>139</v>
          </cell>
          <cell r="D305" t="str">
            <v>99</v>
          </cell>
          <cell r="E305" t="str">
            <v>99</v>
          </cell>
          <cell r="F305" t="str">
            <v>Assets</v>
          </cell>
          <cell r="G305" t="str">
            <v>Cash/Bank - Nations Trust Bank (RFC) $ - Savings</v>
          </cell>
          <cell r="H305" t="str">
            <v>Other</v>
          </cell>
          <cell r="I305">
            <v>2603362.7200000002</v>
          </cell>
        </row>
        <row r="306">
          <cell r="A306" t="str">
            <v>109914099</v>
          </cell>
          <cell r="B306" t="str">
            <v>10</v>
          </cell>
          <cell r="C306" t="str">
            <v>140</v>
          </cell>
          <cell r="D306" t="str">
            <v>99</v>
          </cell>
          <cell r="E306" t="str">
            <v>99</v>
          </cell>
          <cell r="F306" t="str">
            <v>Assets</v>
          </cell>
          <cell r="G306" t="str">
            <v>Cash/Bank  - Sampath bank credit card a/c</v>
          </cell>
          <cell r="H306" t="str">
            <v>Other</v>
          </cell>
          <cell r="I306">
            <v>-3035.24</v>
          </cell>
        </row>
        <row r="307">
          <cell r="A307" t="str">
            <v>109914199</v>
          </cell>
          <cell r="B307" t="str">
            <v>10</v>
          </cell>
          <cell r="C307" t="str">
            <v>141</v>
          </cell>
          <cell r="D307" t="str">
            <v>99</v>
          </cell>
          <cell r="E307" t="str">
            <v>99</v>
          </cell>
          <cell r="F307" t="str">
            <v>Assets</v>
          </cell>
          <cell r="G307" t="str">
            <v>ANZ Grindlays - RFC  $ savings A/C</v>
          </cell>
          <cell r="H307" t="str">
            <v>Other</v>
          </cell>
          <cell r="I307">
            <v>0</v>
          </cell>
        </row>
        <row r="308">
          <cell r="A308" t="str">
            <v>109914299</v>
          </cell>
          <cell r="B308" t="str">
            <v>10</v>
          </cell>
          <cell r="C308" t="str">
            <v>142</v>
          </cell>
          <cell r="D308" t="str">
            <v>99</v>
          </cell>
          <cell r="E308" t="str">
            <v>99</v>
          </cell>
          <cell r="F308" t="str">
            <v>Assets</v>
          </cell>
          <cell r="G308" t="str">
            <v>Cash/Bank - American Express .</v>
          </cell>
          <cell r="H308" t="str">
            <v>Other</v>
          </cell>
          <cell r="I308">
            <v>0</v>
          </cell>
        </row>
        <row r="309">
          <cell r="A309" t="str">
            <v>109914399</v>
          </cell>
          <cell r="B309" t="str">
            <v>10</v>
          </cell>
          <cell r="C309" t="str">
            <v>143</v>
          </cell>
          <cell r="D309" t="str">
            <v>99</v>
          </cell>
          <cell r="E309" t="str">
            <v>99</v>
          </cell>
          <cell r="F309" t="str">
            <v>Assets</v>
          </cell>
          <cell r="G309" t="str">
            <v>Fixed Deposit - Nations Trust Bank ( US$ )</v>
          </cell>
          <cell r="H309" t="str">
            <v>Other</v>
          </cell>
          <cell r="I309">
            <v>0</v>
          </cell>
        </row>
        <row r="310">
          <cell r="A310" t="str">
            <v>109914499</v>
          </cell>
          <cell r="B310" t="str">
            <v>10</v>
          </cell>
          <cell r="C310" t="str">
            <v>144</v>
          </cell>
          <cell r="D310" t="str">
            <v>99</v>
          </cell>
          <cell r="E310" t="str">
            <v>99</v>
          </cell>
          <cell r="F310" t="str">
            <v>Assets</v>
          </cell>
          <cell r="G310" t="str">
            <v>Cash/Bank - Nations Trust Bank (Debit Tax Exempt)</v>
          </cell>
          <cell r="H310" t="str">
            <v>Other</v>
          </cell>
          <cell r="I310">
            <v>100</v>
          </cell>
        </row>
        <row r="311">
          <cell r="A311" t="str">
            <v>109914699</v>
          </cell>
          <cell r="B311" t="str">
            <v>10</v>
          </cell>
          <cell r="C311" t="str">
            <v>146</v>
          </cell>
          <cell r="D311" t="str">
            <v>99</v>
          </cell>
          <cell r="E311" t="str">
            <v>99</v>
          </cell>
          <cell r="F311" t="str">
            <v>Assets</v>
          </cell>
          <cell r="G311" t="str">
            <v>Cash/Bank - Standard Chartered Bank - Current A/C  01 3373045 01</v>
          </cell>
          <cell r="H311" t="str">
            <v>Other</v>
          </cell>
          <cell r="I311">
            <v>97846.22</v>
          </cell>
        </row>
        <row r="312">
          <cell r="A312" t="str">
            <v>109914799</v>
          </cell>
          <cell r="B312" t="str">
            <v>10</v>
          </cell>
          <cell r="C312" t="str">
            <v>147</v>
          </cell>
          <cell r="D312" t="str">
            <v>99</v>
          </cell>
          <cell r="E312" t="str">
            <v>99</v>
          </cell>
          <cell r="F312" t="str">
            <v>Assets</v>
          </cell>
          <cell r="G312" t="str">
            <v>Cash/Bank - Standard Chartered Bank - US Dollar A/C  02 3373045 01</v>
          </cell>
          <cell r="H312" t="str">
            <v>Other</v>
          </cell>
          <cell r="I312">
            <v>564060.93000000005</v>
          </cell>
        </row>
        <row r="313">
          <cell r="A313" t="str">
            <v>109914899</v>
          </cell>
          <cell r="B313" t="str">
            <v>10</v>
          </cell>
          <cell r="C313" t="str">
            <v>148</v>
          </cell>
          <cell r="D313" t="str">
            <v>99</v>
          </cell>
          <cell r="E313" t="str">
            <v>99</v>
          </cell>
          <cell r="F313" t="str">
            <v>Assets</v>
          </cell>
          <cell r="G313" t="str">
            <v>Sampath Bank - Savings A/c  1029 3000 0105</v>
          </cell>
          <cell r="H313" t="str">
            <v>Other</v>
          </cell>
          <cell r="I313">
            <v>3655.8</v>
          </cell>
        </row>
        <row r="314">
          <cell r="A314" t="str">
            <v>109914999</v>
          </cell>
          <cell r="B314" t="str">
            <v>10</v>
          </cell>
          <cell r="C314" t="str">
            <v>149</v>
          </cell>
          <cell r="D314" t="str">
            <v>99</v>
          </cell>
          <cell r="E314" t="str">
            <v>99</v>
          </cell>
          <cell r="F314" t="str">
            <v>Assets</v>
          </cell>
          <cell r="G314" t="str">
            <v>The Hongkong &amp; Shanghai Banking Cor. - US$ Savings A/c  003-080397-025</v>
          </cell>
          <cell r="H314" t="str">
            <v>Other</v>
          </cell>
          <cell r="I314">
            <v>694654.85</v>
          </cell>
        </row>
        <row r="315">
          <cell r="A315" t="str">
            <v>109915099</v>
          </cell>
          <cell r="B315" t="str">
            <v>10</v>
          </cell>
          <cell r="C315" t="str">
            <v>150</v>
          </cell>
          <cell r="D315" t="str">
            <v>99</v>
          </cell>
          <cell r="E315" t="str">
            <v>99</v>
          </cell>
          <cell r="F315" t="str">
            <v>Assets</v>
          </cell>
          <cell r="G315" t="str">
            <v>NDB Bank - A/c No.900001010518</v>
          </cell>
          <cell r="H315" t="str">
            <v>Other</v>
          </cell>
          <cell r="I315">
            <v>281559.52</v>
          </cell>
        </row>
        <row r="316">
          <cell r="A316" t="str">
            <v>109915199</v>
          </cell>
          <cell r="B316" t="str">
            <v>10</v>
          </cell>
          <cell r="C316" t="str">
            <v>151</v>
          </cell>
          <cell r="D316" t="str">
            <v>99</v>
          </cell>
          <cell r="E316" t="str">
            <v>99</v>
          </cell>
          <cell r="F316" t="str">
            <v>Assets</v>
          </cell>
          <cell r="G316" t="str">
            <v>GBP Call Deposit - NTB</v>
          </cell>
          <cell r="H316" t="str">
            <v>Other</v>
          </cell>
          <cell r="I316">
            <v>11307173.390000001</v>
          </cell>
        </row>
        <row r="317">
          <cell r="A317" t="str">
            <v>109915399</v>
          </cell>
          <cell r="B317" t="str">
            <v>10</v>
          </cell>
          <cell r="C317" t="str">
            <v>153</v>
          </cell>
          <cell r="D317" t="str">
            <v>99</v>
          </cell>
          <cell r="E317" t="str">
            <v>99</v>
          </cell>
          <cell r="F317" t="str">
            <v>Assets</v>
          </cell>
          <cell r="G317" t="str">
            <v>Stamp Float - Madapatha</v>
          </cell>
          <cell r="H317" t="str">
            <v>Other</v>
          </cell>
          <cell r="I317">
            <v>0</v>
          </cell>
        </row>
        <row r="318">
          <cell r="A318" t="str">
            <v>109915499</v>
          </cell>
          <cell r="B318" t="str">
            <v>10</v>
          </cell>
          <cell r="C318" t="str">
            <v>154</v>
          </cell>
          <cell r="D318" t="str">
            <v>99</v>
          </cell>
          <cell r="E318" t="str">
            <v>99</v>
          </cell>
          <cell r="F318" t="str">
            <v>Assets</v>
          </cell>
          <cell r="G318" t="str">
            <v>Exe Salary Prepayment - MSL</v>
          </cell>
          <cell r="H318" t="str">
            <v>Other</v>
          </cell>
          <cell r="I318">
            <v>2136330.5</v>
          </cell>
        </row>
        <row r="319">
          <cell r="A319" t="str">
            <v>101515599</v>
          </cell>
          <cell r="B319" t="str">
            <v>10</v>
          </cell>
          <cell r="C319" t="str">
            <v>155</v>
          </cell>
          <cell r="D319" t="str">
            <v>15</v>
          </cell>
          <cell r="E319" t="str">
            <v>99</v>
          </cell>
          <cell r="F319" t="str">
            <v>Assets</v>
          </cell>
          <cell r="G319" t="str">
            <v>Refundable Deposit - MTT/VERSTAR</v>
          </cell>
          <cell r="H319" t="str">
            <v>ISP Operations</v>
          </cell>
          <cell r="I319">
            <v>0</v>
          </cell>
        </row>
        <row r="320">
          <cell r="A320" t="str">
            <v>109915599</v>
          </cell>
          <cell r="B320" t="str">
            <v>10</v>
          </cell>
          <cell r="C320" t="str">
            <v>155</v>
          </cell>
          <cell r="D320" t="str">
            <v>99</v>
          </cell>
          <cell r="E320" t="str">
            <v>99</v>
          </cell>
          <cell r="F320" t="str">
            <v>Assets</v>
          </cell>
          <cell r="G320" t="str">
            <v>Refundable Deposit - MTT/VERSTAR</v>
          </cell>
          <cell r="H320" t="str">
            <v>Other</v>
          </cell>
          <cell r="I320">
            <v>117000</v>
          </cell>
        </row>
        <row r="321">
          <cell r="A321" t="str">
            <v>101515699</v>
          </cell>
          <cell r="B321" t="str">
            <v>10</v>
          </cell>
          <cell r="C321" t="str">
            <v>156</v>
          </cell>
          <cell r="D321" t="str">
            <v>15</v>
          </cell>
          <cell r="E321" t="str">
            <v>99</v>
          </cell>
          <cell r="F321" t="str">
            <v>Assets</v>
          </cell>
          <cell r="G321" t="str">
            <v>Current A/C with ISP - Division</v>
          </cell>
          <cell r="H321" t="str">
            <v>ISP Operations</v>
          </cell>
          <cell r="I321">
            <v>0</v>
          </cell>
        </row>
        <row r="322">
          <cell r="A322" t="str">
            <v>109915699</v>
          </cell>
          <cell r="B322" t="str">
            <v>10</v>
          </cell>
          <cell r="C322" t="str">
            <v>156</v>
          </cell>
          <cell r="D322" t="str">
            <v>99</v>
          </cell>
          <cell r="E322" t="str">
            <v>99</v>
          </cell>
          <cell r="F322" t="str">
            <v>Assets</v>
          </cell>
          <cell r="G322" t="str">
            <v>Current A/C with ISP - Division</v>
          </cell>
          <cell r="H322" t="str">
            <v>Other</v>
          </cell>
          <cell r="I322">
            <v>27216873.859999999</v>
          </cell>
        </row>
        <row r="323">
          <cell r="A323" t="str">
            <v>109915799</v>
          </cell>
          <cell r="B323" t="str">
            <v>10</v>
          </cell>
          <cell r="C323" t="str">
            <v>157</v>
          </cell>
          <cell r="D323" t="str">
            <v>99</v>
          </cell>
          <cell r="E323" t="str">
            <v>99</v>
          </cell>
          <cell r="F323" t="str">
            <v>Assets</v>
          </cell>
          <cell r="G323" t="str">
            <v>Timing Difference on Clearing &amp; Wharf Charges</v>
          </cell>
          <cell r="H323" t="str">
            <v>Other</v>
          </cell>
          <cell r="I323">
            <v>0</v>
          </cell>
        </row>
        <row r="324">
          <cell r="A324" t="str">
            <v>109915899</v>
          </cell>
          <cell r="B324" t="str">
            <v>10</v>
          </cell>
          <cell r="C324" t="str">
            <v>158</v>
          </cell>
          <cell r="D324" t="str">
            <v>99</v>
          </cell>
          <cell r="E324" t="str">
            <v>99</v>
          </cell>
          <cell r="F324" t="str">
            <v>Assets</v>
          </cell>
          <cell r="G324" t="str">
            <v>MSL PAYAMENTS - TRAVELLING &amp; MAINTENANCE</v>
          </cell>
          <cell r="H324" t="str">
            <v>Other</v>
          </cell>
          <cell r="I324">
            <v>130642</v>
          </cell>
        </row>
        <row r="325">
          <cell r="A325" t="str">
            <v>109915999</v>
          </cell>
          <cell r="B325" t="str">
            <v>10</v>
          </cell>
          <cell r="C325" t="str">
            <v>159</v>
          </cell>
          <cell r="D325" t="str">
            <v>99</v>
          </cell>
          <cell r="E325" t="str">
            <v>99</v>
          </cell>
          <cell r="F325" t="str">
            <v>Assets</v>
          </cell>
          <cell r="G325" t="str">
            <v>Current Account with EGO Division</v>
          </cell>
          <cell r="H325" t="str">
            <v>Other</v>
          </cell>
          <cell r="I325">
            <v>5813400</v>
          </cell>
        </row>
        <row r="326">
          <cell r="A326" t="str">
            <v>109916099</v>
          </cell>
          <cell r="B326" t="str">
            <v>10</v>
          </cell>
          <cell r="C326" t="str">
            <v>160</v>
          </cell>
          <cell r="D326" t="str">
            <v>99</v>
          </cell>
          <cell r="E326" t="str">
            <v>99</v>
          </cell>
          <cell r="F326" t="str">
            <v>Assets</v>
          </cell>
          <cell r="G326" t="str">
            <v>Insurance Claim Receiverble ( Janashakthi )</v>
          </cell>
          <cell r="H326" t="str">
            <v>Other</v>
          </cell>
          <cell r="I326">
            <v>-28826.38</v>
          </cell>
        </row>
        <row r="327">
          <cell r="A327" t="str">
            <v>109919899</v>
          </cell>
          <cell r="B327" t="str">
            <v>10</v>
          </cell>
          <cell r="C327" t="str">
            <v>198</v>
          </cell>
          <cell r="D327" t="str">
            <v>99</v>
          </cell>
          <cell r="E327" t="str">
            <v>99</v>
          </cell>
          <cell r="F327" t="str">
            <v>Assets</v>
          </cell>
          <cell r="G327" t="str">
            <v>Cach in Hand-IOU-Finance</v>
          </cell>
          <cell r="H327" t="str">
            <v>Other</v>
          </cell>
          <cell r="I327">
            <v>4496600.7</v>
          </cell>
        </row>
        <row r="328">
          <cell r="A328" t="str">
            <v>109919999</v>
          </cell>
          <cell r="B328" t="str">
            <v>10</v>
          </cell>
          <cell r="C328" t="str">
            <v>199</v>
          </cell>
          <cell r="D328" t="str">
            <v>99</v>
          </cell>
          <cell r="E328" t="str">
            <v>99</v>
          </cell>
          <cell r="F328" t="str">
            <v>Assets</v>
          </cell>
          <cell r="G328" t="str">
            <v>Cash In Hand</v>
          </cell>
          <cell r="H328" t="str">
            <v>Other</v>
          </cell>
          <cell r="I328">
            <v>23702.240000000002</v>
          </cell>
        </row>
        <row r="329">
          <cell r="A329" t="str">
            <v>109923899</v>
          </cell>
          <cell r="B329" t="str">
            <v>10</v>
          </cell>
          <cell r="C329" t="str">
            <v>238</v>
          </cell>
          <cell r="D329" t="str">
            <v>99</v>
          </cell>
          <cell r="E329" t="str">
            <v>99</v>
          </cell>
          <cell r="F329" t="str">
            <v>Assets</v>
          </cell>
          <cell r="G329" t="str">
            <v>Current Liabilities - Death Donations - Staff</v>
          </cell>
          <cell r="H329" t="str">
            <v>Other</v>
          </cell>
          <cell r="I329">
            <v>0</v>
          </cell>
        </row>
        <row r="330">
          <cell r="A330" t="str">
            <v>109924799</v>
          </cell>
          <cell r="B330" t="str">
            <v>10</v>
          </cell>
          <cell r="C330" t="str">
            <v>247</v>
          </cell>
          <cell r="D330" t="str">
            <v>99</v>
          </cell>
          <cell r="E330" t="str">
            <v>99</v>
          </cell>
          <cell r="F330" t="str">
            <v>Assets</v>
          </cell>
          <cell r="G330" t="str">
            <v>Other Creditors - Local Purchase Creditors</v>
          </cell>
          <cell r="H330" t="str">
            <v>Other</v>
          </cell>
          <cell r="I330">
            <v>0</v>
          </cell>
        </row>
        <row r="331">
          <cell r="A331" t="str">
            <v>109924899</v>
          </cell>
          <cell r="B331" t="str">
            <v>10</v>
          </cell>
          <cell r="C331" t="str">
            <v>248</v>
          </cell>
          <cell r="D331" t="str">
            <v>99</v>
          </cell>
          <cell r="E331" t="str">
            <v>99</v>
          </cell>
          <cell r="F331" t="str">
            <v>Assets</v>
          </cell>
          <cell r="G331" t="str">
            <v>Other Creditors - Salaries Control</v>
          </cell>
          <cell r="H331" t="str">
            <v>Other</v>
          </cell>
          <cell r="I331">
            <v>0</v>
          </cell>
        </row>
        <row r="332">
          <cell r="A332" t="str">
            <v>109925299</v>
          </cell>
          <cell r="B332" t="str">
            <v>10</v>
          </cell>
          <cell r="C332" t="str">
            <v>252</v>
          </cell>
          <cell r="D332" t="str">
            <v>99</v>
          </cell>
          <cell r="E332" t="str">
            <v>99</v>
          </cell>
          <cell r="F332" t="str">
            <v>Assets</v>
          </cell>
          <cell r="G332" t="str">
            <v>Inter Company - DPMCO Current A/C</v>
          </cell>
          <cell r="H332" t="str">
            <v>Other</v>
          </cell>
          <cell r="I332">
            <v>0</v>
          </cell>
        </row>
        <row r="333">
          <cell r="A333" t="str">
            <v>109925999</v>
          </cell>
          <cell r="B333" t="str">
            <v>10</v>
          </cell>
          <cell r="C333" t="str">
            <v>259</v>
          </cell>
          <cell r="D333" t="str">
            <v>99</v>
          </cell>
          <cell r="E333" t="str">
            <v>99</v>
          </cell>
          <cell r="F333" t="str">
            <v>Assets</v>
          </cell>
          <cell r="G333" t="str">
            <v>Insurance Claim Payable ( For  Vehicle Rapair )</v>
          </cell>
          <cell r="H333" t="str">
            <v>Other</v>
          </cell>
          <cell r="I333">
            <v>0</v>
          </cell>
        </row>
        <row r="334">
          <cell r="A334" t="str">
            <v>109929299</v>
          </cell>
          <cell r="B334" t="str">
            <v>10</v>
          </cell>
          <cell r="C334" t="str">
            <v>292</v>
          </cell>
          <cell r="D334" t="str">
            <v>99</v>
          </cell>
          <cell r="E334" t="str">
            <v>99</v>
          </cell>
          <cell r="F334" t="str">
            <v>Assets</v>
          </cell>
          <cell r="G334" t="str">
            <v>GST</v>
          </cell>
          <cell r="H334" t="str">
            <v>Other</v>
          </cell>
          <cell r="I334">
            <v>0</v>
          </cell>
        </row>
        <row r="335">
          <cell r="A335" t="str">
            <v>109929699</v>
          </cell>
          <cell r="B335" t="str">
            <v>10</v>
          </cell>
          <cell r="C335" t="str">
            <v>296</v>
          </cell>
          <cell r="D335" t="str">
            <v>99</v>
          </cell>
          <cell r="E335" t="str">
            <v>99</v>
          </cell>
          <cell r="F335" t="str">
            <v>Assets</v>
          </cell>
          <cell r="G335" t="str">
            <v>VAT PAYABLE @20%</v>
          </cell>
          <cell r="H335" t="str">
            <v>Other</v>
          </cell>
          <cell r="I335">
            <v>490.5</v>
          </cell>
        </row>
        <row r="336">
          <cell r="A336" t="str">
            <v>101132636</v>
          </cell>
          <cell r="B336" t="str">
            <v>10</v>
          </cell>
          <cell r="C336" t="str">
            <v>326</v>
          </cell>
          <cell r="D336" t="str">
            <v>11</v>
          </cell>
          <cell r="E336" t="str">
            <v>36</v>
          </cell>
          <cell r="F336" t="str">
            <v>Assets</v>
          </cell>
          <cell r="G336" t="str">
            <v>CREDIT SALES VAT@15%</v>
          </cell>
          <cell r="H336" t="str">
            <v>Software Development</v>
          </cell>
          <cell r="I336">
            <v>0</v>
          </cell>
        </row>
        <row r="337">
          <cell r="A337" t="str">
            <v>101344001</v>
          </cell>
          <cell r="B337" t="str">
            <v>10</v>
          </cell>
          <cell r="C337" t="str">
            <v>440</v>
          </cell>
          <cell r="D337" t="str">
            <v>13</v>
          </cell>
          <cell r="E337" t="str">
            <v>01</v>
          </cell>
          <cell r="F337" t="str">
            <v>Assets</v>
          </cell>
          <cell r="G337" t="str">
            <v>COS - Inter Department Costs</v>
          </cell>
          <cell r="H337" t="str">
            <v>Engineering-OS Support</v>
          </cell>
          <cell r="I337">
            <v>0</v>
          </cell>
        </row>
        <row r="338">
          <cell r="A338" t="str">
            <v>106851199</v>
          </cell>
          <cell r="B338" t="str">
            <v>10</v>
          </cell>
          <cell r="C338" t="str">
            <v>511</v>
          </cell>
          <cell r="D338" t="str">
            <v>68</v>
          </cell>
          <cell r="E338" t="str">
            <v>99</v>
          </cell>
          <cell r="F338" t="str">
            <v>Assets</v>
          </cell>
          <cell r="G338" t="str">
            <v>Vehicle Maintenance</v>
          </cell>
          <cell r="H338" t="str">
            <v>General Manager's Office</v>
          </cell>
          <cell r="I338">
            <v>0</v>
          </cell>
        </row>
        <row r="339">
          <cell r="A339" t="str">
            <v>101352730</v>
          </cell>
          <cell r="B339" t="str">
            <v>10</v>
          </cell>
          <cell r="C339" t="str">
            <v>527</v>
          </cell>
          <cell r="D339" t="str">
            <v>13</v>
          </cell>
          <cell r="E339" t="str">
            <v>30</v>
          </cell>
          <cell r="F339" t="str">
            <v>Assets</v>
          </cell>
          <cell r="G339" t="str">
            <v>Refreshments</v>
          </cell>
          <cell r="H339" t="str">
            <v>Engineering-OS Support</v>
          </cell>
          <cell r="I339">
            <v>0</v>
          </cell>
        </row>
        <row r="340">
          <cell r="A340" t="str">
            <v>101452730</v>
          </cell>
          <cell r="B340" t="str">
            <v>10</v>
          </cell>
          <cell r="C340" t="str">
            <v>527</v>
          </cell>
          <cell r="D340" t="str">
            <v>14</v>
          </cell>
          <cell r="E340" t="str">
            <v>30</v>
          </cell>
          <cell r="F340" t="str">
            <v>Assets</v>
          </cell>
          <cell r="G340" t="str">
            <v>Refreshments</v>
          </cell>
          <cell r="H340" t="str">
            <v>Engineering-Operations</v>
          </cell>
          <cell r="I340">
            <v>0</v>
          </cell>
        </row>
        <row r="341">
          <cell r="A341" t="str">
            <v>209901499</v>
          </cell>
          <cell r="B341" t="str">
            <v>20</v>
          </cell>
          <cell r="C341" t="str">
            <v>014</v>
          </cell>
          <cell r="D341" t="str">
            <v>99</v>
          </cell>
          <cell r="E341" t="str">
            <v>99</v>
          </cell>
          <cell r="F341" t="str">
            <v>Liabilities</v>
          </cell>
          <cell r="G341" t="str">
            <v>Fixed Assets - Tools &amp; Implements</v>
          </cell>
          <cell r="H341" t="str">
            <v>Other</v>
          </cell>
          <cell r="I341">
            <v>0</v>
          </cell>
        </row>
        <row r="342">
          <cell r="A342" t="str">
            <v>209908499</v>
          </cell>
          <cell r="B342" t="str">
            <v>20</v>
          </cell>
          <cell r="C342" t="str">
            <v>084</v>
          </cell>
          <cell r="D342" t="str">
            <v>99</v>
          </cell>
          <cell r="E342" t="str">
            <v>99</v>
          </cell>
          <cell r="F342" t="str">
            <v>Liabilities</v>
          </cell>
          <cell r="G342" t="str">
            <v>Goods in Transit - Imports Cost</v>
          </cell>
          <cell r="H342" t="str">
            <v>Other</v>
          </cell>
          <cell r="I342">
            <v>0</v>
          </cell>
        </row>
        <row r="343">
          <cell r="A343" t="str">
            <v>209912199</v>
          </cell>
          <cell r="B343" t="str">
            <v>20</v>
          </cell>
          <cell r="C343" t="str">
            <v>121</v>
          </cell>
          <cell r="D343" t="str">
            <v>99</v>
          </cell>
          <cell r="E343" t="str">
            <v>99</v>
          </cell>
          <cell r="F343" t="str">
            <v>Liabilities</v>
          </cell>
          <cell r="G343" t="str">
            <v>Cash/Bank - Petty Cash - Finance</v>
          </cell>
          <cell r="H343" t="str">
            <v>Other</v>
          </cell>
          <cell r="I343">
            <v>0</v>
          </cell>
        </row>
        <row r="344">
          <cell r="A344" t="str">
            <v>201512999</v>
          </cell>
          <cell r="B344" t="str">
            <v>20</v>
          </cell>
          <cell r="C344" t="str">
            <v>129</v>
          </cell>
          <cell r="D344" t="str">
            <v>15</v>
          </cell>
          <cell r="E344" t="str">
            <v>99</v>
          </cell>
          <cell r="F344" t="str">
            <v>Liabilities</v>
          </cell>
          <cell r="G344" t="str">
            <v>VAT @ 20% Provision A/c for Monthly Rentals</v>
          </cell>
          <cell r="H344" t="str">
            <v>ISP Operations</v>
          </cell>
          <cell r="I344">
            <v>0</v>
          </cell>
        </row>
        <row r="345">
          <cell r="A345" t="str">
            <v>201513199</v>
          </cell>
          <cell r="B345" t="str">
            <v>20</v>
          </cell>
          <cell r="C345" t="str">
            <v>131</v>
          </cell>
          <cell r="D345" t="str">
            <v>15</v>
          </cell>
          <cell r="E345" t="str">
            <v>99</v>
          </cell>
          <cell r="F345" t="str">
            <v>Liabilities</v>
          </cell>
          <cell r="G345" t="str">
            <v>VAT @ 15% Provision A/C for Monthly Rentals</v>
          </cell>
          <cell r="H345" t="str">
            <v>ISP Operations</v>
          </cell>
          <cell r="I345">
            <v>0</v>
          </cell>
        </row>
        <row r="346">
          <cell r="A346" t="str">
            <v>209913799</v>
          </cell>
          <cell r="B346" t="str">
            <v>20</v>
          </cell>
          <cell r="C346" t="str">
            <v>137</v>
          </cell>
          <cell r="D346" t="str">
            <v>99</v>
          </cell>
          <cell r="E346" t="str">
            <v>99</v>
          </cell>
          <cell r="F346" t="str">
            <v>Liabilities</v>
          </cell>
          <cell r="G346" t="str">
            <v>Cash/Bank - Grindlays Colombo</v>
          </cell>
          <cell r="H346" t="str">
            <v>Other</v>
          </cell>
          <cell r="I346">
            <v>0</v>
          </cell>
        </row>
        <row r="347">
          <cell r="A347" t="str">
            <v>209913899</v>
          </cell>
          <cell r="B347" t="str">
            <v>20</v>
          </cell>
          <cell r="C347" t="str">
            <v>138</v>
          </cell>
          <cell r="D347" t="str">
            <v>99</v>
          </cell>
          <cell r="E347" t="str">
            <v>99</v>
          </cell>
          <cell r="F347" t="str">
            <v>Liabilities</v>
          </cell>
          <cell r="G347" t="str">
            <v>Cash/Bank - Nations Trust Bank</v>
          </cell>
          <cell r="H347" t="str">
            <v>Other</v>
          </cell>
          <cell r="I347">
            <v>0</v>
          </cell>
        </row>
        <row r="348">
          <cell r="A348" t="str">
            <v>209915499</v>
          </cell>
          <cell r="B348" t="str">
            <v>20</v>
          </cell>
          <cell r="C348" t="str">
            <v>154</v>
          </cell>
          <cell r="D348" t="str">
            <v>99</v>
          </cell>
          <cell r="E348" t="str">
            <v>99</v>
          </cell>
          <cell r="F348" t="str">
            <v>Liabilities</v>
          </cell>
          <cell r="G348" t="str">
            <v>Exe Salary Prepayment - MSL</v>
          </cell>
          <cell r="H348" t="str">
            <v>Other</v>
          </cell>
          <cell r="I348">
            <v>0</v>
          </cell>
        </row>
        <row r="349">
          <cell r="A349" t="str">
            <v>209920199</v>
          </cell>
          <cell r="B349" t="str">
            <v>20</v>
          </cell>
          <cell r="C349" t="str">
            <v>201</v>
          </cell>
          <cell r="D349" t="str">
            <v>99</v>
          </cell>
          <cell r="E349" t="str">
            <v>99</v>
          </cell>
          <cell r="F349" t="str">
            <v>Liabilities</v>
          </cell>
          <cell r="G349" t="str">
            <v>Share Capital - Ordinary Shares</v>
          </cell>
          <cell r="H349" t="str">
            <v>Other</v>
          </cell>
          <cell r="I349">
            <v>-70000040</v>
          </cell>
        </row>
        <row r="350">
          <cell r="A350" t="str">
            <v>209920399</v>
          </cell>
          <cell r="B350" t="str">
            <v>20</v>
          </cell>
          <cell r="C350" t="str">
            <v>203</v>
          </cell>
          <cell r="D350" t="str">
            <v>99</v>
          </cell>
          <cell r="E350" t="str">
            <v>99</v>
          </cell>
          <cell r="F350" t="str">
            <v>Liabilities</v>
          </cell>
          <cell r="G350" t="str">
            <v>OVER 6 MONTHS UNPRESENTED CHEQUES</v>
          </cell>
          <cell r="H350" t="str">
            <v>Other</v>
          </cell>
          <cell r="I350">
            <v>-7.14</v>
          </cell>
        </row>
        <row r="351">
          <cell r="A351" t="str">
            <v>209922099</v>
          </cell>
          <cell r="B351" t="str">
            <v>20</v>
          </cell>
          <cell r="C351" t="str">
            <v>220</v>
          </cell>
          <cell r="D351" t="str">
            <v>99</v>
          </cell>
          <cell r="E351" t="str">
            <v>99</v>
          </cell>
          <cell r="F351" t="str">
            <v>Liabilities</v>
          </cell>
          <cell r="G351" t="str">
            <v>Advances Received - other</v>
          </cell>
          <cell r="H351" t="str">
            <v>Other</v>
          </cell>
          <cell r="I351">
            <v>-189265</v>
          </cell>
        </row>
        <row r="352">
          <cell r="A352" t="str">
            <v>209922199</v>
          </cell>
          <cell r="B352" t="str">
            <v>20</v>
          </cell>
          <cell r="C352" t="str">
            <v>221</v>
          </cell>
          <cell r="D352" t="str">
            <v>99</v>
          </cell>
          <cell r="E352" t="str">
            <v>99</v>
          </cell>
          <cell r="F352" t="str">
            <v>Liabilities</v>
          </cell>
          <cell r="G352" t="str">
            <v>Reserves - General Reserves</v>
          </cell>
          <cell r="H352" t="str">
            <v>Other</v>
          </cell>
          <cell r="I352">
            <v>0</v>
          </cell>
        </row>
        <row r="353">
          <cell r="A353" t="str">
            <v>209922299</v>
          </cell>
          <cell r="B353" t="str">
            <v>20</v>
          </cell>
          <cell r="C353" t="str">
            <v>222</v>
          </cell>
          <cell r="D353" t="str">
            <v>99</v>
          </cell>
          <cell r="E353" t="str">
            <v>99</v>
          </cell>
          <cell r="F353" t="str">
            <v>Liabilities</v>
          </cell>
          <cell r="G353" t="str">
            <v xml:space="preserve">Prior years ajustment </v>
          </cell>
          <cell r="H353" t="str">
            <v>Other</v>
          </cell>
          <cell r="I353">
            <v>-795705.1</v>
          </cell>
        </row>
        <row r="354">
          <cell r="A354" t="str">
            <v>209922399</v>
          </cell>
          <cell r="B354" t="str">
            <v>20</v>
          </cell>
          <cell r="C354" t="str">
            <v>223</v>
          </cell>
          <cell r="D354" t="str">
            <v>99</v>
          </cell>
          <cell r="E354" t="str">
            <v>99</v>
          </cell>
          <cell r="F354" t="str">
            <v>Liabilities</v>
          </cell>
          <cell r="G354" t="str">
            <v>Accruals - Interst  Payable</v>
          </cell>
          <cell r="H354" t="str">
            <v>Other</v>
          </cell>
          <cell r="I354">
            <v>-13561.64</v>
          </cell>
        </row>
        <row r="355">
          <cell r="A355" t="str">
            <v>209923099</v>
          </cell>
          <cell r="B355" t="str">
            <v>20</v>
          </cell>
          <cell r="C355" t="str">
            <v>230</v>
          </cell>
          <cell r="D355" t="str">
            <v>99</v>
          </cell>
          <cell r="E355" t="str">
            <v>99</v>
          </cell>
          <cell r="F355" t="str">
            <v>Liabilities</v>
          </cell>
          <cell r="G355" t="str">
            <v>Current Liabilities -  Welfare Scheme - Executive staff</v>
          </cell>
          <cell r="H355" t="str">
            <v>Other</v>
          </cell>
          <cell r="I355">
            <v>-85730</v>
          </cell>
        </row>
        <row r="356">
          <cell r="A356" t="str">
            <v>201523199</v>
          </cell>
          <cell r="B356" t="str">
            <v>20</v>
          </cell>
          <cell r="C356" t="str">
            <v>231</v>
          </cell>
          <cell r="D356" t="str">
            <v>15</v>
          </cell>
          <cell r="E356" t="str">
            <v>99</v>
          </cell>
          <cell r="F356" t="str">
            <v>Liabilities</v>
          </cell>
          <cell r="G356" t="str">
            <v>Current Liabilities - Creditors Control</v>
          </cell>
          <cell r="H356" t="str">
            <v>ISP Operations</v>
          </cell>
          <cell r="I356">
            <v>-2276.34</v>
          </cell>
        </row>
        <row r="357">
          <cell r="A357" t="str">
            <v>209923199</v>
          </cell>
          <cell r="B357" t="str">
            <v>20</v>
          </cell>
          <cell r="C357" t="str">
            <v>231</v>
          </cell>
          <cell r="D357" t="str">
            <v>99</v>
          </cell>
          <cell r="E357" t="str">
            <v>99</v>
          </cell>
          <cell r="F357" t="str">
            <v>Liabilities</v>
          </cell>
          <cell r="G357" t="str">
            <v>Current Liabilities - Creditors Control</v>
          </cell>
          <cell r="H357" t="str">
            <v>Other</v>
          </cell>
          <cell r="I357">
            <v>-1206182.25</v>
          </cell>
        </row>
        <row r="358">
          <cell r="A358" t="str">
            <v>209923499</v>
          </cell>
          <cell r="B358" t="str">
            <v>20</v>
          </cell>
          <cell r="C358" t="str">
            <v>234</v>
          </cell>
          <cell r="D358" t="str">
            <v>99</v>
          </cell>
          <cell r="E358" t="str">
            <v>99</v>
          </cell>
          <cell r="F358" t="str">
            <v>Liabilities</v>
          </cell>
          <cell r="G358" t="str">
            <v>Current Liabilities - Refundable Deposits</v>
          </cell>
          <cell r="H358" t="str">
            <v>Other</v>
          </cell>
          <cell r="I358">
            <v>0</v>
          </cell>
        </row>
        <row r="359">
          <cell r="A359" t="str">
            <v>209923599</v>
          </cell>
          <cell r="B359" t="str">
            <v>20</v>
          </cell>
          <cell r="C359" t="str">
            <v>235</v>
          </cell>
          <cell r="D359" t="str">
            <v>99</v>
          </cell>
          <cell r="E359" t="str">
            <v>99</v>
          </cell>
          <cell r="F359" t="str">
            <v>Liabilities</v>
          </cell>
          <cell r="G359" t="str">
            <v>Cashiers Refundable Deposit</v>
          </cell>
          <cell r="H359" t="str">
            <v>Other</v>
          </cell>
          <cell r="I359">
            <v>-45000</v>
          </cell>
        </row>
        <row r="360">
          <cell r="A360" t="str">
            <v>209923899</v>
          </cell>
          <cell r="B360" t="str">
            <v>20</v>
          </cell>
          <cell r="C360" t="str">
            <v>238</v>
          </cell>
          <cell r="D360" t="str">
            <v>99</v>
          </cell>
          <cell r="E360" t="str">
            <v>99</v>
          </cell>
          <cell r="F360" t="str">
            <v>Liabilities</v>
          </cell>
          <cell r="G360" t="str">
            <v>Current Liabilities - Death Donations - Staff</v>
          </cell>
          <cell r="H360" t="str">
            <v>Other</v>
          </cell>
          <cell r="I360">
            <v>-61615</v>
          </cell>
        </row>
        <row r="361">
          <cell r="A361" t="str">
            <v>209923999</v>
          </cell>
          <cell r="B361" t="str">
            <v>20</v>
          </cell>
          <cell r="C361" t="str">
            <v>239</v>
          </cell>
          <cell r="D361" t="str">
            <v>99</v>
          </cell>
          <cell r="E361" t="str">
            <v>99</v>
          </cell>
          <cell r="F361" t="str">
            <v>Liabilities</v>
          </cell>
          <cell r="G361" t="str">
            <v>Current Liabilities - Sports Club</v>
          </cell>
          <cell r="H361" t="str">
            <v>Other</v>
          </cell>
          <cell r="I361">
            <v>-9210</v>
          </cell>
        </row>
        <row r="362">
          <cell r="A362" t="str">
            <v>209924099</v>
          </cell>
          <cell r="B362" t="str">
            <v>20</v>
          </cell>
          <cell r="C362" t="str">
            <v>240</v>
          </cell>
          <cell r="D362" t="str">
            <v>99</v>
          </cell>
          <cell r="E362" t="str">
            <v>99</v>
          </cell>
          <cell r="F362" t="str">
            <v>Liabilities</v>
          </cell>
          <cell r="G362" t="str">
            <v>OTHER CREDITORS - Dividend payable</v>
          </cell>
          <cell r="H362" t="str">
            <v>Other</v>
          </cell>
          <cell r="I362">
            <v>-7.37</v>
          </cell>
        </row>
        <row r="363">
          <cell r="A363" t="str">
            <v>209924199</v>
          </cell>
          <cell r="B363" t="str">
            <v>20</v>
          </cell>
          <cell r="C363" t="str">
            <v>241</v>
          </cell>
          <cell r="D363" t="str">
            <v>99</v>
          </cell>
          <cell r="E363" t="str">
            <v>99</v>
          </cell>
          <cell r="F363" t="str">
            <v>Liabilities</v>
          </cell>
          <cell r="G363" t="str">
            <v>Other Creditors - Provision for Audit Fees</v>
          </cell>
          <cell r="H363" t="str">
            <v>Other</v>
          </cell>
          <cell r="I363">
            <v>-20395</v>
          </cell>
        </row>
        <row r="364">
          <cell r="A364" t="str">
            <v>209924499</v>
          </cell>
          <cell r="B364" t="str">
            <v>20</v>
          </cell>
          <cell r="C364" t="str">
            <v>244</v>
          </cell>
          <cell r="D364" t="str">
            <v>99</v>
          </cell>
          <cell r="E364" t="str">
            <v>99</v>
          </cell>
          <cell r="F364" t="str">
            <v>Liabilities</v>
          </cell>
          <cell r="G364" t="str">
            <v>Other Creditors - Cash Sales Return</v>
          </cell>
          <cell r="H364" t="str">
            <v>Other</v>
          </cell>
          <cell r="I364">
            <v>-23692</v>
          </cell>
        </row>
        <row r="365">
          <cell r="A365" t="str">
            <v>201524699</v>
          </cell>
          <cell r="B365" t="str">
            <v>20</v>
          </cell>
          <cell r="C365" t="str">
            <v>246</v>
          </cell>
          <cell r="D365" t="str">
            <v>15</v>
          </cell>
          <cell r="E365" t="str">
            <v>99</v>
          </cell>
          <cell r="F365" t="str">
            <v>Liabilities</v>
          </cell>
          <cell r="G365" t="str">
            <v>Other Creditors - Monthly Rental  Charges</v>
          </cell>
          <cell r="H365" t="str">
            <v>ISP Operations</v>
          </cell>
          <cell r="I365">
            <v>-9924.1299999999992</v>
          </cell>
        </row>
        <row r="366">
          <cell r="A366" t="str">
            <v>209924699</v>
          </cell>
          <cell r="B366" t="str">
            <v>20</v>
          </cell>
          <cell r="C366" t="str">
            <v>246</v>
          </cell>
          <cell r="D366" t="str">
            <v>99</v>
          </cell>
          <cell r="E366" t="str">
            <v>99</v>
          </cell>
          <cell r="F366" t="str">
            <v>Liabilities</v>
          </cell>
          <cell r="G366" t="str">
            <v>Other Creditors - Monthly Rental  Charges</v>
          </cell>
          <cell r="H366" t="str">
            <v>Other</v>
          </cell>
          <cell r="I366">
            <v>-2225812.41</v>
          </cell>
        </row>
        <row r="367">
          <cell r="A367" t="str">
            <v>201324730</v>
          </cell>
          <cell r="B367" t="str">
            <v>20</v>
          </cell>
          <cell r="C367" t="str">
            <v>247</v>
          </cell>
          <cell r="D367" t="str">
            <v>13</v>
          </cell>
          <cell r="E367" t="str">
            <v>30</v>
          </cell>
          <cell r="F367" t="str">
            <v>Liabilities</v>
          </cell>
          <cell r="G367" t="str">
            <v>Other Creditors - Local Purchase Creditors</v>
          </cell>
          <cell r="H367" t="str">
            <v>Engineering-OS Support</v>
          </cell>
          <cell r="I367">
            <v>0</v>
          </cell>
        </row>
        <row r="368">
          <cell r="A368" t="str">
            <v>201424730</v>
          </cell>
          <cell r="B368" t="str">
            <v>20</v>
          </cell>
          <cell r="C368" t="str">
            <v>247</v>
          </cell>
          <cell r="D368" t="str">
            <v>14</v>
          </cell>
          <cell r="E368" t="str">
            <v>30</v>
          </cell>
          <cell r="F368" t="str">
            <v>Liabilities</v>
          </cell>
          <cell r="G368" t="str">
            <v>Other Creditors - Local Purchase Creditors</v>
          </cell>
          <cell r="H368" t="str">
            <v>Engineering-Operations</v>
          </cell>
          <cell r="I368">
            <v>0</v>
          </cell>
        </row>
        <row r="369">
          <cell r="A369" t="str">
            <v>201524799</v>
          </cell>
          <cell r="B369" t="str">
            <v>20</v>
          </cell>
          <cell r="C369" t="str">
            <v>247</v>
          </cell>
          <cell r="D369" t="str">
            <v>15</v>
          </cell>
          <cell r="E369" t="str">
            <v>99</v>
          </cell>
          <cell r="F369" t="str">
            <v>Liabilities</v>
          </cell>
          <cell r="G369" t="str">
            <v>Other Creditors - Local Purchase Creditors</v>
          </cell>
          <cell r="H369" t="str">
            <v>ISP Operations</v>
          </cell>
          <cell r="I369">
            <v>-968318.97</v>
          </cell>
        </row>
        <row r="370">
          <cell r="A370" t="str">
            <v>209924766</v>
          </cell>
          <cell r="B370" t="str">
            <v>20</v>
          </cell>
          <cell r="C370" t="str">
            <v>247</v>
          </cell>
          <cell r="D370" t="str">
            <v>99</v>
          </cell>
          <cell r="E370" t="str">
            <v>66</v>
          </cell>
          <cell r="F370" t="str">
            <v>Liabilities</v>
          </cell>
          <cell r="G370" t="str">
            <v>Other Creditors - Local Purchase Creditors</v>
          </cell>
          <cell r="H370" t="str">
            <v>Other</v>
          </cell>
          <cell r="I370">
            <v>0</v>
          </cell>
        </row>
        <row r="371">
          <cell r="A371" t="str">
            <v>209924799</v>
          </cell>
          <cell r="B371" t="str">
            <v>20</v>
          </cell>
          <cell r="C371" t="str">
            <v>247</v>
          </cell>
          <cell r="D371" t="str">
            <v>99</v>
          </cell>
          <cell r="E371" t="str">
            <v>99</v>
          </cell>
          <cell r="F371" t="str">
            <v>Liabilities</v>
          </cell>
          <cell r="G371" t="str">
            <v>Other Creditors - Local Purchase Creditors</v>
          </cell>
          <cell r="H371" t="str">
            <v>Other</v>
          </cell>
          <cell r="I371">
            <v>-14166949.25</v>
          </cell>
        </row>
        <row r="372">
          <cell r="A372" t="str">
            <v>209924899</v>
          </cell>
          <cell r="B372" t="str">
            <v>20</v>
          </cell>
          <cell r="C372" t="str">
            <v>248</v>
          </cell>
          <cell r="D372" t="str">
            <v>99</v>
          </cell>
          <cell r="E372" t="str">
            <v>99</v>
          </cell>
          <cell r="F372" t="str">
            <v>Liabilities</v>
          </cell>
          <cell r="G372" t="str">
            <v>Other Creditors - Salaries Control</v>
          </cell>
          <cell r="H372" t="str">
            <v>Other</v>
          </cell>
          <cell r="I372">
            <v>-162610.07</v>
          </cell>
        </row>
        <row r="373">
          <cell r="A373" t="str">
            <v>206625099</v>
          </cell>
          <cell r="B373" t="str">
            <v>20</v>
          </cell>
          <cell r="C373" t="str">
            <v>250</v>
          </cell>
          <cell r="D373" t="str">
            <v>66</v>
          </cell>
          <cell r="E373" t="str">
            <v>99</v>
          </cell>
          <cell r="F373" t="str">
            <v>Liabilities</v>
          </cell>
          <cell r="G373" t="str">
            <v>Other Creditors - Provision for Bonus</v>
          </cell>
          <cell r="H373" t="str">
            <v>Customer Services</v>
          </cell>
          <cell r="I373">
            <v>0</v>
          </cell>
        </row>
        <row r="374">
          <cell r="A374" t="str">
            <v>209925099</v>
          </cell>
          <cell r="B374" t="str">
            <v>20</v>
          </cell>
          <cell r="C374" t="str">
            <v>250</v>
          </cell>
          <cell r="D374" t="str">
            <v>99</v>
          </cell>
          <cell r="E374" t="str">
            <v>99</v>
          </cell>
          <cell r="F374" t="str">
            <v>Liabilities</v>
          </cell>
          <cell r="G374" t="str">
            <v>Other Creditors - Provision for Bonus</v>
          </cell>
          <cell r="H374" t="str">
            <v>Other</v>
          </cell>
          <cell r="I374">
            <v>-7542352.0999999996</v>
          </cell>
        </row>
        <row r="375">
          <cell r="A375" t="str">
            <v>209925199</v>
          </cell>
          <cell r="B375" t="str">
            <v>20</v>
          </cell>
          <cell r="C375" t="str">
            <v>251</v>
          </cell>
          <cell r="D375" t="str">
            <v>99</v>
          </cell>
          <cell r="E375" t="str">
            <v>99</v>
          </cell>
          <cell r="F375" t="str">
            <v>Liabilities</v>
          </cell>
          <cell r="G375" t="str">
            <v>Accruals &amp; Other Creditors - Provision for Gratuity</v>
          </cell>
          <cell r="H375" t="str">
            <v>Other</v>
          </cell>
          <cell r="I375">
            <v>-2188058.5</v>
          </cell>
        </row>
        <row r="376">
          <cell r="A376" t="str">
            <v>209925299</v>
          </cell>
          <cell r="B376" t="str">
            <v>20</v>
          </cell>
          <cell r="C376" t="str">
            <v>252</v>
          </cell>
          <cell r="D376" t="str">
            <v>99</v>
          </cell>
          <cell r="E376" t="str">
            <v>99</v>
          </cell>
          <cell r="F376" t="str">
            <v>Liabilities</v>
          </cell>
          <cell r="G376" t="str">
            <v>Inter Company - DPMCO Current A/C</v>
          </cell>
          <cell r="H376" t="str">
            <v>Other</v>
          </cell>
          <cell r="I376">
            <v>-712441.33</v>
          </cell>
        </row>
        <row r="377">
          <cell r="A377" t="str">
            <v>201525399</v>
          </cell>
          <cell r="B377" t="str">
            <v>20</v>
          </cell>
          <cell r="C377" t="str">
            <v>253</v>
          </cell>
          <cell r="D377" t="str">
            <v>15</v>
          </cell>
          <cell r="E377" t="str">
            <v>99</v>
          </cell>
          <cell r="F377" t="str">
            <v>Liabilities</v>
          </cell>
          <cell r="G377" t="str">
            <v>ISP C/A with DPMCE Main Ledger</v>
          </cell>
          <cell r="H377" t="str">
            <v>ISP Operations</v>
          </cell>
          <cell r="I377">
            <v>-27216873.859999999</v>
          </cell>
        </row>
        <row r="378">
          <cell r="A378" t="str">
            <v>209925399</v>
          </cell>
          <cell r="B378" t="str">
            <v>20</v>
          </cell>
          <cell r="C378" t="str">
            <v>253</v>
          </cell>
          <cell r="D378" t="str">
            <v>99</v>
          </cell>
          <cell r="E378" t="str">
            <v>99</v>
          </cell>
          <cell r="F378" t="str">
            <v>Liabilities</v>
          </cell>
          <cell r="G378" t="str">
            <v>ISP C/A with DPMCE Main Ledger</v>
          </cell>
          <cell r="H378" t="str">
            <v>Other</v>
          </cell>
          <cell r="I378">
            <v>0</v>
          </cell>
        </row>
        <row r="379">
          <cell r="A379" t="str">
            <v>209925499</v>
          </cell>
          <cell r="B379" t="str">
            <v>20</v>
          </cell>
          <cell r="C379" t="str">
            <v>254</v>
          </cell>
          <cell r="D379" t="str">
            <v>99</v>
          </cell>
          <cell r="E379" t="str">
            <v>99</v>
          </cell>
          <cell r="F379" t="str">
            <v>Liabilities</v>
          </cell>
          <cell r="G379" t="str">
            <v>Inter Company  - DPMCF Current A/C</v>
          </cell>
          <cell r="H379" t="str">
            <v>Other</v>
          </cell>
          <cell r="I379">
            <v>-9000000</v>
          </cell>
        </row>
        <row r="380">
          <cell r="A380" t="str">
            <v>201325524</v>
          </cell>
          <cell r="B380" t="str">
            <v>20</v>
          </cell>
          <cell r="C380" t="str">
            <v>255</v>
          </cell>
          <cell r="D380" t="str">
            <v>13</v>
          </cell>
          <cell r="E380" t="str">
            <v>24</v>
          </cell>
          <cell r="F380" t="str">
            <v>Liabilities</v>
          </cell>
          <cell r="G380" t="str">
            <v>Differed Income</v>
          </cell>
          <cell r="H380" t="str">
            <v>Engineering-OS Support</v>
          </cell>
          <cell r="I380">
            <v>-170499.99</v>
          </cell>
        </row>
        <row r="381">
          <cell r="A381" t="str">
            <v>201325530</v>
          </cell>
          <cell r="B381" t="str">
            <v>20</v>
          </cell>
          <cell r="C381" t="str">
            <v>255</v>
          </cell>
          <cell r="D381" t="str">
            <v>13</v>
          </cell>
          <cell r="E381" t="str">
            <v>30</v>
          </cell>
          <cell r="F381" t="str">
            <v>Liabilities</v>
          </cell>
          <cell r="G381" t="str">
            <v>Differed Income</v>
          </cell>
          <cell r="H381" t="str">
            <v>Engineering-OS Support</v>
          </cell>
          <cell r="I381">
            <v>-583335.67000000004</v>
          </cell>
        </row>
        <row r="382">
          <cell r="A382" t="str">
            <v>201325531</v>
          </cell>
          <cell r="B382" t="str">
            <v>20</v>
          </cell>
          <cell r="C382" t="str">
            <v>255</v>
          </cell>
          <cell r="D382" t="str">
            <v>13</v>
          </cell>
          <cell r="E382" t="str">
            <v>31</v>
          </cell>
          <cell r="F382" t="str">
            <v>Liabilities</v>
          </cell>
          <cell r="G382" t="str">
            <v>Differed Income</v>
          </cell>
          <cell r="H382" t="str">
            <v>Engineering-OS Support</v>
          </cell>
          <cell r="I382">
            <v>-2080877.6</v>
          </cell>
        </row>
        <row r="383">
          <cell r="A383" t="str">
            <v>201525599</v>
          </cell>
          <cell r="B383" t="str">
            <v>20</v>
          </cell>
          <cell r="C383" t="str">
            <v>255</v>
          </cell>
          <cell r="D383" t="str">
            <v>15</v>
          </cell>
          <cell r="E383" t="str">
            <v>99</v>
          </cell>
          <cell r="F383" t="str">
            <v>Liabilities</v>
          </cell>
          <cell r="G383" t="str">
            <v>Differed Income</v>
          </cell>
          <cell r="H383" t="str">
            <v>ISP Operations</v>
          </cell>
          <cell r="I383">
            <v>0</v>
          </cell>
        </row>
        <row r="384">
          <cell r="A384" t="str">
            <v>201825524</v>
          </cell>
          <cell r="B384" t="str">
            <v>20</v>
          </cell>
          <cell r="C384" t="str">
            <v>255</v>
          </cell>
          <cell r="D384" t="str">
            <v>18</v>
          </cell>
          <cell r="E384" t="str">
            <v>24</v>
          </cell>
          <cell r="F384" t="str">
            <v>Liabilities</v>
          </cell>
          <cell r="G384" t="str">
            <v>Differed Income</v>
          </cell>
          <cell r="H384" t="str">
            <v>OUTSTATION OPERATIONS</v>
          </cell>
          <cell r="I384">
            <v>56833.37</v>
          </cell>
        </row>
        <row r="385">
          <cell r="A385" t="str">
            <v>201625699</v>
          </cell>
          <cell r="B385" t="str">
            <v>20</v>
          </cell>
          <cell r="C385" t="str">
            <v>256</v>
          </cell>
          <cell r="D385" t="str">
            <v>16</v>
          </cell>
          <cell r="E385" t="str">
            <v>99</v>
          </cell>
          <cell r="F385" t="str">
            <v>Liabilities</v>
          </cell>
          <cell r="G385" t="str">
            <v>EGO Current Account with DPMCE main ledger</v>
          </cell>
          <cell r="H385" t="str">
            <v>EGO division</v>
          </cell>
          <cell r="I385">
            <v>-5813400</v>
          </cell>
        </row>
        <row r="386">
          <cell r="A386" t="str">
            <v>201325724</v>
          </cell>
          <cell r="B386" t="str">
            <v>20</v>
          </cell>
          <cell r="C386" t="str">
            <v>257</v>
          </cell>
          <cell r="D386" t="str">
            <v>13</v>
          </cell>
          <cell r="E386" t="str">
            <v>24</v>
          </cell>
          <cell r="F386" t="str">
            <v>Liabilities</v>
          </cell>
          <cell r="G386" t="str">
            <v>Differed Income - Grant</v>
          </cell>
          <cell r="H386" t="str">
            <v>Engineering-OS Support</v>
          </cell>
          <cell r="I386">
            <v>-332580.67</v>
          </cell>
        </row>
        <row r="387">
          <cell r="A387" t="str">
            <v>201825724</v>
          </cell>
          <cell r="B387" t="str">
            <v>20</v>
          </cell>
          <cell r="C387" t="str">
            <v>257</v>
          </cell>
          <cell r="D387" t="str">
            <v>18</v>
          </cell>
          <cell r="E387" t="str">
            <v>24</v>
          </cell>
          <cell r="F387" t="str">
            <v>Liabilities</v>
          </cell>
          <cell r="G387" t="str">
            <v>Differed Income - Grant</v>
          </cell>
          <cell r="H387" t="str">
            <v>OUTSTATION OPERATIONS</v>
          </cell>
          <cell r="I387">
            <v>110860.42</v>
          </cell>
        </row>
        <row r="388">
          <cell r="A388" t="str">
            <v>209925999</v>
          </cell>
          <cell r="B388" t="str">
            <v>20</v>
          </cell>
          <cell r="C388" t="str">
            <v>259</v>
          </cell>
          <cell r="D388" t="str">
            <v>99</v>
          </cell>
          <cell r="E388" t="str">
            <v>99</v>
          </cell>
          <cell r="F388" t="str">
            <v>Liabilities</v>
          </cell>
          <cell r="G388" t="str">
            <v>Insurance Claim Payable ( For  Vehicle Rapair )</v>
          </cell>
          <cell r="H388" t="str">
            <v>Other</v>
          </cell>
          <cell r="I388">
            <v>80586.25</v>
          </cell>
        </row>
        <row r="389">
          <cell r="A389" t="str">
            <v>204926099</v>
          </cell>
          <cell r="B389" t="str">
            <v>20</v>
          </cell>
          <cell r="C389" t="str">
            <v>260</v>
          </cell>
          <cell r="D389" t="str">
            <v>49</v>
          </cell>
          <cell r="E389" t="str">
            <v>99</v>
          </cell>
          <cell r="F389" t="str">
            <v>Liabilities</v>
          </cell>
          <cell r="G389" t="str">
            <v>Other Creditors - Provision for Foreign Traveling</v>
          </cell>
          <cell r="H389" t="str">
            <v>Planning</v>
          </cell>
          <cell r="I389">
            <v>0</v>
          </cell>
        </row>
        <row r="390">
          <cell r="A390" t="str">
            <v>206726099</v>
          </cell>
          <cell r="B390" t="str">
            <v>20</v>
          </cell>
          <cell r="C390" t="str">
            <v>260</v>
          </cell>
          <cell r="D390" t="str">
            <v>67</v>
          </cell>
          <cell r="E390" t="str">
            <v>99</v>
          </cell>
          <cell r="F390" t="str">
            <v>Liabilities</v>
          </cell>
          <cell r="G390" t="str">
            <v>Other Creditors - Provision for Foreign Traveling</v>
          </cell>
          <cell r="H390" t="str">
            <v>Research &amp; Development</v>
          </cell>
          <cell r="I390">
            <v>0</v>
          </cell>
        </row>
        <row r="391">
          <cell r="A391" t="str">
            <v>209926099</v>
          </cell>
          <cell r="B391" t="str">
            <v>20</v>
          </cell>
          <cell r="C391" t="str">
            <v>260</v>
          </cell>
          <cell r="D391" t="str">
            <v>99</v>
          </cell>
          <cell r="E391" t="str">
            <v>99</v>
          </cell>
          <cell r="F391" t="str">
            <v>Liabilities</v>
          </cell>
          <cell r="G391" t="str">
            <v>Other Creditors - Provision for Foreign Traveling</v>
          </cell>
          <cell r="H391" t="str">
            <v>Other</v>
          </cell>
          <cell r="I391">
            <v>51297.4</v>
          </cell>
        </row>
        <row r="392">
          <cell r="A392" t="str">
            <v>201526199</v>
          </cell>
          <cell r="B392" t="str">
            <v>20</v>
          </cell>
          <cell r="C392" t="str">
            <v>261</v>
          </cell>
          <cell r="D392" t="str">
            <v>15</v>
          </cell>
          <cell r="E392" t="str">
            <v>99</v>
          </cell>
          <cell r="F392" t="str">
            <v>Liabilities</v>
          </cell>
          <cell r="G392" t="str">
            <v>Provision for Staff training</v>
          </cell>
          <cell r="H392" t="str">
            <v>ISP Operations</v>
          </cell>
          <cell r="I392">
            <v>0</v>
          </cell>
        </row>
        <row r="393">
          <cell r="A393" t="str">
            <v>209926199</v>
          </cell>
          <cell r="B393" t="str">
            <v>20</v>
          </cell>
          <cell r="C393" t="str">
            <v>261</v>
          </cell>
          <cell r="D393" t="str">
            <v>99</v>
          </cell>
          <cell r="E393" t="str">
            <v>99</v>
          </cell>
          <cell r="F393" t="str">
            <v>Liabilities</v>
          </cell>
          <cell r="G393" t="str">
            <v>Provision for Staff training</v>
          </cell>
          <cell r="H393" t="str">
            <v>Other</v>
          </cell>
          <cell r="I393">
            <v>133627.76999999999</v>
          </cell>
        </row>
        <row r="394">
          <cell r="A394" t="str">
            <v>209926299</v>
          </cell>
          <cell r="B394" t="str">
            <v>20</v>
          </cell>
          <cell r="C394" t="str">
            <v>262</v>
          </cell>
          <cell r="D394" t="str">
            <v>99</v>
          </cell>
          <cell r="E394" t="str">
            <v>99</v>
          </cell>
          <cell r="F394" t="str">
            <v>Liabilities</v>
          </cell>
          <cell r="G394" t="str">
            <v>Provision for legal fees</v>
          </cell>
          <cell r="H394" t="str">
            <v>Other</v>
          </cell>
          <cell r="I394">
            <v>-450000</v>
          </cell>
        </row>
        <row r="395">
          <cell r="A395" t="str">
            <v>209926399</v>
          </cell>
          <cell r="B395" t="str">
            <v>20</v>
          </cell>
          <cell r="C395" t="str">
            <v>263</v>
          </cell>
          <cell r="D395" t="str">
            <v>99</v>
          </cell>
          <cell r="E395" t="str">
            <v>99</v>
          </cell>
          <cell r="F395" t="str">
            <v>Liabilities</v>
          </cell>
          <cell r="G395" t="str">
            <v>Provision for FR Maintenance</v>
          </cell>
          <cell r="H395" t="str">
            <v>Other</v>
          </cell>
          <cell r="I395">
            <v>0</v>
          </cell>
        </row>
        <row r="396">
          <cell r="A396" t="str">
            <v>209926499</v>
          </cell>
          <cell r="B396" t="str">
            <v>20</v>
          </cell>
          <cell r="C396" t="str">
            <v>264</v>
          </cell>
          <cell r="D396" t="str">
            <v>99</v>
          </cell>
          <cell r="E396" t="str">
            <v>99</v>
          </cell>
          <cell r="F396" t="str">
            <v>Liabilities</v>
          </cell>
          <cell r="G396" t="str">
            <v>Provision for Sales promotion</v>
          </cell>
          <cell r="H396" t="str">
            <v>Other</v>
          </cell>
          <cell r="I396">
            <v>119814.91</v>
          </cell>
        </row>
        <row r="397">
          <cell r="A397" t="str">
            <v>209926599</v>
          </cell>
          <cell r="B397" t="str">
            <v>20</v>
          </cell>
          <cell r="C397" t="str">
            <v>265</v>
          </cell>
          <cell r="D397" t="str">
            <v>99</v>
          </cell>
          <cell r="E397" t="str">
            <v>99</v>
          </cell>
          <cell r="F397" t="str">
            <v>Liabilities</v>
          </cell>
          <cell r="G397" t="str">
            <v>Provision for Advertising</v>
          </cell>
          <cell r="H397" t="str">
            <v>Other</v>
          </cell>
          <cell r="I397">
            <v>-18487.13</v>
          </cell>
        </row>
        <row r="398">
          <cell r="A398" t="str">
            <v>209926699</v>
          </cell>
          <cell r="B398" t="str">
            <v>20</v>
          </cell>
          <cell r="C398" t="str">
            <v>266</v>
          </cell>
          <cell r="D398" t="str">
            <v>99</v>
          </cell>
          <cell r="E398" t="str">
            <v>99</v>
          </cell>
          <cell r="F398" t="str">
            <v>Liabilities</v>
          </cell>
          <cell r="G398" t="str">
            <v>Provision for Entertainment</v>
          </cell>
          <cell r="H398" t="str">
            <v>Other</v>
          </cell>
          <cell r="I398">
            <v>0</v>
          </cell>
        </row>
        <row r="399">
          <cell r="A399" t="str">
            <v>209927099</v>
          </cell>
          <cell r="B399" t="str">
            <v>20</v>
          </cell>
          <cell r="C399" t="str">
            <v>270</v>
          </cell>
          <cell r="D399" t="str">
            <v>99</v>
          </cell>
          <cell r="E399" t="str">
            <v>99</v>
          </cell>
          <cell r="F399" t="str">
            <v>Liabilities</v>
          </cell>
          <cell r="G399" t="str">
            <v>Other creditors-Salaries control (E-NET)</v>
          </cell>
          <cell r="H399" t="str">
            <v>Other</v>
          </cell>
          <cell r="I399">
            <v>-34687.519999999997</v>
          </cell>
        </row>
        <row r="400">
          <cell r="A400" t="str">
            <v>201528099</v>
          </cell>
          <cell r="B400" t="str">
            <v>20</v>
          </cell>
          <cell r="C400" t="str">
            <v>280</v>
          </cell>
          <cell r="D400" t="str">
            <v>15</v>
          </cell>
          <cell r="E400" t="str">
            <v>99</v>
          </cell>
          <cell r="F400" t="str">
            <v>Liabilities</v>
          </cell>
          <cell r="G400" t="str">
            <v>VAT PAYABLE @15%</v>
          </cell>
          <cell r="H400" t="str">
            <v>ISP Operations</v>
          </cell>
          <cell r="I400">
            <v>5378.35</v>
          </cell>
        </row>
        <row r="401">
          <cell r="A401" t="str">
            <v>209928099</v>
          </cell>
          <cell r="B401" t="str">
            <v>20</v>
          </cell>
          <cell r="C401" t="str">
            <v>280</v>
          </cell>
          <cell r="D401" t="str">
            <v>99</v>
          </cell>
          <cell r="E401" t="str">
            <v>99</v>
          </cell>
          <cell r="F401" t="str">
            <v>Liabilities</v>
          </cell>
          <cell r="G401" t="str">
            <v>VAT PAYABLE @15%</v>
          </cell>
          <cell r="H401" t="str">
            <v>Other</v>
          </cell>
          <cell r="I401">
            <v>615072.96</v>
          </cell>
        </row>
        <row r="402">
          <cell r="A402" t="str">
            <v>209928199</v>
          </cell>
          <cell r="B402" t="str">
            <v>20</v>
          </cell>
          <cell r="C402" t="str">
            <v>281</v>
          </cell>
          <cell r="D402" t="str">
            <v>99</v>
          </cell>
          <cell r="E402" t="str">
            <v>99</v>
          </cell>
          <cell r="F402" t="str">
            <v>Liabilities</v>
          </cell>
          <cell r="G402" t="str">
            <v>Income Tax Payable</v>
          </cell>
          <cell r="H402" t="str">
            <v>Other</v>
          </cell>
          <cell r="I402">
            <v>4926786.47</v>
          </cell>
        </row>
        <row r="403">
          <cell r="A403" t="str">
            <v>209928299</v>
          </cell>
          <cell r="B403" t="str">
            <v>20</v>
          </cell>
          <cell r="C403" t="str">
            <v>282</v>
          </cell>
          <cell r="D403" t="str">
            <v>99</v>
          </cell>
          <cell r="E403" t="str">
            <v>99</v>
          </cell>
          <cell r="F403" t="str">
            <v>Liabilities</v>
          </cell>
          <cell r="G403" t="str">
            <v>Turnover Tax Payable</v>
          </cell>
          <cell r="H403" t="str">
            <v>Other</v>
          </cell>
          <cell r="I403">
            <v>-284166.27</v>
          </cell>
        </row>
        <row r="404">
          <cell r="A404" t="str">
            <v>209928699</v>
          </cell>
          <cell r="B404" t="str">
            <v>20</v>
          </cell>
          <cell r="C404" t="str">
            <v>286</v>
          </cell>
          <cell r="D404" t="str">
            <v>99</v>
          </cell>
          <cell r="E404" t="str">
            <v>99</v>
          </cell>
          <cell r="F404" t="str">
            <v>Liabilities</v>
          </cell>
          <cell r="G404" t="str">
            <v>Withholding Tax Payable</v>
          </cell>
          <cell r="H404" t="str">
            <v>Other</v>
          </cell>
          <cell r="I404">
            <v>-53085.23</v>
          </cell>
        </row>
        <row r="405">
          <cell r="A405" t="str">
            <v>209928799</v>
          </cell>
          <cell r="B405" t="str">
            <v>20</v>
          </cell>
          <cell r="C405" t="str">
            <v>287</v>
          </cell>
          <cell r="D405" t="str">
            <v>99</v>
          </cell>
          <cell r="E405" t="str">
            <v>99</v>
          </cell>
          <cell r="F405" t="str">
            <v>Liabilities</v>
          </cell>
          <cell r="G405" t="str">
            <v>Stamp Duty Payable</v>
          </cell>
          <cell r="H405" t="str">
            <v>Other</v>
          </cell>
          <cell r="I405">
            <v>0</v>
          </cell>
        </row>
        <row r="406">
          <cell r="A406" t="str">
            <v>201529298</v>
          </cell>
          <cell r="B406" t="str">
            <v>20</v>
          </cell>
          <cell r="C406" t="str">
            <v>292</v>
          </cell>
          <cell r="D406" t="str">
            <v>15</v>
          </cell>
          <cell r="E406" t="str">
            <v>98</v>
          </cell>
          <cell r="F406" t="str">
            <v>Liabilities</v>
          </cell>
          <cell r="G406" t="str">
            <v>GST</v>
          </cell>
          <cell r="H406" t="str">
            <v>ISP Operations</v>
          </cell>
          <cell r="I406">
            <v>0</v>
          </cell>
        </row>
        <row r="407">
          <cell r="A407" t="str">
            <v>201529299</v>
          </cell>
          <cell r="B407" t="str">
            <v>20</v>
          </cell>
          <cell r="C407" t="str">
            <v>292</v>
          </cell>
          <cell r="D407" t="str">
            <v>15</v>
          </cell>
          <cell r="E407" t="str">
            <v>99</v>
          </cell>
          <cell r="F407" t="str">
            <v>Liabilities</v>
          </cell>
          <cell r="G407" t="str">
            <v>GST</v>
          </cell>
          <cell r="H407" t="str">
            <v>ISP Operations</v>
          </cell>
          <cell r="I407">
            <v>-4587.43</v>
          </cell>
        </row>
        <row r="408">
          <cell r="A408" t="str">
            <v>209929299</v>
          </cell>
          <cell r="B408" t="str">
            <v>20</v>
          </cell>
          <cell r="C408" t="str">
            <v>292</v>
          </cell>
          <cell r="D408" t="str">
            <v>99</v>
          </cell>
          <cell r="E408" t="str">
            <v>99</v>
          </cell>
          <cell r="F408" t="str">
            <v>Liabilities</v>
          </cell>
          <cell r="G408" t="str">
            <v>GST</v>
          </cell>
          <cell r="H408" t="str">
            <v>Other</v>
          </cell>
          <cell r="I408">
            <v>-422338.07</v>
          </cell>
        </row>
        <row r="409">
          <cell r="A409" t="str">
            <v>201529398</v>
          </cell>
          <cell r="B409" t="str">
            <v>20</v>
          </cell>
          <cell r="C409" t="str">
            <v>293</v>
          </cell>
          <cell r="D409" t="str">
            <v>15</v>
          </cell>
          <cell r="E409" t="str">
            <v>98</v>
          </cell>
          <cell r="F409" t="str">
            <v>Liabilities</v>
          </cell>
          <cell r="G409" t="str">
            <v>National Security Levy - Payable</v>
          </cell>
          <cell r="H409" t="str">
            <v>ISP Operations</v>
          </cell>
          <cell r="I409">
            <v>0</v>
          </cell>
        </row>
        <row r="410">
          <cell r="A410" t="str">
            <v>201529399</v>
          </cell>
          <cell r="B410" t="str">
            <v>20</v>
          </cell>
          <cell r="C410" t="str">
            <v>293</v>
          </cell>
          <cell r="D410" t="str">
            <v>15</v>
          </cell>
          <cell r="E410" t="str">
            <v>99</v>
          </cell>
          <cell r="F410" t="str">
            <v>Liabilities</v>
          </cell>
          <cell r="G410" t="str">
            <v>National Security Levy - Payable</v>
          </cell>
          <cell r="H410" t="str">
            <v>ISP Operations</v>
          </cell>
          <cell r="I410">
            <v>-56202.76</v>
          </cell>
        </row>
        <row r="411">
          <cell r="A411" t="str">
            <v>209929399</v>
          </cell>
          <cell r="B411" t="str">
            <v>20</v>
          </cell>
          <cell r="C411" t="str">
            <v>293</v>
          </cell>
          <cell r="D411" t="str">
            <v>99</v>
          </cell>
          <cell r="E411" t="str">
            <v>99</v>
          </cell>
          <cell r="F411" t="str">
            <v>Liabilities</v>
          </cell>
          <cell r="G411" t="str">
            <v>National Security Levy - Payable</v>
          </cell>
          <cell r="H411" t="str">
            <v>Other</v>
          </cell>
          <cell r="I411">
            <v>61111.4</v>
          </cell>
        </row>
        <row r="412">
          <cell r="A412" t="str">
            <v>201529499</v>
          </cell>
          <cell r="B412" t="str">
            <v>20</v>
          </cell>
          <cell r="C412" t="str">
            <v>294</v>
          </cell>
          <cell r="D412" t="str">
            <v>15</v>
          </cell>
          <cell r="E412" t="str">
            <v>99</v>
          </cell>
          <cell r="F412" t="str">
            <v>Liabilities</v>
          </cell>
          <cell r="G412" t="str">
            <v>National Security Levy (1% Difference )</v>
          </cell>
          <cell r="H412" t="str">
            <v>ISP Operations</v>
          </cell>
          <cell r="I412">
            <v>116.99</v>
          </cell>
        </row>
        <row r="413">
          <cell r="A413" t="str">
            <v>209929499</v>
          </cell>
          <cell r="B413" t="str">
            <v>20</v>
          </cell>
          <cell r="C413" t="str">
            <v>294</v>
          </cell>
          <cell r="D413" t="str">
            <v>99</v>
          </cell>
          <cell r="E413" t="str">
            <v>99</v>
          </cell>
          <cell r="F413" t="str">
            <v>Liabilities</v>
          </cell>
          <cell r="G413" t="str">
            <v>National Security Levy (1% Difference )</v>
          </cell>
          <cell r="H413" t="str">
            <v>Other</v>
          </cell>
          <cell r="I413">
            <v>-3394.48</v>
          </cell>
        </row>
        <row r="414">
          <cell r="A414" t="str">
            <v>209929599</v>
          </cell>
          <cell r="B414" t="str">
            <v>20</v>
          </cell>
          <cell r="C414" t="str">
            <v>295</v>
          </cell>
          <cell r="D414" t="str">
            <v>99</v>
          </cell>
          <cell r="E414" t="str">
            <v>99</v>
          </cell>
          <cell r="F414" t="str">
            <v>Liabilities</v>
          </cell>
          <cell r="G414" t="str">
            <v>GST-Timing Difference on Imports</v>
          </cell>
          <cell r="H414" t="str">
            <v>Other</v>
          </cell>
          <cell r="I414">
            <v>0</v>
          </cell>
        </row>
        <row r="415">
          <cell r="A415" t="str">
            <v>201529699</v>
          </cell>
          <cell r="B415" t="str">
            <v>20</v>
          </cell>
          <cell r="C415" t="str">
            <v>296</v>
          </cell>
          <cell r="D415" t="str">
            <v>15</v>
          </cell>
          <cell r="E415" t="str">
            <v>99</v>
          </cell>
          <cell r="F415" t="str">
            <v>Liabilities</v>
          </cell>
          <cell r="G415" t="str">
            <v>VAT PAYABLE @20%</v>
          </cell>
          <cell r="H415" t="str">
            <v>ISP Operations</v>
          </cell>
          <cell r="I415">
            <v>31661.34</v>
          </cell>
        </row>
        <row r="416">
          <cell r="A416" t="str">
            <v>201629699</v>
          </cell>
          <cell r="B416" t="str">
            <v>20</v>
          </cell>
          <cell r="C416" t="str">
            <v>296</v>
          </cell>
          <cell r="D416" t="str">
            <v>16</v>
          </cell>
          <cell r="E416" t="str">
            <v>99</v>
          </cell>
          <cell r="F416" t="str">
            <v>Liabilities</v>
          </cell>
          <cell r="G416" t="str">
            <v>VAT PAYABLE @20%</v>
          </cell>
          <cell r="H416" t="str">
            <v>EGO division</v>
          </cell>
          <cell r="I416">
            <v>968900</v>
          </cell>
        </row>
        <row r="417">
          <cell r="A417" t="str">
            <v>209929699</v>
          </cell>
          <cell r="B417" t="str">
            <v>20</v>
          </cell>
          <cell r="C417" t="str">
            <v>296</v>
          </cell>
          <cell r="D417" t="str">
            <v>99</v>
          </cell>
          <cell r="E417" t="str">
            <v>99</v>
          </cell>
          <cell r="F417" t="str">
            <v>Liabilities</v>
          </cell>
          <cell r="G417" t="str">
            <v>VAT PAYABLE @20%</v>
          </cell>
          <cell r="H417" t="str">
            <v>Other</v>
          </cell>
          <cell r="I417">
            <v>253868.13</v>
          </cell>
        </row>
        <row r="418">
          <cell r="A418" t="str">
            <v>209929799</v>
          </cell>
          <cell r="B418" t="str">
            <v>20</v>
          </cell>
          <cell r="C418" t="str">
            <v>297</v>
          </cell>
          <cell r="D418" t="str">
            <v>99</v>
          </cell>
          <cell r="E418" t="str">
            <v>99</v>
          </cell>
          <cell r="F418" t="str">
            <v>Liabilities</v>
          </cell>
          <cell r="G418" t="str">
            <v>VAT PAYABLE @10%</v>
          </cell>
          <cell r="H418" t="str">
            <v>Other</v>
          </cell>
          <cell r="I418">
            <v>-4198.1000000000004</v>
          </cell>
        </row>
        <row r="419">
          <cell r="A419" t="str">
            <v>201332031</v>
          </cell>
          <cell r="B419" t="str">
            <v>20</v>
          </cell>
          <cell r="C419" t="str">
            <v>320</v>
          </cell>
          <cell r="D419" t="str">
            <v>13</v>
          </cell>
          <cell r="E419" t="str">
            <v>31</v>
          </cell>
          <cell r="F419" t="str">
            <v>Liabilities</v>
          </cell>
          <cell r="G419" t="str">
            <v>Credit Sales</v>
          </cell>
          <cell r="H419" t="str">
            <v>Engineering-OS Support</v>
          </cell>
          <cell r="I419">
            <v>0</v>
          </cell>
        </row>
        <row r="420">
          <cell r="A420" t="str">
            <v>204050599</v>
          </cell>
          <cell r="B420" t="str">
            <v>20</v>
          </cell>
          <cell r="C420" t="str">
            <v>505</v>
          </cell>
          <cell r="D420" t="str">
            <v>40</v>
          </cell>
          <cell r="E420" t="str">
            <v>99</v>
          </cell>
          <cell r="F420" t="str">
            <v>Liabilities</v>
          </cell>
          <cell r="G420" t="str">
            <v>Staff Benefits &amp; Welfare</v>
          </cell>
          <cell r="H420" t="str">
            <v>Marketing - Accessories</v>
          </cell>
          <cell r="I420">
            <v>0</v>
          </cell>
        </row>
        <row r="421">
          <cell r="A421" t="str">
            <v>201152710</v>
          </cell>
          <cell r="B421" t="str">
            <v>20</v>
          </cell>
          <cell r="C421" t="str">
            <v>527</v>
          </cell>
          <cell r="D421" t="str">
            <v>11</v>
          </cell>
          <cell r="E421" t="str">
            <v>10</v>
          </cell>
          <cell r="F421" t="str">
            <v>Liabilities</v>
          </cell>
          <cell r="G421" t="str">
            <v>Refreshments</v>
          </cell>
          <cell r="H421" t="str">
            <v>Software Development</v>
          </cell>
          <cell r="I421">
            <v>0</v>
          </cell>
        </row>
        <row r="422">
          <cell r="A422" t="str">
            <v>209954799</v>
          </cell>
          <cell r="B422" t="str">
            <v>20</v>
          </cell>
          <cell r="C422" t="str">
            <v>547</v>
          </cell>
          <cell r="D422" t="str">
            <v>99</v>
          </cell>
          <cell r="E422" t="str">
            <v>99</v>
          </cell>
          <cell r="F422" t="str">
            <v>Liabilities</v>
          </cell>
          <cell r="G422" t="str">
            <v>Overdraft Interest</v>
          </cell>
          <cell r="H422" t="str">
            <v>Other</v>
          </cell>
          <cell r="I422">
            <v>0</v>
          </cell>
        </row>
        <row r="423">
          <cell r="A423" t="str">
            <v>209954899</v>
          </cell>
          <cell r="B423" t="str">
            <v>20</v>
          </cell>
          <cell r="C423" t="str">
            <v>548</v>
          </cell>
          <cell r="D423" t="str">
            <v>99</v>
          </cell>
          <cell r="E423" t="str">
            <v>99</v>
          </cell>
          <cell r="F423" t="str">
            <v>Liabilities</v>
          </cell>
          <cell r="G423" t="str">
            <v>Bank Charges</v>
          </cell>
          <cell r="H423" t="str">
            <v>Other</v>
          </cell>
          <cell r="I423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nsaction"/>
      <sheetName val="Sheet2"/>
      <sheetName val="Sheet1"/>
      <sheetName val="Bank _Inst_Master"/>
      <sheetName val="Client Master"/>
      <sheetName val="Bank__Inst_Master22"/>
      <sheetName val="Client_Master22"/>
      <sheetName val="Bank__Inst_Master20"/>
      <sheetName val="Client_Master20"/>
      <sheetName val="Bank__Inst_Master8"/>
      <sheetName val="Client_Master8"/>
      <sheetName val="TB"/>
      <sheetName val="Bank__Inst_Master"/>
      <sheetName val="Client_Master"/>
      <sheetName val="Bank__Inst_Master1"/>
      <sheetName val="Client_Master1"/>
      <sheetName val="Bank__Inst_Master2"/>
      <sheetName val="Client_Master2"/>
      <sheetName val="Bank__Inst_Master3"/>
      <sheetName val="Client_Master3"/>
      <sheetName val="Bank__Inst_Master4"/>
      <sheetName val="Client_Master4"/>
      <sheetName val="Bank__Inst_Master5"/>
      <sheetName val="Client_Master5"/>
      <sheetName val="Bank__Inst_Master6"/>
      <sheetName val="Client_Master6"/>
      <sheetName val="Bank__Inst_Master7"/>
      <sheetName val="Client_Master7"/>
      <sheetName val="Bank__Inst_Master9"/>
      <sheetName val="Client_Master9"/>
      <sheetName val="Bank__Inst_Master10"/>
      <sheetName val="Client_Master10"/>
      <sheetName val="Bank__Inst_Master11"/>
      <sheetName val="Client_Master11"/>
      <sheetName val="Bank__Inst_Master12"/>
      <sheetName val="Client_Master12"/>
      <sheetName val="Bank__Inst_Master13"/>
      <sheetName val="Client_Master13"/>
      <sheetName val="Bank__Inst_Master14"/>
      <sheetName val="Client_Master14"/>
      <sheetName val="Bank__Inst_Master15"/>
      <sheetName val="Client_Master15"/>
      <sheetName val="Bank__Inst_Master16"/>
      <sheetName val="Client_Master16"/>
      <sheetName val="Bank__Inst_Master17"/>
      <sheetName val="Client_Master17"/>
      <sheetName val="Bank__Inst_Master18"/>
      <sheetName val="Client_Master18"/>
      <sheetName val="Bank__Inst_Master19"/>
      <sheetName val="Client_Master19"/>
      <sheetName val="Bank__Inst_Master21"/>
      <sheetName val="Client_Master21"/>
      <sheetName val="Bank__Inst_Master23"/>
      <sheetName val="Client_Master23"/>
    </sheetNames>
    <sheetDataSet>
      <sheetData sheetId="0" refreshError="1"/>
      <sheetData sheetId="1" refreshError="1"/>
      <sheetData sheetId="2" refreshError="1"/>
      <sheetData sheetId="3">
        <row r="2">
          <cell r="A2" t="str">
            <v>ALCL-COM</v>
          </cell>
        </row>
        <row r="3">
          <cell r="A3" t="str">
            <v>ALCL-HNB</v>
          </cell>
        </row>
        <row r="4">
          <cell r="A4" t="str">
            <v>CAL-SEY</v>
          </cell>
        </row>
        <row r="5">
          <cell r="A5" t="str">
            <v>CFSL-BOC</v>
          </cell>
        </row>
        <row r="6">
          <cell r="A6" t="str">
            <v>CLCL-SEY</v>
          </cell>
        </row>
        <row r="7">
          <cell r="A7" t="str">
            <v>DPCM-COM</v>
          </cell>
        </row>
        <row r="8">
          <cell r="A8" t="str">
            <v>DPCM-HNB</v>
          </cell>
        </row>
        <row r="9">
          <cell r="A9" t="str">
            <v>DPCM-HNB SEC</v>
          </cell>
        </row>
        <row r="10">
          <cell r="A10" t="str">
            <v>DPCM-HNB-DX</v>
          </cell>
        </row>
        <row r="11">
          <cell r="A11" t="str">
            <v>DPGS-COM</v>
          </cell>
        </row>
        <row r="12">
          <cell r="A12" t="str">
            <v>DPGS-HNB</v>
          </cell>
        </row>
        <row r="13">
          <cell r="A13" t="str">
            <v>DPGS-NDB</v>
          </cell>
        </row>
        <row r="14">
          <cell r="A14" t="str">
            <v>DPGS-SAMP</v>
          </cell>
        </row>
        <row r="15">
          <cell r="A15" t="str">
            <v>DPIT-NTB</v>
          </cell>
        </row>
        <row r="16">
          <cell r="A16" t="str">
            <v>DPMCFS-COM</v>
          </cell>
        </row>
        <row r="17">
          <cell r="A17" t="str">
            <v>DPMCFS-HNB</v>
          </cell>
        </row>
        <row r="18">
          <cell r="A18" t="str">
            <v>DPMCFS-HNB-DX</v>
          </cell>
        </row>
        <row r="19">
          <cell r="A19" t="str">
            <v>DPMCFS-NDB</v>
          </cell>
        </row>
        <row r="20">
          <cell r="A20" t="str">
            <v>DPMCFS-NDB-DX</v>
          </cell>
        </row>
        <row r="21">
          <cell r="A21" t="str">
            <v>DPMC-SAMP</v>
          </cell>
        </row>
        <row r="22">
          <cell r="A22" t="str">
            <v>FORBES-DFCC</v>
          </cell>
        </row>
        <row r="23">
          <cell r="A23" t="str">
            <v>FORBES-SAMP</v>
          </cell>
        </row>
        <row r="24">
          <cell r="A24" t="str">
            <v>MLL-PB</v>
          </cell>
        </row>
        <row r="25">
          <cell r="A25" t="str">
            <v>ORIENT-COM</v>
          </cell>
        </row>
        <row r="26">
          <cell r="A26" t="str">
            <v>ORIENT-HNB</v>
          </cell>
        </row>
        <row r="27">
          <cell r="A27" t="str">
            <v>PLC-PB</v>
          </cell>
        </row>
        <row r="50">
          <cell r="A50" t="str">
            <v>Ref No</v>
          </cell>
        </row>
        <row r="51">
          <cell r="B51" t="str">
            <v>CP_Repo</v>
          </cell>
        </row>
        <row r="52">
          <cell r="B52" t="str">
            <v>Loans</v>
          </cell>
        </row>
        <row r="53">
          <cell r="B53" t="str">
            <v>Pro_Notes</v>
          </cell>
        </row>
        <row r="54">
          <cell r="B54" t="str">
            <v>Pro_Notes_Lend</v>
          </cell>
        </row>
        <row r="55">
          <cell r="B55" t="str">
            <v>Purchase</v>
          </cell>
        </row>
        <row r="56">
          <cell r="B56" t="str">
            <v>R/Repo</v>
          </cell>
        </row>
        <row r="57">
          <cell r="B57" t="str">
            <v>Repo</v>
          </cell>
        </row>
        <row r="58">
          <cell r="B58" t="str">
            <v>Sale</v>
          </cell>
        </row>
        <row r="59">
          <cell r="B59" t="str">
            <v>Trust_Crt</v>
          </cell>
        </row>
        <row r="60">
          <cell r="B60" t="str">
            <v>CP_Borrow</v>
          </cell>
        </row>
        <row r="61">
          <cell r="B61" t="str">
            <v>CP_R/Repo</v>
          </cell>
        </row>
        <row r="62">
          <cell r="B62" t="str">
            <v xml:space="preserve">TB_Repo </v>
          </cell>
        </row>
      </sheetData>
      <sheetData sheetId="4"/>
      <sheetData sheetId="5">
        <row r="2">
          <cell r="A2" t="str">
            <v>ALCL-COM</v>
          </cell>
        </row>
      </sheetData>
      <sheetData sheetId="6"/>
      <sheetData sheetId="7">
        <row r="2">
          <cell r="A2" t="str">
            <v>ALCL-COM</v>
          </cell>
        </row>
      </sheetData>
      <sheetData sheetId="8"/>
      <sheetData sheetId="9">
        <row r="2">
          <cell r="A2" t="str">
            <v>ALCL-COM</v>
          </cell>
        </row>
      </sheetData>
      <sheetData sheetId="10"/>
      <sheetData sheetId="11"/>
      <sheetData sheetId="12">
        <row r="2">
          <cell r="A2" t="str">
            <v>ALCL-COM</v>
          </cell>
        </row>
      </sheetData>
      <sheetData sheetId="13"/>
      <sheetData sheetId="14">
        <row r="2">
          <cell r="A2" t="str">
            <v>ALCL-COM</v>
          </cell>
        </row>
      </sheetData>
      <sheetData sheetId="15"/>
      <sheetData sheetId="16">
        <row r="2">
          <cell r="A2" t="str">
            <v>ALCL-COM</v>
          </cell>
        </row>
      </sheetData>
      <sheetData sheetId="17"/>
      <sheetData sheetId="18">
        <row r="2">
          <cell r="A2" t="str">
            <v>ALCL-COM</v>
          </cell>
        </row>
      </sheetData>
      <sheetData sheetId="19"/>
      <sheetData sheetId="20">
        <row r="2">
          <cell r="A2" t="str">
            <v>ALCL-COM</v>
          </cell>
        </row>
      </sheetData>
      <sheetData sheetId="21"/>
      <sheetData sheetId="22">
        <row r="2">
          <cell r="A2" t="str">
            <v>ALCL-COM</v>
          </cell>
        </row>
      </sheetData>
      <sheetData sheetId="23"/>
      <sheetData sheetId="24">
        <row r="2">
          <cell r="A2" t="str">
            <v>ALCL-COM</v>
          </cell>
        </row>
      </sheetData>
      <sheetData sheetId="25"/>
      <sheetData sheetId="26">
        <row r="2">
          <cell r="A2" t="str">
            <v>ALCL-COM</v>
          </cell>
        </row>
      </sheetData>
      <sheetData sheetId="27"/>
      <sheetData sheetId="28">
        <row r="2">
          <cell r="A2" t="str">
            <v>ALCL-COM</v>
          </cell>
        </row>
      </sheetData>
      <sheetData sheetId="29"/>
      <sheetData sheetId="30">
        <row r="2">
          <cell r="A2" t="str">
            <v>ALCL-COM</v>
          </cell>
        </row>
      </sheetData>
      <sheetData sheetId="31"/>
      <sheetData sheetId="32">
        <row r="2">
          <cell r="A2" t="str">
            <v>ALCL-COM</v>
          </cell>
        </row>
      </sheetData>
      <sheetData sheetId="33"/>
      <sheetData sheetId="34">
        <row r="2">
          <cell r="A2" t="str">
            <v>ALCL-COM</v>
          </cell>
        </row>
      </sheetData>
      <sheetData sheetId="35"/>
      <sheetData sheetId="36">
        <row r="2">
          <cell r="A2" t="str">
            <v>ALCL-COM</v>
          </cell>
        </row>
      </sheetData>
      <sheetData sheetId="37"/>
      <sheetData sheetId="38">
        <row r="2">
          <cell r="A2" t="str">
            <v>ALCL-COM</v>
          </cell>
        </row>
      </sheetData>
      <sheetData sheetId="39"/>
      <sheetData sheetId="40">
        <row r="2">
          <cell r="A2" t="str">
            <v>ALCL-COM</v>
          </cell>
        </row>
      </sheetData>
      <sheetData sheetId="41"/>
      <sheetData sheetId="42">
        <row r="2">
          <cell r="A2" t="str">
            <v>ALCL-COM</v>
          </cell>
        </row>
      </sheetData>
      <sheetData sheetId="43"/>
      <sheetData sheetId="44">
        <row r="2">
          <cell r="A2" t="str">
            <v>ALCL-COM</v>
          </cell>
        </row>
      </sheetData>
      <sheetData sheetId="45"/>
      <sheetData sheetId="46">
        <row r="2">
          <cell r="A2" t="str">
            <v>ALCL-COM</v>
          </cell>
        </row>
      </sheetData>
      <sheetData sheetId="47"/>
      <sheetData sheetId="48">
        <row r="2">
          <cell r="A2" t="str">
            <v>ALCL-COM</v>
          </cell>
        </row>
      </sheetData>
      <sheetData sheetId="49"/>
      <sheetData sheetId="50">
        <row r="2">
          <cell r="A2" t="str">
            <v>ALCL-COM</v>
          </cell>
        </row>
      </sheetData>
      <sheetData sheetId="51"/>
      <sheetData sheetId="52">
        <row r="2">
          <cell r="A2" t="str">
            <v>ALCL-COM</v>
          </cell>
        </row>
      </sheetData>
      <sheetData sheetId="53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Description"/>
      <sheetName val="Overview"/>
      <sheetName val="Guidelines"/>
      <sheetName val="DashBoard"/>
      <sheetName val="Input - Data"/>
      <sheetName val="Input - Rating"/>
      <sheetName val="Rating Scale"/>
      <sheetName val="Staging"/>
      <sheetName val="ECL"/>
      <sheetName val="Macro Data"/>
      <sheetName val="Details"/>
      <sheetName val="Disclosures"/>
      <sheetName val="Working"/>
      <sheetName val="Sheet2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3">
          <cell r="E3" t="str">
            <v>BASE</v>
          </cell>
          <cell r="F3" t="str">
            <v>BEST</v>
          </cell>
          <cell r="G3" t="str">
            <v>WORST</v>
          </cell>
        </row>
        <row r="4">
          <cell r="E4">
            <v>876620.64749524579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ser Guide  "/>
      <sheetName val="Summery"/>
      <sheetName val="DPMC"/>
      <sheetName val="DPMCL"/>
      <sheetName val="DPA"/>
      <sheetName val="Total"/>
      <sheetName val="IS RENEWALS"/>
      <sheetName val="HRM"/>
      <sheetName val="PAYMENTS DPMC - DPA"/>
      <sheetName val="Motor Fleet "/>
      <sheetName val="CC PLATE"/>
      <sheetName val="QUALITY FUNCTIONS"/>
      <sheetName val="PAYMENTS DPMCL"/>
      <sheetName val="SEMI LUXURY VEHICLES TAXES"/>
      <sheetName val="ADVANCES AND PREPAYMENTS"/>
      <sheetName val="WORKING DPMC"/>
      <sheetName val="WORKING DPMCL"/>
      <sheetName val="WORKING DPA"/>
      <sheetName val="CODING VS"/>
      <sheetName val="CODING PA"/>
      <sheetName val="CODING WS"/>
      <sheetName val="CODING VA"/>
      <sheetName val="Ld_Lcy"/>
      <sheetName val="NOTES - EXPENSES "/>
    </sheetNames>
    <sheetDataSet>
      <sheetData sheetId="0"/>
      <sheetData sheetId="1">
        <row r="121">
          <cell r="P121">
            <v>39230376.581261091</v>
          </cell>
          <cell r="AD121">
            <v>3043701.1337162587</v>
          </cell>
          <cell r="AR121">
            <v>1918686.6865956825</v>
          </cell>
        </row>
        <row r="128">
          <cell r="A128" t="str">
            <v>DPMC</v>
          </cell>
        </row>
        <row r="129">
          <cell r="A129" t="str">
            <v>DPMCL</v>
          </cell>
        </row>
        <row r="130">
          <cell r="A130" t="str">
            <v>DPA</v>
          </cell>
        </row>
        <row r="131">
          <cell r="A131" t="str">
            <v>Total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 BS"/>
      <sheetName val="Consol IS"/>
      <sheetName val="Consol CF"/>
      <sheetName val="SCE-G"/>
      <sheetName val="Co. BS"/>
      <sheetName val="Co. IS"/>
      <sheetName val="Co. CF"/>
      <sheetName val="SCE-C"/>
      <sheetName val="Seg Qtr"/>
      <sheetName val="Seg Cum"/>
      <sheetName val="Notes "/>
      <sheetName val="PP&amp;E 2007"/>
      <sheetName val="Lease"/>
      <sheetName val="Ld_Lcy"/>
      <sheetName val="Consol_BS"/>
      <sheetName val="Consol_IS"/>
      <sheetName val="Consol_CF"/>
      <sheetName val="Co__BS"/>
      <sheetName val="Co__IS"/>
      <sheetName val="Co__CF"/>
      <sheetName val="Seg_Qtr"/>
      <sheetName val="Seg_Cum"/>
      <sheetName val="Notes_"/>
      <sheetName val="PP&amp;E_2007"/>
      <sheetName val="Consol_BS1"/>
      <sheetName val="Consol_IS1"/>
      <sheetName val="Consol_CF1"/>
      <sheetName val="Co__BS1"/>
      <sheetName val="Co__IS1"/>
      <sheetName val="Co__CF1"/>
      <sheetName val="Seg_Qtr1"/>
      <sheetName val="Seg_Cum1"/>
      <sheetName val="Notes_1"/>
      <sheetName val="PP&amp;E_20071"/>
      <sheetName val="Consol_BS2"/>
      <sheetName val="Consol_IS2"/>
      <sheetName val="Consol_CF2"/>
      <sheetName val="Co__BS2"/>
      <sheetName val="Co__IS2"/>
      <sheetName val="Co__CF2"/>
      <sheetName val="Seg_Qtr2"/>
      <sheetName val="Seg_Cum2"/>
      <sheetName val="Notes_2"/>
      <sheetName val="PP&amp;E_20072"/>
      <sheetName val="Consol_BS3"/>
      <sheetName val="Consol_IS3"/>
      <sheetName val="Consol_CF3"/>
      <sheetName val="Co__BS3"/>
      <sheetName val="Co__IS3"/>
      <sheetName val="Co__CF3"/>
      <sheetName val="Seg_Qtr3"/>
      <sheetName val="Seg_Cum3"/>
      <sheetName val="Notes_3"/>
      <sheetName val="PP&amp;E_20073"/>
      <sheetName val="DownLoad"/>
      <sheetName val="P_L for 3 M"/>
      <sheetName val="Bank _Inst_Master"/>
      <sheetName val="BS - Openning - Int"/>
      <sheetName val="Admin BD"/>
      <sheetName val="Sta III-IV"/>
      <sheetName val="FVAT"/>
      <sheetName val="P_L_for_3_M"/>
      <sheetName val="Sta_III-IV"/>
      <sheetName val="BALSHEET"/>
      <sheetName val="Consol_BS6"/>
      <sheetName val="Consol_IS6"/>
      <sheetName val="Consol_CF6"/>
      <sheetName val="Co__BS6"/>
      <sheetName val="Co__IS6"/>
      <sheetName val="Co__CF6"/>
      <sheetName val="Seg_Qtr6"/>
      <sheetName val="Seg_Cum6"/>
      <sheetName val="Notes_6"/>
      <sheetName val="PP&amp;E_20076"/>
      <sheetName val="P_L_for_3_M6"/>
      <sheetName val="Sta_III-IV6"/>
      <sheetName val="Bank__Inst_Master3"/>
      <sheetName val="Consol_BS5"/>
      <sheetName val="Consol_IS5"/>
      <sheetName val="Consol_CF5"/>
      <sheetName val="Co__BS5"/>
      <sheetName val="Co__IS5"/>
      <sheetName val="Co__CF5"/>
      <sheetName val="Seg_Qtr5"/>
      <sheetName val="Seg_Cum5"/>
      <sheetName val="Notes_5"/>
      <sheetName val="PP&amp;E_20075"/>
      <sheetName val="P_L_for_3_M5"/>
      <sheetName val="Sta_III-IV5"/>
      <sheetName val="Bank__Inst_Master2"/>
      <sheetName val="P_L_for_3_M2"/>
      <sheetName val="Sta_III-IV2"/>
      <sheetName val="Bank__Inst_Master1"/>
      <sheetName val="P_L_for_3_M1"/>
      <sheetName val="Sta_III-IV1"/>
      <sheetName val="Bank__Inst_Master"/>
      <sheetName val="P_L_for_3_M3"/>
      <sheetName val="Sta_III-IV3"/>
      <sheetName val="Consol_BS4"/>
      <sheetName val="Consol_IS4"/>
      <sheetName val="Consol_CF4"/>
      <sheetName val="Co__BS4"/>
      <sheetName val="Co__IS4"/>
      <sheetName val="Co__CF4"/>
      <sheetName val="Seg_Qtr4"/>
      <sheetName val="Seg_Cum4"/>
      <sheetName val="Notes_4"/>
      <sheetName val="PP&amp;E_20074"/>
      <sheetName val="P_L_for_3_M4"/>
      <sheetName val="Sta_III-IV4"/>
      <sheetName val="Consol_BS7"/>
      <sheetName val="Consol_IS7"/>
      <sheetName val="Consol_CF7"/>
      <sheetName val="Co__BS7"/>
      <sheetName val="Co__IS7"/>
      <sheetName val="Co__CF7"/>
      <sheetName val="Seg_Qtr7"/>
      <sheetName val="Seg_Cum7"/>
      <sheetName val="Notes_7"/>
      <sheetName val="PP&amp;E_20077"/>
      <sheetName val="P_L_for_3_M7"/>
      <sheetName val="Sta_III-IV7"/>
      <sheetName val="Bank__Inst_Master4"/>
      <sheetName val="SOFP"/>
      <sheetName val="Consol_BS8"/>
      <sheetName val="Consol_IS8"/>
      <sheetName val="Consol_CF8"/>
      <sheetName val="Co__BS8"/>
      <sheetName val="Co__IS8"/>
      <sheetName val="Co__CF8"/>
      <sheetName val="Seg_Qtr8"/>
      <sheetName val="Seg_Cum8"/>
      <sheetName val="Notes_8"/>
      <sheetName val="PP&amp;E_20078"/>
      <sheetName val="P_L_for_3_M8"/>
      <sheetName val="Sta_III-IV8"/>
      <sheetName val="Bank__Inst_Master5"/>
      <sheetName val="BS_-_Openning_-_Int"/>
      <sheetName val="Admin_BD"/>
      <sheetName val="BS_-_Openning_-_Int1"/>
      <sheetName val="Admin_BD1"/>
      <sheetName val="Loan Amortization Schedule"/>
      <sheetName val="BS"/>
      <sheetName val="1draft "/>
      <sheetName val="P&amp;L"/>
      <sheetName val="CE"/>
      <sheetName val="CF"/>
      <sheetName val="P&amp;L Notes"/>
      <sheetName val="PPE"/>
      <sheetName val="BS Notes"/>
      <sheetName val="TB-2018-19"/>
      <sheetName val="JE - FY19"/>
      <sheetName val="Del 3"/>
      <sheetName val="BS Co"/>
      <sheetName val="Cash Flow"/>
      <sheetName val="Consol_BS9"/>
      <sheetName val="Consol_IS9"/>
      <sheetName val="Consol_CF9"/>
      <sheetName val="Co__BS9"/>
      <sheetName val="Co__IS9"/>
      <sheetName val="Co__CF9"/>
      <sheetName val="Seg_Qtr9"/>
      <sheetName val="Seg_Cum9"/>
      <sheetName val="Notes_9"/>
      <sheetName val="PP&amp;E_20079"/>
      <sheetName val="P_L_for_3_M9"/>
      <sheetName val="Bank__Inst_Master6"/>
      <sheetName val="BS_-_Openning_-_Int2"/>
      <sheetName val="Admin_BD2"/>
      <sheetName val="Sta_III-IV9"/>
      <sheetName val="Loan_Amortization_Schedule"/>
      <sheetName val="1draft_"/>
      <sheetName val="P&amp;L_Notes"/>
      <sheetName val="BS_Notes"/>
      <sheetName val="JE_-_FY19"/>
      <sheetName val="Del_3"/>
      <sheetName val="Consol_BS10"/>
      <sheetName val="Consol_IS10"/>
      <sheetName val="Consol_CF10"/>
      <sheetName val="Co__BS10"/>
      <sheetName val="Co__IS10"/>
      <sheetName val="Co__CF10"/>
      <sheetName val="Seg_Qtr10"/>
      <sheetName val="Seg_Cum10"/>
      <sheetName val="Notes_10"/>
      <sheetName val="PP&amp;E_200710"/>
      <sheetName val="P_L_for_3_M10"/>
      <sheetName val="Bank__Inst_Master7"/>
      <sheetName val="BS_-_Openning_-_Int3"/>
      <sheetName val="Admin_BD3"/>
      <sheetName val="Sta_III-IV10"/>
      <sheetName val="Loan_Amortization_Schedule1"/>
      <sheetName val="1draft_1"/>
      <sheetName val="P&amp;L_Notes1"/>
      <sheetName val="BS_Notes1"/>
      <sheetName val="JE_-_FY191"/>
      <sheetName val="Del_31"/>
      <sheetName val="Consol_BS11"/>
      <sheetName val="Consol_IS11"/>
      <sheetName val="Consol_CF11"/>
      <sheetName val="Co__BS11"/>
      <sheetName val="Co__IS11"/>
      <sheetName val="Co__CF11"/>
      <sheetName val="Seg_Qtr11"/>
      <sheetName val="Seg_Cum11"/>
      <sheetName val="Notes_11"/>
      <sheetName val="PP&amp;E_200711"/>
      <sheetName val="P_L_for_3_M11"/>
      <sheetName val="Bank__Inst_Master8"/>
      <sheetName val="BS_-_Openning_-_Int4"/>
      <sheetName val="Admin_BD4"/>
      <sheetName val="Sta_III-IV11"/>
      <sheetName val="Loan_Amortization_Schedule2"/>
      <sheetName val="1draft_2"/>
      <sheetName val="P&amp;L_Notes2"/>
      <sheetName val="BS_Notes2"/>
      <sheetName val="JE_-_FY192"/>
      <sheetName val="Del_32"/>
      <sheetName val="Summery"/>
      <sheetName val="Consol_BS12"/>
      <sheetName val="Consol_IS12"/>
      <sheetName val="Consol_CF12"/>
      <sheetName val="Co__BS12"/>
      <sheetName val="Co__IS12"/>
      <sheetName val="Co__CF12"/>
      <sheetName val="Seg_Qtr12"/>
      <sheetName val="Seg_Cum12"/>
      <sheetName val="Notes_12"/>
      <sheetName val="PP&amp;E_200712"/>
      <sheetName val="P_L_for_3_M12"/>
      <sheetName val="Bank__Inst_Master9"/>
      <sheetName val="BS_-_Openning_-_Int5"/>
      <sheetName val="Admin_BD5"/>
      <sheetName val="Sta_III-IV12"/>
      <sheetName val="Loan_Amortization_Schedule3"/>
      <sheetName val="1draft_3"/>
      <sheetName val="P&amp;L_Notes3"/>
      <sheetName val="BS_Notes3"/>
      <sheetName val="JE_-_FY193"/>
      <sheetName val="Del_33"/>
      <sheetName val="BS_Co"/>
      <sheetName val="Cash_Flow"/>
      <sheetName val="TB"/>
      <sheetName val="1"/>
      <sheetName val="FS_Q2_08"/>
      <sheetName val="APR-P"/>
      <sheetName val="AUG-P"/>
      <sheetName val="Master P&amp;L"/>
      <sheetName val="Dec"/>
      <sheetName val="Feb"/>
      <sheetName val="Payroll"/>
      <sheetName val="Jan"/>
      <sheetName val="JUL-P"/>
      <sheetName val="JUN-P"/>
      <sheetName val="March"/>
      <sheetName val="MAY-P"/>
      <sheetName val="OCT-P"/>
      <sheetName val="AP-Payroll14-15"/>
      <sheetName val="SEP-P"/>
      <sheetName val="Master_P&amp;L"/>
      <sheetName val="sheet1"/>
      <sheetName val="Setup"/>
      <sheetName val="Accumulated Depreciation"/>
      <sheetName val="2266"/>
      <sheetName val="2275"/>
      <sheetName val="2263"/>
      <sheetName val="2293"/>
      <sheetName val="2281"/>
      <sheetName val="0297"/>
      <sheetName val="2366"/>
      <sheetName val="2349"/>
      <sheetName val="2329"/>
      <sheetName val="2323"/>
      <sheetName val="2314"/>
      <sheetName val="2305"/>
      <sheetName val="Electrical"/>
      <sheetName val="Bill"/>
      <sheetName val="Gas Break Up(Annex-E)"/>
      <sheetName val="Mechanical"/>
      <sheetName val="Negative binomial theory"/>
      <sheetName val="DA1_1"/>
      <sheetName val="BLOOMBERG"/>
      <sheetName val="H2"/>
      <sheetName val="B2"/>
      <sheetName val="2006"/>
      <sheetName val="BUD-D.XLS"/>
      <sheetName val="Budget"/>
      <sheetName val="TAX-CURR"/>
      <sheetName val="AC-CHART"/>
      <sheetName val="Currency"/>
      <sheetName val="Non-Statistical Sampling"/>
      <sheetName val="AR Drop Downs"/>
      <sheetName val="DropDown"/>
      <sheetName val="L Yr"/>
      <sheetName val="Source"/>
      <sheetName val="Balance"/>
      <sheetName val="Base"/>
      <sheetName val="Condit°"/>
      <sheetName val="CRA-Detail"/>
      <sheetName val="JobDetails"/>
      <sheetName val="Customize Your Invoice"/>
      <sheetName val="2005"/>
      <sheetName val="BS Last Period"/>
      <sheetName val="P&amp;L 2021"/>
      <sheetName val="1000 BEDS"/>
      <sheetName val="START"/>
      <sheetName val="Dates"/>
      <sheetName val="O1.3"/>
      <sheetName val="O1.4"/>
      <sheetName val="ADMIN"/>
      <sheetName val="BARS"/>
      <sheetName val="COA"/>
      <sheetName val="SD2"/>
      <sheetName val="SD3"/>
      <sheetName val="SD4"/>
      <sheetName val="HM (QTD)"/>
      <sheetName val="Food07"/>
      <sheetName val="Sal07"/>
      <sheetName val="Parameters"/>
      <sheetName val="oracle"/>
      <sheetName val="Sheet6"/>
      <sheetName val="opening"/>
      <sheetName val="symix"/>
      <sheetName val="Accumulated_Depreciation"/>
      <sheetName val="Gas_Break_Up(Annex-E)"/>
      <sheetName val="Master_P&amp;L1"/>
      <sheetName val="Accumulated_Depreciation1"/>
      <sheetName val="Gas_Break_Up(Annex-E)1"/>
      <sheetName val="Menu"/>
      <sheetName val="Air Compressor"/>
      <sheetName val="WWTP"/>
      <sheetName val="Air Conditioner"/>
      <sheetName val="DBU"/>
      <sheetName val="FCBU"/>
      <sheetName val="CONSOL"/>
      <sheetName val="Master"/>
      <sheetName val="SEY BK AUG  TO  OCT 2019"/>
      <sheetName val="Assumptions"/>
      <sheetName val="LOS Location - CountryID"/>
      <sheetName val="Loan 1"/>
      <sheetName val="OTHER_INFORMATION"/>
      <sheetName val="Negative_binomial_theory"/>
      <sheetName val="BUD-D_XLS"/>
      <sheetName val="Non-Statistical_Sampling"/>
      <sheetName val="AR_Drop_Downs"/>
      <sheetName val="Master_P&amp;L2"/>
      <sheetName val="Negative_binomial_theory1"/>
      <sheetName val="BS_Co1"/>
      <sheetName val="Cash_Flow1"/>
      <sheetName val="BUD-D_XLS1"/>
      <sheetName val="Non-Statistical_Sampling1"/>
      <sheetName val="AR_Drop_Downs1"/>
      <sheetName val="Accumulated_Depreciation2"/>
      <sheetName val="Master_P&amp;L3"/>
      <sheetName val="Gas_Break_Up(Annex-E)2"/>
      <sheetName val="Negative_binomial_theory2"/>
      <sheetName val="BS_Co2"/>
      <sheetName val="Cash_Flow2"/>
      <sheetName val="BUD-D_XLS2"/>
      <sheetName val="Non-Statistical_Sampling2"/>
      <sheetName val="AR_Drop_Downs2"/>
      <sheetName val="Consol_BS13"/>
      <sheetName val="Consol_IS13"/>
      <sheetName val="Consol_CF13"/>
      <sheetName val="Co__BS13"/>
      <sheetName val="Co__IS13"/>
      <sheetName val="Co__CF13"/>
      <sheetName val="Seg_Qtr13"/>
      <sheetName val="Seg_Cum13"/>
      <sheetName val="Notes_13"/>
      <sheetName val="PP&amp;E_200713"/>
      <sheetName val="P_L_for_3_M13"/>
      <sheetName val="Bank__Inst_Master10"/>
      <sheetName val="BS_-_Openning_-_Int6"/>
      <sheetName val="Admin_BD6"/>
      <sheetName val="Sta_III-IV13"/>
      <sheetName val="Loan_Amortization_Schedule4"/>
      <sheetName val="1draft_4"/>
      <sheetName val="P&amp;L_Notes4"/>
      <sheetName val="BS_Notes4"/>
      <sheetName val="JE_-_FY194"/>
      <sheetName val="Del_34"/>
      <sheetName val="Accumulated_Depreciation3"/>
      <sheetName val="Master_P&amp;L4"/>
      <sheetName val="Gas_Break_Up(Annex-E)3"/>
      <sheetName val="Negative_binomial_theory3"/>
      <sheetName val="BS_Co3"/>
      <sheetName val="Cash_Flow3"/>
      <sheetName val="BUD-D_XLS3"/>
      <sheetName val="Non-Statistical_Sampling3"/>
      <sheetName val="AR_Drop_Downs3"/>
      <sheetName val="Consol_BS14"/>
      <sheetName val="Consol_IS14"/>
      <sheetName val="Consol_CF14"/>
      <sheetName val="Co__BS14"/>
      <sheetName val="Co__IS14"/>
      <sheetName val="Co__CF14"/>
      <sheetName val="Seg_Qtr14"/>
      <sheetName val="Seg_Cum14"/>
      <sheetName val="Notes_14"/>
      <sheetName val="PP&amp;E_200714"/>
      <sheetName val="P_L_for_3_M14"/>
      <sheetName val="Bank__Inst_Master11"/>
      <sheetName val="BS_-_Openning_-_Int7"/>
      <sheetName val="Admin_BD7"/>
      <sheetName val="Sta_III-IV14"/>
      <sheetName val="Master_P&amp;L5"/>
      <sheetName val="Loan_Amortization_Schedule5"/>
      <sheetName val="1draft_5"/>
      <sheetName val="P&amp;L_Notes5"/>
      <sheetName val="BS_Notes5"/>
      <sheetName val="JE_-_FY195"/>
      <sheetName val="Del_35"/>
      <sheetName val="BS_Co4"/>
      <sheetName val="Cash_Flow4"/>
      <sheetName val="Accumulated_Depreciation4"/>
      <sheetName val="Gas_Break_Up(Annex-E)4"/>
      <sheetName val="Negative_binomial_theory4"/>
      <sheetName val="BUD-D_XLS4"/>
      <sheetName val="Non-Statistical_Sampling4"/>
      <sheetName val="AR_Drop_Downs4"/>
      <sheetName val="AB2-TB"/>
      <sheetName val="L_Yr1"/>
      <sheetName val="L_Yr"/>
      <sheetName val="Customize_Your_Invoice"/>
      <sheetName val="BS_Last_Period"/>
      <sheetName val="P&amp;L_2021"/>
      <sheetName val="1000_BEDS"/>
      <sheetName val="SEY_BK_AUG__TO__OCT_2019"/>
      <sheetName val="O1_3"/>
      <sheetName val="O1_4"/>
      <sheetName val="Air_Compressor"/>
      <sheetName val="Air_Conditioner"/>
      <sheetName val="HM_(QTD)"/>
      <sheetName val="BS_Last_Period1"/>
      <sheetName val="1000_BEDS1"/>
      <sheetName val="Customize_Your_Invoice1"/>
      <sheetName val="P&amp;L_20211"/>
      <sheetName val="SEY_BK_AUG__TO__OCT_20191"/>
      <sheetName val="O1_31"/>
      <sheetName val="O1_41"/>
      <sheetName val="Air_Compressor1"/>
      <sheetName val="Air_Conditioner1"/>
      <sheetName val="HM_(QTD)1"/>
      <sheetName val="Cash_Flow_Summary"/>
      <sheetName val="30June07"/>
      <sheetName val="Analysis"/>
      <sheetName val="Consol_BS15"/>
      <sheetName val="Consol_IS15"/>
      <sheetName val="Consol_CF15"/>
      <sheetName val="Co__BS15"/>
      <sheetName val="Co__IS15"/>
      <sheetName val="Co__CF15"/>
      <sheetName val="Seg_Qtr15"/>
      <sheetName val="Seg_Cum15"/>
      <sheetName val="Notes_15"/>
      <sheetName val="PP&amp;E_200715"/>
      <sheetName val="P_L_for_3_M15"/>
      <sheetName val="Sta_III-IV15"/>
      <sheetName val="Bank__Inst_Master12"/>
      <sheetName val="BS_-_Openning_-_Int8"/>
      <sheetName val="Admin_BD8"/>
      <sheetName val="Loan_Amortization_Schedule6"/>
      <sheetName val="1draft_6"/>
      <sheetName val="P&amp;L_Notes6"/>
      <sheetName val="BS_Notes6"/>
      <sheetName val="JE_-_FY196"/>
      <sheetName val="Del_36"/>
      <sheetName val="L_Yr2"/>
      <sheetName val="Customize_Your_Invoice2"/>
      <sheetName val="BS_Last_Period2"/>
      <sheetName val="P&amp;L_20212"/>
      <sheetName val="1000_BEDS2"/>
      <sheetName val="HM_(QTD)2"/>
      <sheetName val="O1_32"/>
      <sheetName val="O1_42"/>
      <sheetName val="Consol_BS19"/>
      <sheetName val="Consol_IS19"/>
      <sheetName val="Consol_CF19"/>
      <sheetName val="Co__BS19"/>
      <sheetName val="Co__IS19"/>
      <sheetName val="Co__CF19"/>
      <sheetName val="Seg_Qtr19"/>
      <sheetName val="Seg_Cum19"/>
      <sheetName val="Notes_19"/>
      <sheetName val="PP&amp;E_200719"/>
      <sheetName val="P_L_for_3_M19"/>
      <sheetName val="Sta_III-IV19"/>
      <sheetName val="Bank__Inst_Master16"/>
      <sheetName val="BS_-_Openning_-_Int12"/>
      <sheetName val="Admin_BD12"/>
      <sheetName val="Loan_Amortization_Schedule10"/>
      <sheetName val="1draft_10"/>
      <sheetName val="P&amp;L_Notes10"/>
      <sheetName val="BS_Notes10"/>
      <sheetName val="JE_-_FY1910"/>
      <sheetName val="Del_310"/>
      <sheetName val="Accumulated_Depreciation6"/>
      <sheetName val="Master_P&amp;L7"/>
      <sheetName val="Gas_Break_Up(Annex-E)6"/>
      <sheetName val="Negative_binomial_theory6"/>
      <sheetName val="BS_Co7"/>
      <sheetName val="Cash_Flow7"/>
      <sheetName val="BUD-D_XLS6"/>
      <sheetName val="Non-Statistical_Sampling6"/>
      <sheetName val="AR_Drop_Downs6"/>
      <sheetName val="L_Yr6"/>
      <sheetName val="Customize_Your_Invoice6"/>
      <sheetName val="BS_Last_Period6"/>
      <sheetName val="P&amp;L_20216"/>
      <sheetName val="1000_BEDS6"/>
      <sheetName val="HM_(QTD)6"/>
      <sheetName val="O1_36"/>
      <sheetName val="O1_46"/>
      <sheetName val="Consol_BS16"/>
      <sheetName val="Consol_IS16"/>
      <sheetName val="Consol_CF16"/>
      <sheetName val="Co__BS16"/>
      <sheetName val="Co__IS16"/>
      <sheetName val="Co__CF16"/>
      <sheetName val="Seg_Qtr16"/>
      <sheetName val="Seg_Cum16"/>
      <sheetName val="Notes_16"/>
      <sheetName val="PP&amp;E_200716"/>
      <sheetName val="P_L_for_3_M16"/>
      <sheetName val="Sta_III-IV16"/>
      <sheetName val="Bank__Inst_Master13"/>
      <sheetName val="BS_-_Openning_-_Int9"/>
      <sheetName val="Admin_BD9"/>
      <sheetName val="Loan_Amortization_Schedule7"/>
      <sheetName val="1draft_7"/>
      <sheetName val="P&amp;L_Notes7"/>
      <sheetName val="BS_Notes7"/>
      <sheetName val="JE_-_FY197"/>
      <sheetName val="Del_37"/>
      <sheetName val="L_Yr3"/>
      <sheetName val="Customize_Your_Invoice3"/>
      <sheetName val="BS_Last_Period3"/>
      <sheetName val="P&amp;L_20213"/>
      <sheetName val="1000_BEDS3"/>
      <sheetName val="HM_(QTD)3"/>
      <sheetName val="O1_33"/>
      <sheetName val="O1_43"/>
      <sheetName val="Consol_BS17"/>
      <sheetName val="Consol_IS17"/>
      <sheetName val="Consol_CF17"/>
      <sheetName val="Co__BS17"/>
      <sheetName val="Co__IS17"/>
      <sheetName val="Co__CF17"/>
      <sheetName val="Seg_Qtr17"/>
      <sheetName val="Seg_Cum17"/>
      <sheetName val="Notes_17"/>
      <sheetName val="PP&amp;E_200717"/>
      <sheetName val="P_L_for_3_M17"/>
      <sheetName val="Sta_III-IV17"/>
      <sheetName val="Bank__Inst_Master14"/>
      <sheetName val="BS_-_Openning_-_Int10"/>
      <sheetName val="Admin_BD10"/>
      <sheetName val="Loan_Amortization_Schedule8"/>
      <sheetName val="1draft_8"/>
      <sheetName val="P&amp;L_Notes8"/>
      <sheetName val="BS_Notes8"/>
      <sheetName val="JE_-_FY198"/>
      <sheetName val="Del_38"/>
      <sheetName val="BS_Co5"/>
      <sheetName val="Cash_Flow5"/>
      <sheetName val="L_Yr4"/>
      <sheetName val="Customize_Your_Invoice4"/>
      <sheetName val="BS_Last_Period4"/>
      <sheetName val="P&amp;L_20214"/>
      <sheetName val="1000_BEDS4"/>
      <sheetName val="HM_(QTD)4"/>
      <sheetName val="O1_34"/>
      <sheetName val="O1_44"/>
      <sheetName val="Consol_BS18"/>
      <sheetName val="Consol_IS18"/>
      <sheetName val="Consol_CF18"/>
      <sheetName val="Co__BS18"/>
      <sheetName val="Co__IS18"/>
      <sheetName val="Co__CF18"/>
      <sheetName val="Seg_Qtr18"/>
      <sheetName val="Seg_Cum18"/>
      <sheetName val="Notes_18"/>
      <sheetName val="PP&amp;E_200718"/>
      <sheetName val="P_L_for_3_M18"/>
      <sheetName val="Sta_III-IV18"/>
      <sheetName val="Bank__Inst_Master15"/>
      <sheetName val="BS_-_Openning_-_Int11"/>
      <sheetName val="Admin_BD11"/>
      <sheetName val="Loan_Amortization_Schedule9"/>
      <sheetName val="1draft_9"/>
      <sheetName val="P&amp;L_Notes9"/>
      <sheetName val="BS_Notes9"/>
      <sheetName val="JE_-_FY199"/>
      <sheetName val="Del_39"/>
      <sheetName val="Accumulated_Depreciation5"/>
      <sheetName val="Master_P&amp;L6"/>
      <sheetName val="Gas_Break_Up(Annex-E)5"/>
      <sheetName val="Negative_binomial_theory5"/>
      <sheetName val="BS_Co6"/>
      <sheetName val="Cash_Flow6"/>
      <sheetName val="BUD-D_XLS5"/>
      <sheetName val="Non-Statistical_Sampling5"/>
      <sheetName val="AR_Drop_Downs5"/>
      <sheetName val="L_Yr5"/>
      <sheetName val="Customize_Your_Invoice5"/>
      <sheetName val="BS_Last_Period5"/>
      <sheetName val="P&amp;L_20215"/>
      <sheetName val="1000_BEDS5"/>
      <sheetName val="HM_(QTD)5"/>
      <sheetName val="O1_35"/>
      <sheetName val="O1_45"/>
      <sheetName val="Consol_BS20"/>
      <sheetName val="Consol_IS20"/>
      <sheetName val="Consol_CF20"/>
      <sheetName val="Co__BS20"/>
      <sheetName val="Co__IS20"/>
      <sheetName val="Co__CF20"/>
      <sheetName val="Seg_Qtr20"/>
      <sheetName val="Seg_Cum20"/>
      <sheetName val="Notes_20"/>
      <sheetName val="PP&amp;E_200720"/>
      <sheetName val="P_L_for_3_M20"/>
      <sheetName val="Sta_III-IV20"/>
      <sheetName val="Bank__Inst_Master17"/>
      <sheetName val="BS_-_Openning_-_Int13"/>
      <sheetName val="Admin_BD13"/>
      <sheetName val="Loan_Amortization_Schedule11"/>
      <sheetName val="1draft_11"/>
      <sheetName val="P&amp;L_Notes11"/>
      <sheetName val="BS_Notes11"/>
      <sheetName val="JE_-_FY1911"/>
      <sheetName val="Del_311"/>
      <sheetName val="Accumulated_Depreciation7"/>
      <sheetName val="Master_P&amp;L8"/>
      <sheetName val="Gas_Break_Up(Annex-E)7"/>
      <sheetName val="Negative_binomial_theory7"/>
      <sheetName val="BS_Co8"/>
      <sheetName val="Cash_Flow8"/>
      <sheetName val="BUD-D_XLS7"/>
      <sheetName val="Non-Statistical_Sampling7"/>
      <sheetName val="AR_Drop_Downs7"/>
      <sheetName val="L_Yr7"/>
      <sheetName val="Customize_Your_Invoice7"/>
      <sheetName val="BS_Last_Period7"/>
      <sheetName val="P&amp;L_20217"/>
      <sheetName val="1000_BEDS7"/>
      <sheetName val="HM_(QTD)7"/>
      <sheetName val="O1_37"/>
      <sheetName val="O1_47"/>
      <sheetName val="Consol_BS21"/>
      <sheetName val="Consol_IS21"/>
      <sheetName val="Consol_CF21"/>
      <sheetName val="Co__BS21"/>
      <sheetName val="Co__IS21"/>
      <sheetName val="Co__CF21"/>
      <sheetName val="Seg_Qtr21"/>
      <sheetName val="Seg_Cum21"/>
      <sheetName val="Notes_21"/>
      <sheetName val="PP&amp;E_200721"/>
      <sheetName val="P_L_for_3_M21"/>
      <sheetName val="Sta_III-IV21"/>
      <sheetName val="Bank__Inst_Master18"/>
      <sheetName val="BS_-_Openning_-_Int14"/>
      <sheetName val="Admin_BD14"/>
      <sheetName val="Loan_Amortization_Schedule12"/>
      <sheetName val="1draft_12"/>
      <sheetName val="P&amp;L_Notes12"/>
      <sheetName val="BS_Notes12"/>
      <sheetName val="JE_-_FY1912"/>
      <sheetName val="Del_312"/>
      <sheetName val="Accumulated_Depreciation8"/>
      <sheetName val="Master_P&amp;L9"/>
      <sheetName val="Gas_Break_Up(Annex-E)8"/>
      <sheetName val="Negative_binomial_theory8"/>
      <sheetName val="BS_Co9"/>
      <sheetName val="Cash_Flow9"/>
      <sheetName val="BUD-D_XLS8"/>
      <sheetName val="Non-Statistical_Sampling8"/>
      <sheetName val="AR_Drop_Downs8"/>
      <sheetName val="L_Yr8"/>
      <sheetName val="Customize_Your_Invoice8"/>
      <sheetName val="BS_Last_Period8"/>
      <sheetName val="P&amp;L_20218"/>
      <sheetName val="1000_BEDS8"/>
      <sheetName val="HM_(QTD)8"/>
      <sheetName val="O1_38"/>
      <sheetName val="O1_48"/>
      <sheetName val="Sheet5"/>
      <sheetName val="BT-PM &amp; POSM PG &amp; MW All"/>
      <sheetName val="Computer"/>
      <sheetName val="B-2"/>
      <sheetName val="Details"/>
      <sheetName val="BN 01"/>
      <sheetName val="OD-INR"/>
      <sheetName val="ELEC. METER READINGS(Annex-A)"/>
      <sheetName val="Volume Graph (May-ytd)"/>
      <sheetName val="Sourse Codes"/>
      <sheetName val="R1"/>
      <sheetName val="Group Sales"/>
      <sheetName val=" Account Balances"/>
      <sheetName val="IU1.2.1.1.B"/>
      <sheetName val="Cover Page"/>
      <sheetName val="Stats"/>
      <sheetName val="BLProf"/>
      <sheetName val="IS STD"/>
      <sheetName val="Info"/>
      <sheetName val="Date Setup"/>
      <sheetName val="IS Mon"/>
      <sheetName val="ProjNext"/>
      <sheetName val="Article"/>
      <sheetName val="STOCKS"/>
      <sheetName val="DETAILED  BOQ"/>
      <sheetName val="2045020001"/>
      <sheetName val="D1"/>
      <sheetName val="BFPLC System TB - sss"/>
      <sheetName val="ALL"/>
      <sheetName val="Orders"/>
      <sheetName val="ISMonth"/>
      <sheetName val="Ruwan"/>
      <sheetName val="Sheet2"/>
      <sheetName val="Partner Units"/>
      <sheetName val="SI"/>
      <sheetName val="Currencies"/>
      <sheetName val="Tables"/>
      <sheetName val="WPROXY"/>
      <sheetName val="Rate-Jan"/>
      <sheetName val="Consol_BS22"/>
      <sheetName val="Consol_IS22"/>
      <sheetName val="Consol_CF22"/>
      <sheetName val="Co__BS22"/>
      <sheetName val="Co__IS22"/>
      <sheetName val="Co__CF22"/>
      <sheetName val="Seg_Qtr22"/>
      <sheetName val="Seg_Cum22"/>
      <sheetName val="Notes_22"/>
      <sheetName val="PP&amp;E_200722"/>
      <sheetName val="P_L_for_3_M22"/>
      <sheetName val="Sta_III-IV22"/>
      <sheetName val="Bank__Inst_Master19"/>
      <sheetName val="BS_-_Openning_-_Int15"/>
      <sheetName val="Admin_BD15"/>
      <sheetName val="Loan_Amortization_Schedule13"/>
      <sheetName val="1draft_13"/>
      <sheetName val="P&amp;L_Notes13"/>
      <sheetName val="BS_Notes13"/>
      <sheetName val="JE_-_FY1913"/>
      <sheetName val="Del_313"/>
      <sheetName val="Accumulated_Depreciation9"/>
      <sheetName val="Master_P&amp;L10"/>
      <sheetName val="Gas_Break_Up(Annex-E)9"/>
      <sheetName val="Negative_binomial_theory9"/>
      <sheetName val="BS_Co10"/>
      <sheetName val="Cash_Flow10"/>
      <sheetName val="BUD-D_XLS9"/>
      <sheetName val="Non-Statistical_Sampling9"/>
      <sheetName val="AR_Drop_Downs9"/>
      <sheetName val="L_Yr9"/>
      <sheetName val="Customize_Your_Invoice9"/>
      <sheetName val="BS_Last_Period9"/>
      <sheetName val="P&amp;L_20219"/>
      <sheetName val="1000_BEDS9"/>
      <sheetName val="HM_(QTD)9"/>
      <sheetName val="O1_39"/>
      <sheetName val="O1_49"/>
      <sheetName val="CCTV_EST1"/>
      <sheetName val="jul03-jun04pnl"/>
      <sheetName val="breakup"/>
      <sheetName val="31-CAPEX"/>
      <sheetName val="17-SGA OH-SUMMARY"/>
      <sheetName val="18-SGA OH"/>
      <sheetName val="6-GrossM"/>
      <sheetName val="9-Production"/>
      <sheetName val="Consol_BS23"/>
      <sheetName val="Hect Profit "/>
      <sheetName val="discounts_XP140"/>
      <sheetName val="Sub-Notes to Note 1"/>
      <sheetName val="Consol_IS23"/>
      <sheetName val="Consol_CF23"/>
      <sheetName val="Co__BS23"/>
      <sheetName val="Co__IS23"/>
      <sheetName val="Co__CF23"/>
      <sheetName val="Seg_Qtr23"/>
      <sheetName val="Seg_Cum23"/>
      <sheetName val="Notes_23"/>
      <sheetName val="PP&amp;E_200723"/>
      <sheetName val="P_L_for_3_M23"/>
      <sheetName val="Sta_III-IV23"/>
      <sheetName val="Bank__Inst_Master20"/>
      <sheetName val="BS_-_Openning_-_Int16"/>
      <sheetName val="Admin_BD16"/>
      <sheetName val="Loan_Amortization_Schedule14"/>
      <sheetName val="1draft_14"/>
      <sheetName val="P&amp;L_Notes14"/>
      <sheetName val="BS_Notes14"/>
      <sheetName val="JE_-_FY1914"/>
      <sheetName val="Del_314"/>
      <sheetName val="Accumulated_Depreciation10"/>
      <sheetName val="Master_P&amp;L11"/>
      <sheetName val="Gas_Break_Up(Annex-E)10"/>
      <sheetName val="Negative_binomial_theory10"/>
      <sheetName val="BS_Co11"/>
      <sheetName val="Cash_Flow11"/>
      <sheetName val="BUD-D_XLS10"/>
      <sheetName val="Non-Statistical_Sampling10"/>
      <sheetName val="AR_Drop_Downs10"/>
      <sheetName val="L_Yr10"/>
      <sheetName val="Customize_Your_Invoice10"/>
      <sheetName val="BS_Last_Period10"/>
      <sheetName val="P&amp;L_202110"/>
      <sheetName val="1000_BEDS10"/>
      <sheetName val="HM_(QTD)10"/>
      <sheetName val="O1_310"/>
      <sheetName val="O1_410"/>
      <sheetName val="Consol_BS24"/>
      <sheetName val="Consol_IS24"/>
      <sheetName val="Consol_CF24"/>
      <sheetName val="Co__BS24"/>
      <sheetName val="Co__IS24"/>
      <sheetName val="Co__CF24"/>
      <sheetName val="Seg_Qtr24"/>
      <sheetName val="Seg_Cum24"/>
      <sheetName val="Notes_24"/>
      <sheetName val="PP&amp;E_200724"/>
      <sheetName val="P_L_for_3_M24"/>
      <sheetName val="Sta_III-IV24"/>
      <sheetName val="Bank__Inst_Master21"/>
      <sheetName val="BS_-_Openning_-_Int17"/>
      <sheetName val="Admin_BD17"/>
      <sheetName val="Loan_Amortization_Schedule15"/>
      <sheetName val="1draft_15"/>
      <sheetName val="P&amp;L_Notes15"/>
      <sheetName val="BS_Notes15"/>
      <sheetName val="JE_-_FY1915"/>
      <sheetName val="Del_315"/>
      <sheetName val="Accumulated_Depreciation11"/>
      <sheetName val="Master_P&amp;L12"/>
      <sheetName val="Gas_Break_Up(Annex-E)11"/>
      <sheetName val="Negative_binomial_theory11"/>
      <sheetName val="BS_Co12"/>
      <sheetName val="Cash_Flow12"/>
      <sheetName val="BUD-D_XLS11"/>
      <sheetName val="Non-Statistical_Sampling11"/>
      <sheetName val="AR_Drop_Downs11"/>
      <sheetName val="L_Yr11"/>
      <sheetName val="Customize_Your_Invoice11"/>
      <sheetName val="BS_Last_Period11"/>
      <sheetName val="P&amp;L_202111"/>
      <sheetName val="1000_BEDS11"/>
      <sheetName val="HM_(QTD)11"/>
      <sheetName val="O1_311"/>
      <sheetName val="O1_411"/>
      <sheetName val="Consol_BS25"/>
      <sheetName val="Consol_IS25"/>
      <sheetName val="Consol_CF25"/>
      <sheetName val="Co__BS25"/>
      <sheetName val="Co__IS25"/>
      <sheetName val="Co__CF25"/>
      <sheetName val="Seg_Qtr25"/>
      <sheetName val="Seg_Cum25"/>
      <sheetName val="Notes_25"/>
      <sheetName val="PP&amp;E_200725"/>
      <sheetName val="P_L_for_3_M25"/>
      <sheetName val="Sta_III-IV25"/>
      <sheetName val="Bank__Inst_Master22"/>
      <sheetName val="BS_-_Openning_-_Int18"/>
      <sheetName val="Admin_BD18"/>
      <sheetName val="Loan_Amortization_Schedule16"/>
      <sheetName val="1draft_16"/>
      <sheetName val="P&amp;L_Notes16"/>
      <sheetName val="BS_Notes16"/>
      <sheetName val="JE_-_FY1916"/>
      <sheetName val="Del_316"/>
      <sheetName val="Accumulated_Depreciation12"/>
      <sheetName val="Master_P&amp;L13"/>
      <sheetName val="Gas_Break_Up(Annex-E)12"/>
      <sheetName val="Negative_binomial_theory12"/>
      <sheetName val="BS_Co13"/>
      <sheetName val="Cash_Flow13"/>
      <sheetName val="BUD-D_XLS12"/>
      <sheetName val="Non-Statistical_Sampling12"/>
      <sheetName val="AR_Drop_Downs12"/>
      <sheetName val="L_Yr12"/>
      <sheetName val="Customize_Your_Invoice12"/>
      <sheetName val="BS_Last_Period12"/>
      <sheetName val="P&amp;L_202112"/>
      <sheetName val="1000_BEDS12"/>
      <sheetName val="HM_(QTD)12"/>
      <sheetName val="O1_312"/>
      <sheetName val="O1_412"/>
      <sheetName val="Consol_BS26"/>
      <sheetName val="Consol_IS26"/>
      <sheetName val="Consol_CF26"/>
      <sheetName val="Co__BS26"/>
      <sheetName val="Co__IS26"/>
      <sheetName val="Co__CF26"/>
      <sheetName val="Seg_Qtr26"/>
      <sheetName val="Seg_Cum26"/>
      <sheetName val="Notes_26"/>
      <sheetName val="PP&amp;E_200726"/>
      <sheetName val="P_L_for_3_M26"/>
      <sheetName val="Sta_III-IV26"/>
      <sheetName val="Bank__Inst_Master23"/>
      <sheetName val="BS_-_Openning_-_Int19"/>
      <sheetName val="Admin_BD19"/>
      <sheetName val="Loan_Amortization_Schedule17"/>
      <sheetName val="1draft_17"/>
      <sheetName val="P&amp;L_Notes17"/>
      <sheetName val="BS_Notes17"/>
      <sheetName val="JE_-_FY1917"/>
      <sheetName val="Del_317"/>
      <sheetName val="Accumulated_Depreciation13"/>
      <sheetName val="Master_P&amp;L14"/>
      <sheetName val="Gas_Break_Up(Annex-E)13"/>
      <sheetName val="Negative_binomial_theory13"/>
      <sheetName val="BS_Co14"/>
      <sheetName val="Cash_Flow14"/>
      <sheetName val="BUD-D_XLS13"/>
      <sheetName val="Non-Statistical_Sampling13"/>
      <sheetName val="AR_Drop_Downs13"/>
      <sheetName val="L_Yr13"/>
      <sheetName val="Customize_Your_Invoice13"/>
      <sheetName val="BS_Last_Period13"/>
      <sheetName val="P&amp;L_202113"/>
      <sheetName val="1000_BEDS13"/>
      <sheetName val="HM_(QTD)13"/>
      <sheetName val="O1_313"/>
      <sheetName val="O1_413"/>
      <sheetName val="SEY_BK_AUG__TO__OCT_20192"/>
      <sheetName val="Air_Compressor2"/>
      <sheetName val="Air_Conditioner2"/>
      <sheetName val="Consol_BS27"/>
      <sheetName val="Consol_IS27"/>
      <sheetName val="Consol_CF27"/>
      <sheetName val="Co__BS27"/>
      <sheetName val="Co__IS27"/>
      <sheetName val="Co__CF27"/>
      <sheetName val="Seg_Qtr27"/>
      <sheetName val="Seg_Cum27"/>
      <sheetName val="Notes_27"/>
      <sheetName val="PP&amp;E_200727"/>
      <sheetName val="P_L_for_3_M27"/>
      <sheetName val="Sta_III-IV27"/>
      <sheetName val="Bank__Inst_Master24"/>
      <sheetName val="BS_-_Openning_-_Int20"/>
      <sheetName val="Admin_BD20"/>
      <sheetName val="Loan_Amortization_Schedule18"/>
      <sheetName val="1draft_18"/>
      <sheetName val="P&amp;L_Notes18"/>
      <sheetName val="BS_Notes18"/>
      <sheetName val="JE_-_FY1918"/>
      <sheetName val="Del_318"/>
      <sheetName val="Accumulated_Depreciation14"/>
      <sheetName val="Master_P&amp;L15"/>
      <sheetName val="Gas_Break_Up(Annex-E)14"/>
      <sheetName val="Negative_binomial_theory14"/>
      <sheetName val="BS_Co15"/>
      <sheetName val="Cash_Flow15"/>
      <sheetName val="BUD-D_XLS14"/>
      <sheetName val="Non-Statistical_Sampling14"/>
      <sheetName val="AR_Drop_Downs14"/>
      <sheetName val="L_Yr14"/>
      <sheetName val="Customize_Your_Invoice14"/>
      <sheetName val="BS_Last_Period14"/>
      <sheetName val="P&amp;L_202114"/>
      <sheetName val="1000_BEDS14"/>
      <sheetName val="HM_(QTD)14"/>
      <sheetName val="O1_314"/>
      <sheetName val="O1_414"/>
      <sheetName val="SEY_BK_AUG__TO__OCT_20193"/>
      <sheetName val="Air_Compressor3"/>
      <sheetName val="Air_Conditioner3"/>
      <sheetName val="Consol_BS28"/>
      <sheetName val="Consol_IS28"/>
      <sheetName val="Consol_CF28"/>
      <sheetName val="Co__BS28"/>
      <sheetName val="Co__IS28"/>
      <sheetName val="Co__CF28"/>
      <sheetName val="Seg_Qtr28"/>
      <sheetName val="Seg_Cum28"/>
      <sheetName val="Notes_28"/>
      <sheetName val="PP&amp;E_200728"/>
      <sheetName val="P_L_for_3_M28"/>
      <sheetName val="Sta_III-IV28"/>
      <sheetName val="Bank__Inst_Master25"/>
      <sheetName val="BS_-_Openning_-_Int21"/>
      <sheetName val="Admin_BD21"/>
      <sheetName val="Loan_Amortization_Schedule19"/>
      <sheetName val="1draft_19"/>
      <sheetName val="P&amp;L_Notes19"/>
      <sheetName val="BS_Notes19"/>
      <sheetName val="JE_-_FY1919"/>
      <sheetName val="Del_319"/>
      <sheetName val="Accumulated_Depreciation15"/>
      <sheetName val="Master_P&amp;L16"/>
      <sheetName val="Gas_Break_Up(Annex-E)15"/>
      <sheetName val="Negative_binomial_theory15"/>
      <sheetName val="BS_Co16"/>
      <sheetName val="Cash_Flow16"/>
      <sheetName val="BUD-D_XLS15"/>
      <sheetName val="Non-Statistical_Sampling15"/>
      <sheetName val="AR_Drop_Downs15"/>
      <sheetName val="L_Yr15"/>
      <sheetName val="Customize_Your_Invoice15"/>
      <sheetName val="BS_Last_Period15"/>
      <sheetName val="P&amp;L_202115"/>
      <sheetName val="1000_BEDS15"/>
      <sheetName val="HM_(QTD)15"/>
      <sheetName val="O1_315"/>
      <sheetName val="O1_415"/>
      <sheetName val="SEY_BK_AUG__TO__OCT_20194"/>
      <sheetName val="Air_Compressor4"/>
      <sheetName val="Air_Conditioner4"/>
      <sheetName val="Dashboard"/>
    </sheetNames>
    <sheetDataSet>
      <sheetData sheetId="0" refreshError="1"/>
      <sheetData sheetId="1" refreshError="1"/>
      <sheetData sheetId="2">
        <row r="62">
          <cell r="E62">
            <v>7133341</v>
          </cell>
        </row>
        <row r="64">
          <cell r="E64">
            <v>9244897</v>
          </cell>
        </row>
        <row r="69">
          <cell r="E69">
            <v>18314374</v>
          </cell>
          <cell r="F69">
            <v>0</v>
          </cell>
          <cell r="G69">
            <v>11114723</v>
          </cell>
        </row>
        <row r="70">
          <cell r="E70">
            <v>1931549</v>
          </cell>
          <cell r="F70">
            <v>0</v>
          </cell>
          <cell r="G70">
            <v>1493074</v>
          </cell>
        </row>
        <row r="71">
          <cell r="E71">
            <v>-3867685</v>
          </cell>
          <cell r="F71">
            <v>0</v>
          </cell>
          <cell r="G71">
            <v>-3582269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2">
          <cell r="E62">
            <v>7133341</v>
          </cell>
        </row>
      </sheetData>
      <sheetData sheetId="15">
        <row r="62">
          <cell r="E62">
            <v>7133341</v>
          </cell>
        </row>
      </sheetData>
      <sheetData sheetId="16">
        <row r="62">
          <cell r="E62">
            <v>7133341</v>
          </cell>
        </row>
      </sheetData>
      <sheetData sheetId="17">
        <row r="62">
          <cell r="E62">
            <v>7133341</v>
          </cell>
        </row>
      </sheetData>
      <sheetData sheetId="18">
        <row r="62">
          <cell r="E62">
            <v>7133341</v>
          </cell>
        </row>
      </sheetData>
      <sheetData sheetId="19">
        <row r="62">
          <cell r="E62">
            <v>7133341</v>
          </cell>
        </row>
      </sheetData>
      <sheetData sheetId="20">
        <row r="62">
          <cell r="E62">
            <v>7133341</v>
          </cell>
        </row>
      </sheetData>
      <sheetData sheetId="21">
        <row r="62">
          <cell r="E62">
            <v>7133341</v>
          </cell>
        </row>
      </sheetData>
      <sheetData sheetId="22">
        <row r="62">
          <cell r="E62">
            <v>7133341</v>
          </cell>
        </row>
      </sheetData>
      <sheetData sheetId="23">
        <row r="62">
          <cell r="E62">
            <v>7133341</v>
          </cell>
        </row>
      </sheetData>
      <sheetData sheetId="24">
        <row r="62">
          <cell r="E62">
            <v>7133341</v>
          </cell>
        </row>
      </sheetData>
      <sheetData sheetId="25">
        <row r="62">
          <cell r="E62">
            <v>7133341</v>
          </cell>
        </row>
      </sheetData>
      <sheetData sheetId="26">
        <row r="62">
          <cell r="E62">
            <v>7133341</v>
          </cell>
        </row>
      </sheetData>
      <sheetData sheetId="27">
        <row r="62">
          <cell r="E62">
            <v>7133341</v>
          </cell>
        </row>
      </sheetData>
      <sheetData sheetId="28">
        <row r="62">
          <cell r="E62">
            <v>7133341</v>
          </cell>
        </row>
      </sheetData>
      <sheetData sheetId="29">
        <row r="62">
          <cell r="E62">
            <v>7133341</v>
          </cell>
        </row>
      </sheetData>
      <sheetData sheetId="30">
        <row r="62">
          <cell r="E62">
            <v>7133341</v>
          </cell>
        </row>
      </sheetData>
      <sheetData sheetId="31">
        <row r="62">
          <cell r="E62">
            <v>7133341</v>
          </cell>
        </row>
      </sheetData>
      <sheetData sheetId="32">
        <row r="62">
          <cell r="E62">
            <v>7133341</v>
          </cell>
        </row>
      </sheetData>
      <sheetData sheetId="33">
        <row r="62">
          <cell r="E62">
            <v>7133341</v>
          </cell>
        </row>
      </sheetData>
      <sheetData sheetId="34">
        <row r="62">
          <cell r="E62">
            <v>7133341</v>
          </cell>
        </row>
      </sheetData>
      <sheetData sheetId="35">
        <row r="62">
          <cell r="E62">
            <v>7133341</v>
          </cell>
        </row>
      </sheetData>
      <sheetData sheetId="36">
        <row r="62">
          <cell r="E62">
            <v>7133341</v>
          </cell>
        </row>
      </sheetData>
      <sheetData sheetId="37">
        <row r="62">
          <cell r="E62">
            <v>7133341</v>
          </cell>
        </row>
      </sheetData>
      <sheetData sheetId="38">
        <row r="62">
          <cell r="E62">
            <v>7133341</v>
          </cell>
        </row>
      </sheetData>
      <sheetData sheetId="39">
        <row r="62">
          <cell r="E62">
            <v>7133341</v>
          </cell>
        </row>
      </sheetData>
      <sheetData sheetId="40">
        <row r="62">
          <cell r="E62">
            <v>7133341</v>
          </cell>
        </row>
      </sheetData>
      <sheetData sheetId="41">
        <row r="62">
          <cell r="E62">
            <v>7133341</v>
          </cell>
        </row>
      </sheetData>
      <sheetData sheetId="42">
        <row r="62">
          <cell r="E62">
            <v>7133341</v>
          </cell>
        </row>
      </sheetData>
      <sheetData sheetId="43">
        <row r="62">
          <cell r="E62">
            <v>7133341</v>
          </cell>
        </row>
      </sheetData>
      <sheetData sheetId="44">
        <row r="62">
          <cell r="E62">
            <v>7133341</v>
          </cell>
        </row>
      </sheetData>
      <sheetData sheetId="45">
        <row r="62">
          <cell r="E62">
            <v>7133341</v>
          </cell>
        </row>
      </sheetData>
      <sheetData sheetId="46">
        <row r="62">
          <cell r="E62">
            <v>7133341</v>
          </cell>
        </row>
      </sheetData>
      <sheetData sheetId="47">
        <row r="62">
          <cell r="E62">
            <v>7133341</v>
          </cell>
        </row>
      </sheetData>
      <sheetData sheetId="48">
        <row r="62">
          <cell r="E62">
            <v>7133341</v>
          </cell>
        </row>
      </sheetData>
      <sheetData sheetId="49">
        <row r="62">
          <cell r="E62">
            <v>7133341</v>
          </cell>
        </row>
      </sheetData>
      <sheetData sheetId="50">
        <row r="62">
          <cell r="E62">
            <v>7133341</v>
          </cell>
        </row>
      </sheetData>
      <sheetData sheetId="51">
        <row r="62">
          <cell r="E62">
            <v>7133341</v>
          </cell>
        </row>
      </sheetData>
      <sheetData sheetId="52">
        <row r="62">
          <cell r="E62">
            <v>7133341</v>
          </cell>
        </row>
      </sheetData>
      <sheetData sheetId="53">
        <row r="62">
          <cell r="E62">
            <v>7133341</v>
          </cell>
        </row>
      </sheetData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>
        <row r="62">
          <cell r="E62">
            <v>7133341</v>
          </cell>
        </row>
      </sheetData>
      <sheetData sheetId="62">
        <row r="62">
          <cell r="E62">
            <v>7133341</v>
          </cell>
        </row>
      </sheetData>
      <sheetData sheetId="63" refreshError="1"/>
      <sheetData sheetId="64">
        <row r="62">
          <cell r="E62">
            <v>7133341</v>
          </cell>
        </row>
      </sheetData>
      <sheetData sheetId="65">
        <row r="62">
          <cell r="E62">
            <v>7133341</v>
          </cell>
        </row>
      </sheetData>
      <sheetData sheetId="66">
        <row r="62">
          <cell r="E62">
            <v>7133341</v>
          </cell>
        </row>
      </sheetData>
      <sheetData sheetId="67">
        <row r="62">
          <cell r="E62">
            <v>7133341</v>
          </cell>
        </row>
      </sheetData>
      <sheetData sheetId="68">
        <row r="62">
          <cell r="E62">
            <v>7133341</v>
          </cell>
        </row>
      </sheetData>
      <sheetData sheetId="69">
        <row r="62">
          <cell r="E62">
            <v>7133341</v>
          </cell>
        </row>
      </sheetData>
      <sheetData sheetId="70">
        <row r="62">
          <cell r="E62">
            <v>7133341</v>
          </cell>
        </row>
      </sheetData>
      <sheetData sheetId="71">
        <row r="62">
          <cell r="E62">
            <v>7133341</v>
          </cell>
        </row>
      </sheetData>
      <sheetData sheetId="72">
        <row r="62">
          <cell r="E62">
            <v>7133341</v>
          </cell>
        </row>
      </sheetData>
      <sheetData sheetId="73">
        <row r="62">
          <cell r="E62">
            <v>7133341</v>
          </cell>
        </row>
      </sheetData>
      <sheetData sheetId="74">
        <row r="62">
          <cell r="E62">
            <v>7133341</v>
          </cell>
        </row>
      </sheetData>
      <sheetData sheetId="75">
        <row r="62">
          <cell r="E62">
            <v>7133341</v>
          </cell>
        </row>
      </sheetData>
      <sheetData sheetId="76">
        <row r="62">
          <cell r="E62">
            <v>7133341</v>
          </cell>
        </row>
      </sheetData>
      <sheetData sheetId="77">
        <row r="62">
          <cell r="E62">
            <v>7133341</v>
          </cell>
        </row>
      </sheetData>
      <sheetData sheetId="78">
        <row r="62">
          <cell r="E62">
            <v>7133341</v>
          </cell>
        </row>
      </sheetData>
      <sheetData sheetId="79">
        <row r="62">
          <cell r="E62">
            <v>7133341</v>
          </cell>
        </row>
      </sheetData>
      <sheetData sheetId="80">
        <row r="62">
          <cell r="E62">
            <v>7133341</v>
          </cell>
        </row>
      </sheetData>
      <sheetData sheetId="81">
        <row r="62">
          <cell r="E62">
            <v>7133341</v>
          </cell>
        </row>
      </sheetData>
      <sheetData sheetId="82">
        <row r="62">
          <cell r="E62">
            <v>7133341</v>
          </cell>
        </row>
      </sheetData>
      <sheetData sheetId="83">
        <row r="62">
          <cell r="E62">
            <v>7133341</v>
          </cell>
        </row>
      </sheetData>
      <sheetData sheetId="84">
        <row r="62">
          <cell r="E62">
            <v>7133341</v>
          </cell>
        </row>
      </sheetData>
      <sheetData sheetId="85">
        <row r="62">
          <cell r="E62">
            <v>7133341</v>
          </cell>
        </row>
      </sheetData>
      <sheetData sheetId="86">
        <row r="62">
          <cell r="E62">
            <v>7133341</v>
          </cell>
        </row>
      </sheetData>
      <sheetData sheetId="87">
        <row r="62">
          <cell r="E62">
            <v>7133341</v>
          </cell>
        </row>
      </sheetData>
      <sheetData sheetId="88">
        <row r="62">
          <cell r="E62">
            <v>7133341</v>
          </cell>
        </row>
      </sheetData>
      <sheetData sheetId="89">
        <row r="62">
          <cell r="E62">
            <v>7133341</v>
          </cell>
        </row>
      </sheetData>
      <sheetData sheetId="90">
        <row r="62">
          <cell r="E62">
            <v>7133341</v>
          </cell>
        </row>
      </sheetData>
      <sheetData sheetId="91">
        <row r="62">
          <cell r="E62">
            <v>7133341</v>
          </cell>
        </row>
      </sheetData>
      <sheetData sheetId="92">
        <row r="62">
          <cell r="E62">
            <v>7133341</v>
          </cell>
        </row>
      </sheetData>
      <sheetData sheetId="93">
        <row r="62">
          <cell r="E62">
            <v>7133341</v>
          </cell>
        </row>
      </sheetData>
      <sheetData sheetId="94">
        <row r="62">
          <cell r="E62">
            <v>7133341</v>
          </cell>
        </row>
      </sheetData>
      <sheetData sheetId="95">
        <row r="62">
          <cell r="E62">
            <v>7133341</v>
          </cell>
        </row>
      </sheetData>
      <sheetData sheetId="96">
        <row r="62">
          <cell r="E62">
            <v>7133341</v>
          </cell>
        </row>
      </sheetData>
      <sheetData sheetId="97">
        <row r="62">
          <cell r="E62">
            <v>7133341</v>
          </cell>
        </row>
      </sheetData>
      <sheetData sheetId="98">
        <row r="62">
          <cell r="E62">
            <v>7133341</v>
          </cell>
        </row>
      </sheetData>
      <sheetData sheetId="99">
        <row r="62">
          <cell r="E62">
            <v>7133341</v>
          </cell>
        </row>
      </sheetData>
      <sheetData sheetId="100">
        <row r="62">
          <cell r="E62">
            <v>7133341</v>
          </cell>
        </row>
      </sheetData>
      <sheetData sheetId="101">
        <row r="62">
          <cell r="E62">
            <v>7133341</v>
          </cell>
        </row>
      </sheetData>
      <sheetData sheetId="102">
        <row r="62">
          <cell r="E62">
            <v>7133341</v>
          </cell>
        </row>
      </sheetData>
      <sheetData sheetId="103">
        <row r="62">
          <cell r="E62">
            <v>7133341</v>
          </cell>
        </row>
      </sheetData>
      <sheetData sheetId="104">
        <row r="62">
          <cell r="E62">
            <v>7133341</v>
          </cell>
        </row>
      </sheetData>
      <sheetData sheetId="105">
        <row r="62">
          <cell r="E62">
            <v>7133341</v>
          </cell>
        </row>
      </sheetData>
      <sheetData sheetId="106">
        <row r="62">
          <cell r="E62">
            <v>7133341</v>
          </cell>
        </row>
      </sheetData>
      <sheetData sheetId="107">
        <row r="62">
          <cell r="E62">
            <v>7133341</v>
          </cell>
        </row>
      </sheetData>
      <sheetData sheetId="108">
        <row r="62">
          <cell r="E62">
            <v>7133341</v>
          </cell>
        </row>
      </sheetData>
      <sheetData sheetId="109">
        <row r="62">
          <cell r="E62">
            <v>7133341</v>
          </cell>
        </row>
      </sheetData>
      <sheetData sheetId="110">
        <row r="62">
          <cell r="E62">
            <v>7133341</v>
          </cell>
        </row>
      </sheetData>
      <sheetData sheetId="111">
        <row r="62">
          <cell r="E62">
            <v>7133341</v>
          </cell>
        </row>
      </sheetData>
      <sheetData sheetId="112">
        <row r="62">
          <cell r="E62">
            <v>7133341</v>
          </cell>
        </row>
      </sheetData>
      <sheetData sheetId="113">
        <row r="62">
          <cell r="E62">
            <v>7133341</v>
          </cell>
        </row>
      </sheetData>
      <sheetData sheetId="114">
        <row r="62">
          <cell r="E62">
            <v>7133341</v>
          </cell>
        </row>
      </sheetData>
      <sheetData sheetId="115">
        <row r="62">
          <cell r="E62">
            <v>7133341</v>
          </cell>
        </row>
      </sheetData>
      <sheetData sheetId="116">
        <row r="62">
          <cell r="E62">
            <v>7133341</v>
          </cell>
        </row>
      </sheetData>
      <sheetData sheetId="117">
        <row r="62">
          <cell r="E62">
            <v>7133341</v>
          </cell>
        </row>
      </sheetData>
      <sheetData sheetId="118">
        <row r="62">
          <cell r="E62">
            <v>7133341</v>
          </cell>
        </row>
      </sheetData>
      <sheetData sheetId="119">
        <row r="62">
          <cell r="E62">
            <v>7133341</v>
          </cell>
        </row>
      </sheetData>
      <sheetData sheetId="120">
        <row r="62">
          <cell r="E62">
            <v>7133341</v>
          </cell>
        </row>
      </sheetData>
      <sheetData sheetId="121">
        <row r="62">
          <cell r="E62">
            <v>7133341</v>
          </cell>
        </row>
      </sheetData>
      <sheetData sheetId="122">
        <row r="62">
          <cell r="E62">
            <v>7133341</v>
          </cell>
        </row>
      </sheetData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>
        <row r="62">
          <cell r="E62">
            <v>7133341</v>
          </cell>
        </row>
      </sheetData>
      <sheetData sheetId="138">
        <row r="62">
          <cell r="E62">
            <v>7133341</v>
          </cell>
        </row>
      </sheetData>
      <sheetData sheetId="139">
        <row r="62">
          <cell r="E62">
            <v>7133341</v>
          </cell>
        </row>
      </sheetData>
      <sheetData sheetId="140">
        <row r="62">
          <cell r="E62">
            <v>7133341</v>
          </cell>
        </row>
      </sheetData>
      <sheetData sheetId="141" refreshError="1"/>
      <sheetData sheetId="142" refreshError="1"/>
      <sheetData sheetId="143">
        <row r="62">
          <cell r="E62">
            <v>7133341</v>
          </cell>
        </row>
      </sheetData>
      <sheetData sheetId="144">
        <row r="62">
          <cell r="E62">
            <v>7133341</v>
          </cell>
        </row>
      </sheetData>
      <sheetData sheetId="145">
        <row r="62">
          <cell r="E62">
            <v>7133341</v>
          </cell>
        </row>
      </sheetData>
      <sheetData sheetId="146" refreshError="1"/>
      <sheetData sheetId="147" refreshError="1"/>
      <sheetData sheetId="148">
        <row r="62">
          <cell r="E62">
            <v>7133341</v>
          </cell>
        </row>
      </sheetData>
      <sheetData sheetId="149">
        <row r="62">
          <cell r="E62">
            <v>7133341</v>
          </cell>
        </row>
      </sheetData>
      <sheetData sheetId="150">
        <row r="62">
          <cell r="E62">
            <v>7133341</v>
          </cell>
        </row>
      </sheetData>
      <sheetData sheetId="151">
        <row r="62">
          <cell r="E62">
            <v>7133341</v>
          </cell>
        </row>
      </sheetData>
      <sheetData sheetId="152">
        <row r="62">
          <cell r="E62">
            <v>7133341</v>
          </cell>
        </row>
      </sheetData>
      <sheetData sheetId="153" refreshError="1"/>
      <sheetData sheetId="154" refreshError="1"/>
      <sheetData sheetId="155">
        <row r="62">
          <cell r="E62">
            <v>7133341</v>
          </cell>
        </row>
      </sheetData>
      <sheetData sheetId="156">
        <row r="62">
          <cell r="E62">
            <v>7133341</v>
          </cell>
        </row>
      </sheetData>
      <sheetData sheetId="157">
        <row r="62">
          <cell r="E62">
            <v>7133341</v>
          </cell>
        </row>
      </sheetData>
      <sheetData sheetId="158">
        <row r="62">
          <cell r="E62">
            <v>7133341</v>
          </cell>
        </row>
      </sheetData>
      <sheetData sheetId="159">
        <row r="62">
          <cell r="E62">
            <v>7133341</v>
          </cell>
        </row>
      </sheetData>
      <sheetData sheetId="160">
        <row r="62">
          <cell r="E62">
            <v>7133341</v>
          </cell>
        </row>
      </sheetData>
      <sheetData sheetId="161">
        <row r="62">
          <cell r="E62">
            <v>7133341</v>
          </cell>
        </row>
      </sheetData>
      <sheetData sheetId="162">
        <row r="62">
          <cell r="E62">
            <v>7133341</v>
          </cell>
        </row>
      </sheetData>
      <sheetData sheetId="163">
        <row r="62">
          <cell r="E62">
            <v>7133341</v>
          </cell>
        </row>
      </sheetData>
      <sheetData sheetId="164">
        <row r="62">
          <cell r="E62">
            <v>7133341</v>
          </cell>
        </row>
      </sheetData>
      <sheetData sheetId="165">
        <row r="62">
          <cell r="E62">
            <v>7133341</v>
          </cell>
        </row>
      </sheetData>
      <sheetData sheetId="166">
        <row r="62">
          <cell r="E62">
            <v>7133341</v>
          </cell>
        </row>
      </sheetData>
      <sheetData sheetId="167">
        <row r="62">
          <cell r="E62">
            <v>7133341</v>
          </cell>
        </row>
      </sheetData>
      <sheetData sheetId="168">
        <row r="62">
          <cell r="E62">
            <v>7133341</v>
          </cell>
        </row>
      </sheetData>
      <sheetData sheetId="169">
        <row r="62">
          <cell r="E62">
            <v>7133341</v>
          </cell>
        </row>
      </sheetData>
      <sheetData sheetId="170">
        <row r="62">
          <cell r="E62">
            <v>7133341</v>
          </cell>
        </row>
      </sheetData>
      <sheetData sheetId="171">
        <row r="62">
          <cell r="E62">
            <v>7133341</v>
          </cell>
        </row>
      </sheetData>
      <sheetData sheetId="172">
        <row r="62">
          <cell r="E62">
            <v>7133341</v>
          </cell>
        </row>
      </sheetData>
      <sheetData sheetId="173">
        <row r="62">
          <cell r="E62">
            <v>7133341</v>
          </cell>
        </row>
      </sheetData>
      <sheetData sheetId="174">
        <row r="62">
          <cell r="E62">
            <v>7133341</v>
          </cell>
        </row>
      </sheetData>
      <sheetData sheetId="175">
        <row r="62">
          <cell r="E62">
            <v>7133341</v>
          </cell>
        </row>
      </sheetData>
      <sheetData sheetId="176">
        <row r="62">
          <cell r="E62">
            <v>7133341</v>
          </cell>
        </row>
      </sheetData>
      <sheetData sheetId="177">
        <row r="62">
          <cell r="E62">
            <v>7133341</v>
          </cell>
        </row>
      </sheetData>
      <sheetData sheetId="178">
        <row r="62">
          <cell r="E62">
            <v>7133341</v>
          </cell>
        </row>
      </sheetData>
      <sheetData sheetId="179">
        <row r="62">
          <cell r="E62">
            <v>7133341</v>
          </cell>
        </row>
      </sheetData>
      <sheetData sheetId="180">
        <row r="62">
          <cell r="E62">
            <v>7133341</v>
          </cell>
        </row>
      </sheetData>
      <sheetData sheetId="181">
        <row r="62">
          <cell r="E62">
            <v>7133341</v>
          </cell>
        </row>
      </sheetData>
      <sheetData sheetId="182">
        <row r="62">
          <cell r="E62">
            <v>7133341</v>
          </cell>
        </row>
      </sheetData>
      <sheetData sheetId="183">
        <row r="62">
          <cell r="E62">
            <v>7133341</v>
          </cell>
        </row>
      </sheetData>
      <sheetData sheetId="184">
        <row r="62">
          <cell r="E62">
            <v>7133341</v>
          </cell>
        </row>
      </sheetData>
      <sheetData sheetId="185">
        <row r="62">
          <cell r="E62">
            <v>7133341</v>
          </cell>
        </row>
      </sheetData>
      <sheetData sheetId="186">
        <row r="62">
          <cell r="E62">
            <v>7133341</v>
          </cell>
        </row>
      </sheetData>
      <sheetData sheetId="187">
        <row r="62">
          <cell r="E62">
            <v>7133341</v>
          </cell>
        </row>
      </sheetData>
      <sheetData sheetId="188">
        <row r="62">
          <cell r="E62">
            <v>7133341</v>
          </cell>
        </row>
      </sheetData>
      <sheetData sheetId="189">
        <row r="62">
          <cell r="E62">
            <v>7133341</v>
          </cell>
        </row>
      </sheetData>
      <sheetData sheetId="190">
        <row r="62">
          <cell r="E62">
            <v>7133341</v>
          </cell>
        </row>
      </sheetData>
      <sheetData sheetId="191">
        <row r="62">
          <cell r="E62">
            <v>7133341</v>
          </cell>
        </row>
      </sheetData>
      <sheetData sheetId="192">
        <row r="62">
          <cell r="E62">
            <v>7133341</v>
          </cell>
        </row>
      </sheetData>
      <sheetData sheetId="193">
        <row r="62">
          <cell r="E62">
            <v>7133341</v>
          </cell>
        </row>
      </sheetData>
      <sheetData sheetId="194">
        <row r="62">
          <cell r="E62">
            <v>7133341</v>
          </cell>
        </row>
      </sheetData>
      <sheetData sheetId="195">
        <row r="62">
          <cell r="E62">
            <v>7133341</v>
          </cell>
        </row>
      </sheetData>
      <sheetData sheetId="196">
        <row r="62">
          <cell r="E62">
            <v>7133341</v>
          </cell>
        </row>
      </sheetData>
      <sheetData sheetId="197">
        <row r="62">
          <cell r="E62">
            <v>7133341</v>
          </cell>
        </row>
      </sheetData>
      <sheetData sheetId="198">
        <row r="62">
          <cell r="E62">
            <v>7133341</v>
          </cell>
        </row>
      </sheetData>
      <sheetData sheetId="199">
        <row r="62">
          <cell r="E62">
            <v>7133341</v>
          </cell>
        </row>
      </sheetData>
      <sheetData sheetId="200">
        <row r="62">
          <cell r="E62">
            <v>7133341</v>
          </cell>
        </row>
      </sheetData>
      <sheetData sheetId="201">
        <row r="62">
          <cell r="E62">
            <v>7133341</v>
          </cell>
        </row>
      </sheetData>
      <sheetData sheetId="202">
        <row r="62">
          <cell r="E62">
            <v>7133341</v>
          </cell>
        </row>
      </sheetData>
      <sheetData sheetId="203">
        <row r="62">
          <cell r="E62">
            <v>7133341</v>
          </cell>
        </row>
      </sheetData>
      <sheetData sheetId="204">
        <row r="62">
          <cell r="E62">
            <v>7133341</v>
          </cell>
        </row>
      </sheetData>
      <sheetData sheetId="205">
        <row r="62">
          <cell r="E62">
            <v>7133341</v>
          </cell>
        </row>
      </sheetData>
      <sheetData sheetId="206">
        <row r="62">
          <cell r="E62">
            <v>7133341</v>
          </cell>
        </row>
      </sheetData>
      <sheetData sheetId="207">
        <row r="62">
          <cell r="E62">
            <v>7133341</v>
          </cell>
        </row>
      </sheetData>
      <sheetData sheetId="208">
        <row r="62">
          <cell r="E62">
            <v>7133341</v>
          </cell>
        </row>
      </sheetData>
      <sheetData sheetId="209">
        <row r="62">
          <cell r="E62">
            <v>7133341</v>
          </cell>
        </row>
      </sheetData>
      <sheetData sheetId="210">
        <row r="62">
          <cell r="E62">
            <v>7133341</v>
          </cell>
        </row>
      </sheetData>
      <sheetData sheetId="211">
        <row r="62">
          <cell r="E62">
            <v>7133341</v>
          </cell>
        </row>
      </sheetData>
      <sheetData sheetId="212">
        <row r="62">
          <cell r="E62">
            <v>7133341</v>
          </cell>
        </row>
      </sheetData>
      <sheetData sheetId="213">
        <row r="62">
          <cell r="E62">
            <v>7133341</v>
          </cell>
        </row>
      </sheetData>
      <sheetData sheetId="214">
        <row r="62">
          <cell r="E62">
            <v>7133341</v>
          </cell>
        </row>
      </sheetData>
      <sheetData sheetId="215">
        <row r="62">
          <cell r="E62">
            <v>7133341</v>
          </cell>
        </row>
      </sheetData>
      <sheetData sheetId="216">
        <row r="62">
          <cell r="E62">
            <v>7133341</v>
          </cell>
        </row>
      </sheetData>
      <sheetData sheetId="217">
        <row r="62">
          <cell r="E62">
            <v>7133341</v>
          </cell>
        </row>
      </sheetData>
      <sheetData sheetId="218" refreshError="1"/>
      <sheetData sheetId="219">
        <row r="62">
          <cell r="E62">
            <v>7133341</v>
          </cell>
        </row>
      </sheetData>
      <sheetData sheetId="220">
        <row r="62">
          <cell r="E62">
            <v>7133341</v>
          </cell>
        </row>
      </sheetData>
      <sheetData sheetId="221">
        <row r="62">
          <cell r="E62">
            <v>7133341</v>
          </cell>
        </row>
      </sheetData>
      <sheetData sheetId="222">
        <row r="62">
          <cell r="E62">
            <v>7133341</v>
          </cell>
        </row>
      </sheetData>
      <sheetData sheetId="223">
        <row r="62">
          <cell r="E62">
            <v>7133341</v>
          </cell>
        </row>
      </sheetData>
      <sheetData sheetId="224">
        <row r="62">
          <cell r="E62">
            <v>7133341</v>
          </cell>
        </row>
      </sheetData>
      <sheetData sheetId="225">
        <row r="62">
          <cell r="E62">
            <v>7133341</v>
          </cell>
        </row>
      </sheetData>
      <sheetData sheetId="226">
        <row r="62">
          <cell r="E62">
            <v>7133341</v>
          </cell>
        </row>
      </sheetData>
      <sheetData sheetId="227">
        <row r="62">
          <cell r="E62">
            <v>7133341</v>
          </cell>
        </row>
      </sheetData>
      <sheetData sheetId="228">
        <row r="62">
          <cell r="E62">
            <v>7133341</v>
          </cell>
        </row>
      </sheetData>
      <sheetData sheetId="229">
        <row r="62">
          <cell r="E62">
            <v>7133341</v>
          </cell>
        </row>
      </sheetData>
      <sheetData sheetId="230">
        <row r="62">
          <cell r="E62">
            <v>7133341</v>
          </cell>
        </row>
      </sheetData>
      <sheetData sheetId="231">
        <row r="62">
          <cell r="E62">
            <v>7133341</v>
          </cell>
        </row>
      </sheetData>
      <sheetData sheetId="232">
        <row r="62">
          <cell r="E62">
            <v>7133341</v>
          </cell>
        </row>
      </sheetData>
      <sheetData sheetId="233">
        <row r="62">
          <cell r="E62">
            <v>7133341</v>
          </cell>
        </row>
      </sheetData>
      <sheetData sheetId="234">
        <row r="62">
          <cell r="E62">
            <v>7133341</v>
          </cell>
        </row>
      </sheetData>
      <sheetData sheetId="235">
        <row r="62">
          <cell r="E62">
            <v>7133341</v>
          </cell>
        </row>
      </sheetData>
      <sheetData sheetId="236">
        <row r="62">
          <cell r="E62">
            <v>7133341</v>
          </cell>
        </row>
      </sheetData>
      <sheetData sheetId="237">
        <row r="62">
          <cell r="E62">
            <v>7133341</v>
          </cell>
        </row>
      </sheetData>
      <sheetData sheetId="238">
        <row r="62">
          <cell r="E62">
            <v>7133341</v>
          </cell>
        </row>
      </sheetData>
      <sheetData sheetId="239">
        <row r="62">
          <cell r="E62">
            <v>7133341</v>
          </cell>
        </row>
      </sheetData>
      <sheetData sheetId="240">
        <row r="62">
          <cell r="E62">
            <v>7133341</v>
          </cell>
        </row>
      </sheetData>
      <sheetData sheetId="241">
        <row r="62">
          <cell r="E62">
            <v>7133341</v>
          </cell>
        </row>
      </sheetData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>
        <row r="62">
          <cell r="E62">
            <v>7133341</v>
          </cell>
        </row>
      </sheetData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>
        <row r="62">
          <cell r="E62">
            <v>7133341</v>
          </cell>
        </row>
      </sheetData>
      <sheetData sheetId="324">
        <row r="62">
          <cell r="E62">
            <v>7133341</v>
          </cell>
        </row>
      </sheetData>
      <sheetData sheetId="325">
        <row r="62">
          <cell r="E62">
            <v>7133341</v>
          </cell>
        </row>
      </sheetData>
      <sheetData sheetId="326">
        <row r="62">
          <cell r="E62">
            <v>7133341</v>
          </cell>
        </row>
      </sheetData>
      <sheetData sheetId="327">
        <row r="62">
          <cell r="E62">
            <v>7133341</v>
          </cell>
        </row>
      </sheetData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>
        <row r="62">
          <cell r="E62">
            <v>7133341</v>
          </cell>
        </row>
      </sheetData>
      <sheetData sheetId="359">
        <row r="62">
          <cell r="E62">
            <v>7133341</v>
          </cell>
        </row>
      </sheetData>
      <sheetData sheetId="360">
        <row r="62">
          <cell r="E62">
            <v>7133341</v>
          </cell>
        </row>
      </sheetData>
      <sheetData sheetId="361">
        <row r="62">
          <cell r="E62">
            <v>7133341</v>
          </cell>
        </row>
      </sheetData>
      <sheetData sheetId="362">
        <row r="62">
          <cell r="E62">
            <v>7133341</v>
          </cell>
        </row>
      </sheetData>
      <sheetData sheetId="363">
        <row r="62">
          <cell r="E62">
            <v>7133341</v>
          </cell>
        </row>
      </sheetData>
      <sheetData sheetId="364">
        <row r="62">
          <cell r="E62">
            <v>7133341</v>
          </cell>
        </row>
      </sheetData>
      <sheetData sheetId="365">
        <row r="62">
          <cell r="E62">
            <v>7133341</v>
          </cell>
        </row>
      </sheetData>
      <sheetData sheetId="366">
        <row r="62">
          <cell r="E62">
            <v>7133341</v>
          </cell>
        </row>
      </sheetData>
      <sheetData sheetId="367">
        <row r="62">
          <cell r="E62">
            <v>7133341</v>
          </cell>
        </row>
      </sheetData>
      <sheetData sheetId="368">
        <row r="62">
          <cell r="E62">
            <v>7133341</v>
          </cell>
        </row>
      </sheetData>
      <sheetData sheetId="369">
        <row r="62">
          <cell r="E62">
            <v>7133341</v>
          </cell>
        </row>
      </sheetData>
      <sheetData sheetId="370"/>
      <sheetData sheetId="371"/>
      <sheetData sheetId="372">
        <row r="62">
          <cell r="E62">
            <v>7133341</v>
          </cell>
        </row>
      </sheetData>
      <sheetData sheetId="373">
        <row r="62">
          <cell r="E62">
            <v>7133341</v>
          </cell>
        </row>
      </sheetData>
      <sheetData sheetId="374">
        <row r="62">
          <cell r="E62">
            <v>7133341</v>
          </cell>
        </row>
      </sheetData>
      <sheetData sheetId="375">
        <row r="62">
          <cell r="E62">
            <v>7133341</v>
          </cell>
        </row>
      </sheetData>
      <sheetData sheetId="376">
        <row r="62">
          <cell r="E62">
            <v>7133341</v>
          </cell>
        </row>
      </sheetData>
      <sheetData sheetId="377">
        <row r="62">
          <cell r="E62">
            <v>7133341</v>
          </cell>
        </row>
      </sheetData>
      <sheetData sheetId="378">
        <row r="62">
          <cell r="E62">
            <v>7133341</v>
          </cell>
        </row>
      </sheetData>
      <sheetData sheetId="379">
        <row r="62">
          <cell r="E62">
            <v>7133341</v>
          </cell>
        </row>
      </sheetData>
      <sheetData sheetId="380">
        <row r="62">
          <cell r="E62">
            <v>7133341</v>
          </cell>
        </row>
      </sheetData>
      <sheetData sheetId="381">
        <row r="62">
          <cell r="E62">
            <v>7133341</v>
          </cell>
        </row>
      </sheetData>
      <sheetData sheetId="382">
        <row r="62">
          <cell r="E62">
            <v>7133341</v>
          </cell>
        </row>
      </sheetData>
      <sheetData sheetId="383">
        <row r="62">
          <cell r="E62">
            <v>7133341</v>
          </cell>
        </row>
      </sheetData>
      <sheetData sheetId="384">
        <row r="62">
          <cell r="E62">
            <v>7133341</v>
          </cell>
        </row>
      </sheetData>
      <sheetData sheetId="385">
        <row r="62">
          <cell r="E62">
            <v>7133341</v>
          </cell>
        </row>
      </sheetData>
      <sheetData sheetId="386">
        <row r="62">
          <cell r="E62">
            <v>7133341</v>
          </cell>
        </row>
      </sheetData>
      <sheetData sheetId="387">
        <row r="62">
          <cell r="E62">
            <v>7133341</v>
          </cell>
        </row>
      </sheetData>
      <sheetData sheetId="388">
        <row r="62">
          <cell r="E62">
            <v>7133341</v>
          </cell>
        </row>
      </sheetData>
      <sheetData sheetId="389">
        <row r="62">
          <cell r="E62">
            <v>7133341</v>
          </cell>
        </row>
      </sheetData>
      <sheetData sheetId="390">
        <row r="62">
          <cell r="E62">
            <v>7133341</v>
          </cell>
        </row>
      </sheetData>
      <sheetData sheetId="391">
        <row r="62">
          <cell r="E62">
            <v>7133341</v>
          </cell>
        </row>
      </sheetData>
      <sheetData sheetId="392">
        <row r="62">
          <cell r="E62">
            <v>7133341</v>
          </cell>
        </row>
      </sheetData>
      <sheetData sheetId="393">
        <row r="62">
          <cell r="E62">
            <v>7133341</v>
          </cell>
        </row>
      </sheetData>
      <sheetData sheetId="394">
        <row r="62">
          <cell r="E62">
            <v>7133341</v>
          </cell>
        </row>
      </sheetData>
      <sheetData sheetId="395">
        <row r="62">
          <cell r="E62">
            <v>7133341</v>
          </cell>
        </row>
      </sheetData>
      <sheetData sheetId="396">
        <row r="62">
          <cell r="E62">
            <v>7133341</v>
          </cell>
        </row>
      </sheetData>
      <sheetData sheetId="397">
        <row r="62">
          <cell r="E62">
            <v>7133341</v>
          </cell>
        </row>
      </sheetData>
      <sheetData sheetId="398">
        <row r="62">
          <cell r="E62">
            <v>7133341</v>
          </cell>
        </row>
      </sheetData>
      <sheetData sheetId="399">
        <row r="62">
          <cell r="E62">
            <v>7133341</v>
          </cell>
        </row>
      </sheetData>
      <sheetData sheetId="400"/>
      <sheetData sheetId="401"/>
      <sheetData sheetId="402"/>
      <sheetData sheetId="403">
        <row r="62">
          <cell r="E62">
            <v>7133341</v>
          </cell>
        </row>
      </sheetData>
      <sheetData sheetId="404">
        <row r="62">
          <cell r="E62">
            <v>7133341</v>
          </cell>
        </row>
      </sheetData>
      <sheetData sheetId="405">
        <row r="62">
          <cell r="E62">
            <v>7133341</v>
          </cell>
        </row>
      </sheetData>
      <sheetData sheetId="406">
        <row r="62">
          <cell r="E62">
            <v>7133341</v>
          </cell>
        </row>
      </sheetData>
      <sheetData sheetId="407">
        <row r="62">
          <cell r="E62">
            <v>7133341</v>
          </cell>
        </row>
      </sheetData>
      <sheetData sheetId="408">
        <row r="62">
          <cell r="E62">
            <v>7133341</v>
          </cell>
        </row>
      </sheetData>
      <sheetData sheetId="409">
        <row r="62">
          <cell r="E62">
            <v>7133341</v>
          </cell>
        </row>
      </sheetData>
      <sheetData sheetId="410">
        <row r="62">
          <cell r="E62">
            <v>7133341</v>
          </cell>
        </row>
      </sheetData>
      <sheetData sheetId="411">
        <row r="62">
          <cell r="E62">
            <v>7133341</v>
          </cell>
        </row>
      </sheetData>
      <sheetData sheetId="412">
        <row r="62">
          <cell r="E62">
            <v>7133341</v>
          </cell>
        </row>
      </sheetData>
      <sheetData sheetId="413">
        <row r="62">
          <cell r="E62">
            <v>7133341</v>
          </cell>
        </row>
      </sheetData>
      <sheetData sheetId="414">
        <row r="62">
          <cell r="E62">
            <v>7133341</v>
          </cell>
        </row>
      </sheetData>
      <sheetData sheetId="415">
        <row r="62">
          <cell r="E62">
            <v>7133341</v>
          </cell>
        </row>
      </sheetData>
      <sheetData sheetId="416">
        <row r="62">
          <cell r="E62">
            <v>7133341</v>
          </cell>
        </row>
      </sheetData>
      <sheetData sheetId="417"/>
      <sheetData sheetId="418"/>
      <sheetData sheetId="419"/>
      <sheetData sheetId="420"/>
      <sheetData sheetId="421" refreshError="1"/>
      <sheetData sheetId="422">
        <row r="62">
          <cell r="E62">
            <v>7133341</v>
          </cell>
        </row>
      </sheetData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 refreshError="1"/>
      <sheetData sheetId="445" refreshError="1"/>
      <sheetData sheetId="446" refreshError="1"/>
      <sheetData sheetId="447"/>
      <sheetData sheetId="448"/>
      <sheetData sheetId="449">
        <row r="62">
          <cell r="E62">
            <v>7133341</v>
          </cell>
        </row>
      </sheetData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>
        <row r="62">
          <cell r="E62">
            <v>7133341</v>
          </cell>
        </row>
      </sheetData>
      <sheetData sheetId="476"/>
      <sheetData sheetId="477"/>
      <sheetData sheetId="478">
        <row r="62">
          <cell r="E62">
            <v>7133341</v>
          </cell>
        </row>
      </sheetData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62">
          <cell r="E62">
            <v>7133341</v>
          </cell>
        </row>
      </sheetData>
      <sheetData sheetId="514"/>
      <sheetData sheetId="515"/>
      <sheetData sheetId="516">
        <row r="62">
          <cell r="E62">
            <v>7133341</v>
          </cell>
        </row>
      </sheetData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>
        <row r="62">
          <cell r="E62">
            <v>7133341</v>
          </cell>
        </row>
      </sheetData>
      <sheetData sheetId="543"/>
      <sheetData sheetId="544"/>
      <sheetData sheetId="545">
        <row r="62">
          <cell r="E62">
            <v>7133341</v>
          </cell>
        </row>
      </sheetData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/>
      <sheetData sheetId="613"/>
      <sheetData sheetId="614">
        <row r="62">
          <cell r="E62">
            <v>7133341</v>
          </cell>
        </row>
      </sheetData>
      <sheetData sheetId="615"/>
      <sheetData sheetId="616"/>
      <sheetData sheetId="617"/>
      <sheetData sheetId="618">
        <row r="62">
          <cell r="E62">
            <v>7133341</v>
          </cell>
        </row>
      </sheetData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>
        <row r="62">
          <cell r="E62">
            <v>7133341</v>
          </cell>
        </row>
      </sheetData>
      <sheetData sheetId="629">
        <row r="62">
          <cell r="E62">
            <v>7133341</v>
          </cell>
        </row>
      </sheetData>
      <sheetData sheetId="630"/>
      <sheetData sheetId="631">
        <row r="62">
          <cell r="E62">
            <v>7133341</v>
          </cell>
        </row>
      </sheetData>
      <sheetData sheetId="632">
        <row r="62">
          <cell r="E62">
            <v>7133341</v>
          </cell>
        </row>
      </sheetData>
      <sheetData sheetId="633">
        <row r="62">
          <cell r="E62">
            <v>7133341</v>
          </cell>
        </row>
      </sheetData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>
        <row r="62">
          <cell r="E62">
            <v>7133341</v>
          </cell>
        </row>
      </sheetData>
      <sheetData sheetId="643"/>
      <sheetData sheetId="644">
        <row r="62">
          <cell r="E62">
            <v>7133341</v>
          </cell>
        </row>
      </sheetData>
      <sheetData sheetId="645">
        <row r="62">
          <cell r="E62">
            <v>7133341</v>
          </cell>
        </row>
      </sheetData>
      <sheetData sheetId="646">
        <row r="62">
          <cell r="E62">
            <v>7133341</v>
          </cell>
        </row>
      </sheetData>
      <sheetData sheetId="647"/>
      <sheetData sheetId="648"/>
      <sheetData sheetId="649">
        <row r="62">
          <cell r="E62">
            <v>7133341</v>
          </cell>
        </row>
      </sheetData>
      <sheetData sheetId="650"/>
      <sheetData sheetId="651"/>
      <sheetData sheetId="652">
        <row r="62">
          <cell r="E62">
            <v>7133341</v>
          </cell>
        </row>
      </sheetData>
      <sheetData sheetId="653">
        <row r="62">
          <cell r="E62">
            <v>7133341</v>
          </cell>
        </row>
      </sheetData>
      <sheetData sheetId="654"/>
      <sheetData sheetId="655"/>
      <sheetData sheetId="656">
        <row r="62">
          <cell r="E62">
            <v>7133341</v>
          </cell>
        </row>
      </sheetData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>
        <row r="62">
          <cell r="E62">
            <v>7133341</v>
          </cell>
        </row>
      </sheetData>
      <sheetData sheetId="666">
        <row r="62">
          <cell r="E62">
            <v>7133341</v>
          </cell>
        </row>
      </sheetData>
      <sheetData sheetId="667">
        <row r="62">
          <cell r="E62">
            <v>7133341</v>
          </cell>
        </row>
      </sheetData>
      <sheetData sheetId="668">
        <row r="62">
          <cell r="E62">
            <v>7133341</v>
          </cell>
        </row>
      </sheetData>
      <sheetData sheetId="669">
        <row r="62">
          <cell r="E62">
            <v>7133341</v>
          </cell>
        </row>
      </sheetData>
      <sheetData sheetId="670">
        <row r="62">
          <cell r="E62">
            <v>7133341</v>
          </cell>
        </row>
      </sheetData>
      <sheetData sheetId="671">
        <row r="62">
          <cell r="E62">
            <v>7133341</v>
          </cell>
        </row>
      </sheetData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/>
      <sheetData sheetId="728">
        <row r="62">
          <cell r="E62">
            <v>7133341</v>
          </cell>
        </row>
      </sheetData>
      <sheetData sheetId="729">
        <row r="62">
          <cell r="E62">
            <v>7133341</v>
          </cell>
        </row>
      </sheetData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>
        <row r="62">
          <cell r="E62">
            <v>7133341</v>
          </cell>
        </row>
      </sheetData>
      <sheetData sheetId="743">
        <row r="62">
          <cell r="E62">
            <v>7133341</v>
          </cell>
        </row>
      </sheetData>
      <sheetData sheetId="744"/>
      <sheetData sheetId="745">
        <row r="62">
          <cell r="E62">
            <v>7133341</v>
          </cell>
        </row>
      </sheetData>
      <sheetData sheetId="746">
        <row r="62">
          <cell r="E62">
            <v>7133341</v>
          </cell>
        </row>
      </sheetData>
      <sheetData sheetId="747">
        <row r="62">
          <cell r="E62">
            <v>7133341</v>
          </cell>
        </row>
      </sheetData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>
        <row r="62">
          <cell r="E62">
            <v>7133341</v>
          </cell>
        </row>
      </sheetData>
      <sheetData sheetId="757"/>
      <sheetData sheetId="758">
        <row r="62">
          <cell r="E62">
            <v>7133341</v>
          </cell>
        </row>
      </sheetData>
      <sheetData sheetId="759">
        <row r="62">
          <cell r="E62">
            <v>7133341</v>
          </cell>
        </row>
      </sheetData>
      <sheetData sheetId="760">
        <row r="62">
          <cell r="E62">
            <v>7133341</v>
          </cell>
        </row>
      </sheetData>
      <sheetData sheetId="761"/>
      <sheetData sheetId="762"/>
      <sheetData sheetId="763"/>
      <sheetData sheetId="764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 refreshError="1"/>
      <sheetData sheetId="775" refreshError="1"/>
      <sheetData sheetId="776" refreshError="1"/>
      <sheetData sheetId="777">
        <row r="62">
          <cell r="E62">
            <v>7133341</v>
          </cell>
        </row>
      </sheetData>
      <sheetData sheetId="778">
        <row r="62">
          <cell r="E62">
            <v>7133341</v>
          </cell>
        </row>
      </sheetData>
      <sheetData sheetId="779">
        <row r="62">
          <cell r="E62">
            <v>7133341</v>
          </cell>
        </row>
      </sheetData>
      <sheetData sheetId="780"/>
      <sheetData sheetId="781">
        <row r="62">
          <cell r="E62">
            <v>7133341</v>
          </cell>
        </row>
      </sheetData>
      <sheetData sheetId="782">
        <row r="62">
          <cell r="E62">
            <v>7133341</v>
          </cell>
        </row>
      </sheetData>
      <sheetData sheetId="783">
        <row r="62">
          <cell r="E62">
            <v>7133341</v>
          </cell>
        </row>
      </sheetData>
      <sheetData sheetId="784"/>
      <sheetData sheetId="785"/>
      <sheetData sheetId="786"/>
      <sheetData sheetId="787"/>
      <sheetData sheetId="788"/>
      <sheetData sheetId="789"/>
      <sheetData sheetId="790"/>
      <sheetData sheetId="791">
        <row r="62">
          <cell r="E62">
            <v>7133341</v>
          </cell>
        </row>
      </sheetData>
      <sheetData sheetId="792">
        <row r="62">
          <cell r="E62">
            <v>7133341</v>
          </cell>
        </row>
      </sheetData>
      <sheetData sheetId="793">
        <row r="62">
          <cell r="E62">
            <v>7133341</v>
          </cell>
        </row>
      </sheetData>
      <sheetData sheetId="794">
        <row r="62">
          <cell r="E62">
            <v>7133341</v>
          </cell>
        </row>
      </sheetData>
      <sheetData sheetId="795">
        <row r="62">
          <cell r="E62">
            <v>7133341</v>
          </cell>
        </row>
      </sheetData>
      <sheetData sheetId="796">
        <row r="62">
          <cell r="E62">
            <v>7133341</v>
          </cell>
        </row>
      </sheetData>
      <sheetData sheetId="797"/>
      <sheetData sheetId="798"/>
      <sheetData sheetId="799"/>
      <sheetData sheetId="800">
        <row r="62">
          <cell r="E62">
            <v>7133341</v>
          </cell>
        </row>
      </sheetData>
      <sheetData sheetId="801">
        <row r="62">
          <cell r="E62">
            <v>7133341</v>
          </cell>
        </row>
      </sheetData>
      <sheetData sheetId="802">
        <row r="62">
          <cell r="E62">
            <v>7133341</v>
          </cell>
        </row>
      </sheetData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>
        <row r="62">
          <cell r="E62">
            <v>7133341</v>
          </cell>
        </row>
      </sheetData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>
        <row r="62">
          <cell r="E62">
            <v>7133341</v>
          </cell>
        </row>
      </sheetData>
      <sheetData sheetId="831"/>
      <sheetData sheetId="832">
        <row r="62">
          <cell r="E62">
            <v>7133341</v>
          </cell>
        </row>
      </sheetData>
      <sheetData sheetId="833">
        <row r="62">
          <cell r="E62">
            <v>7133341</v>
          </cell>
        </row>
      </sheetData>
      <sheetData sheetId="834">
        <row r="62">
          <cell r="E62">
            <v>7133341</v>
          </cell>
        </row>
      </sheetData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>
        <row r="62">
          <cell r="E62">
            <v>7133341</v>
          </cell>
        </row>
      </sheetData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>
        <row r="62">
          <cell r="E62">
            <v>7133341</v>
          </cell>
        </row>
      </sheetData>
      <sheetData sheetId="869"/>
      <sheetData sheetId="870">
        <row r="62">
          <cell r="E62">
            <v>7133341</v>
          </cell>
        </row>
      </sheetData>
      <sheetData sheetId="871">
        <row r="62">
          <cell r="E62">
            <v>7133341</v>
          </cell>
        </row>
      </sheetData>
      <sheetData sheetId="872">
        <row r="62">
          <cell r="E62">
            <v>7133341</v>
          </cell>
        </row>
      </sheetData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>
        <row r="62">
          <cell r="E62">
            <v>7133341</v>
          </cell>
        </row>
      </sheetData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>
        <row r="62">
          <cell r="E62">
            <v>7133341</v>
          </cell>
        </row>
      </sheetData>
      <sheetData sheetId="907"/>
      <sheetData sheetId="908">
        <row r="62">
          <cell r="E62">
            <v>7133341</v>
          </cell>
        </row>
      </sheetData>
      <sheetData sheetId="909">
        <row r="62">
          <cell r="E62">
            <v>7133341</v>
          </cell>
        </row>
      </sheetData>
      <sheetData sheetId="910">
        <row r="62">
          <cell r="E62">
            <v>7133341</v>
          </cell>
        </row>
      </sheetData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>
        <row r="62">
          <cell r="E62">
            <v>7133341</v>
          </cell>
        </row>
      </sheetData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>
        <row r="62">
          <cell r="E62">
            <v>7133341</v>
          </cell>
        </row>
      </sheetData>
      <sheetData sheetId="948"/>
      <sheetData sheetId="949">
        <row r="62">
          <cell r="E62">
            <v>7133341</v>
          </cell>
        </row>
      </sheetData>
      <sheetData sheetId="950">
        <row r="62">
          <cell r="E62">
            <v>7133341</v>
          </cell>
        </row>
      </sheetData>
      <sheetData sheetId="951">
        <row r="62">
          <cell r="E62">
            <v>7133341</v>
          </cell>
        </row>
      </sheetData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>
        <row r="62">
          <cell r="E62">
            <v>7133341</v>
          </cell>
        </row>
      </sheetData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>
        <row r="62">
          <cell r="E62">
            <v>7133341</v>
          </cell>
        </row>
      </sheetData>
      <sheetData sheetId="989"/>
      <sheetData sheetId="990">
        <row r="62">
          <cell r="E62">
            <v>7133341</v>
          </cell>
        </row>
      </sheetData>
      <sheetData sheetId="991">
        <row r="62">
          <cell r="E62">
            <v>7133341</v>
          </cell>
        </row>
      </sheetData>
      <sheetData sheetId="992">
        <row r="62">
          <cell r="E62">
            <v>7133341</v>
          </cell>
        </row>
      </sheetData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"/>
      <sheetName val="BS"/>
      <sheetName val="Sheet2"/>
      <sheetName val="Sheet3"/>
      <sheetName val="Sheet1"/>
      <sheetName val="Bank _Inst_Master"/>
      <sheetName val="Customize Your Invoice"/>
      <sheetName val="Bank__Inst_Master"/>
      <sheetName val="Customize_Your_Invoice"/>
      <sheetName val="Bank__Inst_Master1"/>
      <sheetName val="Customize_Your_Invoice1"/>
      <sheetName val="Bank__Inst_Master2"/>
      <sheetName val="Customize_Your_Invoice2"/>
      <sheetName val="Bank__Inst_Master3"/>
      <sheetName val="Customize_Your_Invoice3"/>
      <sheetName val="Bank__Inst_Master4"/>
      <sheetName val="Customize_Your_Invoice4"/>
      <sheetName val="Bank__Inst_Master5"/>
      <sheetName val="Customize_Your_Invoice5"/>
      <sheetName val="Bank__Inst_Master6"/>
      <sheetName val="Customize_Your_Invoice6"/>
      <sheetName val="Bank__Inst_Master7"/>
      <sheetName val="Customize_Your_Invoice7"/>
      <sheetName val="Bank__Inst_Master8"/>
      <sheetName val="Customize_Your_Invoice8"/>
      <sheetName val="Liquidit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"/>
      <sheetName val="SUM"/>
      <sheetName val="DBU"/>
      <sheetName val="DKA"/>
      <sheetName val="CTG"/>
      <sheetName val="DMD"/>
      <sheetName val="UTT"/>
      <sheetName val="SYL"/>
      <sheetName val="OBU"/>
      <sheetName val="BGD"/>
      <sheetName val="Summary"/>
      <sheetName val="BDT"/>
      <sheetName val="FC"/>
      <sheetName val="LOAN"/>
      <sheetName val="data"/>
      <sheetName val="Ld_Lcy"/>
      <sheetName val="Ld_Fcy"/>
      <sheetName val="Summary2005"/>
      <sheetName val="BDT2005"/>
      <sheetName val="FC2005"/>
      <sheetName val="LOAN2005"/>
      <sheetName val="Rpt_C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1">
          <cell r="A1" t="str">
            <v>LM</v>
          </cell>
          <cell r="B1" t="str">
            <v>DES2</v>
          </cell>
          <cell r="C1" t="str">
            <v>LcyFcy</v>
          </cell>
          <cell r="D1" t="str">
            <v>CDE</v>
          </cell>
          <cell r="E1" t="str">
            <v>DES1</v>
          </cell>
          <cell r="F1" t="str">
            <v>DES3</v>
          </cell>
          <cell r="G1" t="str">
            <v>GMACT</v>
          </cell>
          <cell r="H1" t="str">
            <v>nm</v>
          </cell>
          <cell r="I1" t="str">
            <v>cur</v>
          </cell>
          <cell r="J1" t="str">
            <v>cur_ds</v>
          </cell>
          <cell r="K1" t="str">
            <v>AC</v>
          </cell>
          <cell r="L1" t="str">
            <v>ITM</v>
          </cell>
          <cell r="M1" t="str">
            <v>RPT</v>
          </cell>
          <cell r="N1" t="str">
            <v>BGD</v>
          </cell>
          <cell r="O1" t="str">
            <v>8801</v>
          </cell>
          <cell r="P1" t="str">
            <v>8802</v>
          </cell>
          <cell r="Q1" t="str">
            <v>8803</v>
          </cell>
          <cell r="R1" t="str">
            <v>8804</v>
          </cell>
          <cell r="S1" t="str">
            <v>8805</v>
          </cell>
          <cell r="T1" t="str">
            <v>8893</v>
          </cell>
          <cell r="U1" t="str">
            <v>8894</v>
          </cell>
        </row>
        <row r="2">
          <cell r="A2">
            <v>39082</v>
          </cell>
          <cell r="B2" t="str">
            <v>ASSETS</v>
          </cell>
          <cell r="C2">
            <v>0</v>
          </cell>
          <cell r="D2" t="str">
            <v>AAA</v>
          </cell>
          <cell r="E2" t="str">
            <v>Customer Overdraft</v>
          </cell>
          <cell r="F2" t="str">
            <v>CUSTOMER LOANS</v>
          </cell>
          <cell r="G2" t="str">
            <v>1311000</v>
          </cell>
          <cell r="H2">
            <v>0</v>
          </cell>
          <cell r="I2">
            <v>0</v>
          </cell>
          <cell r="J2">
            <v>0</v>
          </cell>
          <cell r="K2" t="str">
            <v>1</v>
          </cell>
          <cell r="L2" t="str">
            <v>A</v>
          </cell>
          <cell r="M2" t="str">
            <v>A</v>
          </cell>
          <cell r="N2">
            <v>1566330431.7799997</v>
          </cell>
          <cell r="O2">
            <v>0</v>
          </cell>
          <cell r="P2">
            <v>1177415520.8</v>
          </cell>
          <cell r="Q2">
            <v>311987074.81999999</v>
          </cell>
          <cell r="R2">
            <v>0</v>
          </cell>
          <cell r="S2">
            <v>18910090.600000001</v>
          </cell>
          <cell r="T2">
            <v>0</v>
          </cell>
          <cell r="U2">
            <v>0</v>
          </cell>
        </row>
        <row r="3">
          <cell r="A3">
            <v>39082</v>
          </cell>
          <cell r="B3" t="str">
            <v>ASSETS</v>
          </cell>
          <cell r="C3">
            <v>0</v>
          </cell>
          <cell r="D3" t="str">
            <v>AAA</v>
          </cell>
          <cell r="E3" t="str">
            <v>Customer Overdraft</v>
          </cell>
          <cell r="F3" t="str">
            <v>CUSTOMER LOANS</v>
          </cell>
          <cell r="G3" t="str">
            <v>1311005</v>
          </cell>
          <cell r="H3">
            <v>0</v>
          </cell>
          <cell r="I3">
            <v>0</v>
          </cell>
          <cell r="J3">
            <v>0</v>
          </cell>
          <cell r="K3" t="str">
            <v>1</v>
          </cell>
          <cell r="L3" t="str">
            <v>A</v>
          </cell>
          <cell r="M3" t="str">
            <v>A</v>
          </cell>
          <cell r="N3">
            <v>871259.79</v>
          </cell>
          <cell r="O3">
            <v>0</v>
          </cell>
          <cell r="P3">
            <v>871259.79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</row>
        <row r="4">
          <cell r="A4">
            <v>39082</v>
          </cell>
          <cell r="B4" t="str">
            <v>ASSETS</v>
          </cell>
          <cell r="C4">
            <v>0</v>
          </cell>
          <cell r="D4" t="str">
            <v>AAA</v>
          </cell>
          <cell r="E4" t="str">
            <v>Customer Overdraft</v>
          </cell>
          <cell r="F4" t="str">
            <v>CUSTOMER LOANS</v>
          </cell>
          <cell r="G4" t="str">
            <v>1312000</v>
          </cell>
          <cell r="H4">
            <v>0</v>
          </cell>
          <cell r="I4">
            <v>0</v>
          </cell>
          <cell r="J4">
            <v>0</v>
          </cell>
          <cell r="K4" t="str">
            <v>1</v>
          </cell>
          <cell r="L4" t="str">
            <v>A</v>
          </cell>
          <cell r="M4" t="str">
            <v>A</v>
          </cell>
          <cell r="N4">
            <v>143813611.08999997</v>
          </cell>
          <cell r="O4">
            <v>0</v>
          </cell>
          <cell r="P4">
            <v>75125637.280000001</v>
          </cell>
          <cell r="Q4">
            <v>54150078.32</v>
          </cell>
          <cell r="R4">
            <v>0</v>
          </cell>
          <cell r="S4">
            <v>9754380.6899999995</v>
          </cell>
          <cell r="T4">
            <v>0</v>
          </cell>
          <cell r="U4">
            <v>0</v>
          </cell>
        </row>
        <row r="5">
          <cell r="A5">
            <v>39082</v>
          </cell>
          <cell r="B5" t="str">
            <v>ASSETS</v>
          </cell>
          <cell r="C5">
            <v>0</v>
          </cell>
          <cell r="D5" t="str">
            <v>AAA</v>
          </cell>
          <cell r="E5" t="str">
            <v>Customer Overdraft</v>
          </cell>
          <cell r="F5" t="str">
            <v>CUSTOMER LOANS</v>
          </cell>
          <cell r="G5" t="str">
            <v>1312005</v>
          </cell>
          <cell r="H5">
            <v>0</v>
          </cell>
          <cell r="I5">
            <v>0</v>
          </cell>
          <cell r="J5">
            <v>0</v>
          </cell>
          <cell r="K5" t="str">
            <v>1</v>
          </cell>
          <cell r="L5" t="str">
            <v>A</v>
          </cell>
          <cell r="M5" t="str">
            <v>A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</row>
        <row r="6">
          <cell r="A6">
            <v>39082</v>
          </cell>
          <cell r="B6" t="str">
            <v>ASSETS</v>
          </cell>
          <cell r="C6">
            <v>0</v>
          </cell>
          <cell r="D6" t="str">
            <v>AAB</v>
          </cell>
          <cell r="E6" t="str">
            <v>Term Loan</v>
          </cell>
          <cell r="F6" t="str">
            <v>CUSTOMER LOANS</v>
          </cell>
          <cell r="G6" t="str">
            <v>1320315</v>
          </cell>
          <cell r="H6">
            <v>0</v>
          </cell>
          <cell r="I6">
            <v>0</v>
          </cell>
          <cell r="J6">
            <v>0</v>
          </cell>
          <cell r="K6" t="str">
            <v>1</v>
          </cell>
          <cell r="L6" t="str">
            <v>A</v>
          </cell>
          <cell r="M6" t="str">
            <v>A</v>
          </cell>
          <cell r="N6">
            <v>12074892.16</v>
          </cell>
          <cell r="O6">
            <v>0</v>
          </cell>
          <cell r="P6">
            <v>0</v>
          </cell>
          <cell r="Q6">
            <v>5510902.04</v>
          </cell>
          <cell r="R6">
            <v>0</v>
          </cell>
          <cell r="S6">
            <v>5015603.03</v>
          </cell>
          <cell r="T6">
            <v>0</v>
          </cell>
          <cell r="U6">
            <v>0</v>
          </cell>
        </row>
        <row r="7">
          <cell r="A7">
            <v>39082</v>
          </cell>
          <cell r="B7" t="str">
            <v>ASSETS</v>
          </cell>
          <cell r="C7">
            <v>0</v>
          </cell>
          <cell r="D7" t="str">
            <v>AAB</v>
          </cell>
          <cell r="E7" t="str">
            <v>Term Loan</v>
          </cell>
          <cell r="F7" t="str">
            <v>CUSTOMER LOANS</v>
          </cell>
          <cell r="G7" t="str">
            <v>1320500</v>
          </cell>
          <cell r="H7">
            <v>0</v>
          </cell>
          <cell r="I7">
            <v>0</v>
          </cell>
          <cell r="J7">
            <v>0</v>
          </cell>
          <cell r="K7" t="str">
            <v>1</v>
          </cell>
          <cell r="L7" t="str">
            <v>A</v>
          </cell>
          <cell r="M7" t="str">
            <v>A</v>
          </cell>
          <cell r="N7">
            <v>1481621.26</v>
          </cell>
          <cell r="O7">
            <v>0</v>
          </cell>
          <cell r="P7">
            <v>1481621.26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</row>
        <row r="8">
          <cell r="A8">
            <v>39082</v>
          </cell>
          <cell r="B8" t="str">
            <v>ASSETS</v>
          </cell>
          <cell r="C8">
            <v>0</v>
          </cell>
          <cell r="D8" t="str">
            <v>AAB</v>
          </cell>
          <cell r="E8" t="str">
            <v>Term Loan</v>
          </cell>
          <cell r="F8" t="str">
            <v>CUSTOMER LOANS</v>
          </cell>
          <cell r="G8" t="str">
            <v>1320900</v>
          </cell>
          <cell r="H8">
            <v>0</v>
          </cell>
          <cell r="I8">
            <v>0</v>
          </cell>
          <cell r="J8">
            <v>0</v>
          </cell>
          <cell r="K8" t="str">
            <v>1</v>
          </cell>
          <cell r="L8" t="str">
            <v>A</v>
          </cell>
          <cell r="M8" t="str">
            <v>A</v>
          </cell>
          <cell r="N8">
            <v>1499106311.6699998</v>
          </cell>
          <cell r="O8">
            <v>0</v>
          </cell>
          <cell r="P8">
            <v>1209420914.8699999</v>
          </cell>
          <cell r="Q8">
            <v>172490988.27000001</v>
          </cell>
          <cell r="R8">
            <v>0</v>
          </cell>
          <cell r="S8">
            <v>109225797.69</v>
          </cell>
          <cell r="T8">
            <v>0</v>
          </cell>
          <cell r="U8">
            <v>0</v>
          </cell>
        </row>
        <row r="9">
          <cell r="A9">
            <v>39082</v>
          </cell>
          <cell r="B9" t="str">
            <v>ASSETS</v>
          </cell>
          <cell r="C9">
            <v>0</v>
          </cell>
          <cell r="D9" t="str">
            <v>AAB</v>
          </cell>
          <cell r="E9" t="str">
            <v>Term Loan</v>
          </cell>
          <cell r="F9" t="str">
            <v>CUSTOMER LOANS</v>
          </cell>
          <cell r="G9" t="str">
            <v>1320910</v>
          </cell>
          <cell r="H9">
            <v>0</v>
          </cell>
          <cell r="I9">
            <v>0</v>
          </cell>
          <cell r="J9">
            <v>0</v>
          </cell>
          <cell r="K9" t="str">
            <v>1</v>
          </cell>
          <cell r="L9" t="str">
            <v>A</v>
          </cell>
          <cell r="M9" t="str">
            <v>A</v>
          </cell>
          <cell r="N9">
            <v>15219993.91</v>
          </cell>
          <cell r="O9">
            <v>0</v>
          </cell>
          <cell r="P9">
            <v>0</v>
          </cell>
          <cell r="Q9">
            <v>156821.66</v>
          </cell>
          <cell r="R9">
            <v>0</v>
          </cell>
          <cell r="S9">
            <v>13812009.029999999</v>
          </cell>
          <cell r="T9">
            <v>0</v>
          </cell>
          <cell r="U9">
            <v>0</v>
          </cell>
        </row>
        <row r="10">
          <cell r="A10">
            <v>39082</v>
          </cell>
          <cell r="B10" t="str">
            <v>ASSETS</v>
          </cell>
          <cell r="C10">
            <v>0</v>
          </cell>
          <cell r="D10" t="str">
            <v>AAB</v>
          </cell>
          <cell r="E10" t="str">
            <v>Term Loan</v>
          </cell>
          <cell r="F10" t="str">
            <v>CUSTOMER LOANS</v>
          </cell>
          <cell r="G10" t="str">
            <v>1320925</v>
          </cell>
          <cell r="H10">
            <v>0</v>
          </cell>
          <cell r="I10">
            <v>0</v>
          </cell>
          <cell r="J10">
            <v>0</v>
          </cell>
          <cell r="K10" t="str">
            <v>1</v>
          </cell>
          <cell r="L10" t="str">
            <v>A</v>
          </cell>
          <cell r="M10" t="str">
            <v>A</v>
          </cell>
          <cell r="N10">
            <v>1393870295.55</v>
          </cell>
          <cell r="O10">
            <v>0</v>
          </cell>
          <cell r="P10">
            <v>1170281015.75</v>
          </cell>
          <cell r="Q10">
            <v>213589279.80000001</v>
          </cell>
          <cell r="R10">
            <v>0</v>
          </cell>
          <cell r="S10">
            <v>10000000</v>
          </cell>
          <cell r="T10">
            <v>0</v>
          </cell>
          <cell r="U10">
            <v>0</v>
          </cell>
        </row>
        <row r="11">
          <cell r="A11">
            <v>39082</v>
          </cell>
          <cell r="B11" t="str">
            <v>ASSETS</v>
          </cell>
          <cell r="C11">
            <v>0</v>
          </cell>
          <cell r="D11" t="str">
            <v>AAB</v>
          </cell>
          <cell r="E11" t="str">
            <v>Term Loan</v>
          </cell>
          <cell r="F11" t="str">
            <v>CUSTOMER LOANS</v>
          </cell>
          <cell r="G11" t="str">
            <v>1320940</v>
          </cell>
          <cell r="H11">
            <v>0</v>
          </cell>
          <cell r="I11">
            <v>0</v>
          </cell>
          <cell r="J11">
            <v>0</v>
          </cell>
          <cell r="K11" t="str">
            <v>1</v>
          </cell>
          <cell r="L11" t="str">
            <v>A</v>
          </cell>
          <cell r="M11" t="str">
            <v>A</v>
          </cell>
          <cell r="N11">
            <v>106451612.90000001</v>
          </cell>
          <cell r="O11">
            <v>0</v>
          </cell>
          <cell r="P11">
            <v>106451612.90000001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</row>
        <row r="12">
          <cell r="A12">
            <v>39082</v>
          </cell>
          <cell r="B12" t="str">
            <v>ASSETS</v>
          </cell>
          <cell r="C12">
            <v>0</v>
          </cell>
          <cell r="D12" t="str">
            <v>AAB</v>
          </cell>
          <cell r="E12" t="str">
            <v>Term Loan</v>
          </cell>
          <cell r="F12" t="str">
            <v>CUSTOMER LOANS</v>
          </cell>
          <cell r="G12" t="str">
            <v>1321215</v>
          </cell>
          <cell r="H12">
            <v>0</v>
          </cell>
          <cell r="I12">
            <v>0</v>
          </cell>
          <cell r="J12">
            <v>0</v>
          </cell>
          <cell r="K12" t="str">
            <v>1</v>
          </cell>
          <cell r="L12" t="str">
            <v>A</v>
          </cell>
          <cell r="M12" t="str">
            <v>A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</row>
        <row r="13">
          <cell r="A13">
            <v>39082</v>
          </cell>
          <cell r="B13" t="str">
            <v>ASSETS</v>
          </cell>
          <cell r="C13">
            <v>0</v>
          </cell>
          <cell r="D13" t="str">
            <v>AAB</v>
          </cell>
          <cell r="E13" t="str">
            <v>Term Loan</v>
          </cell>
          <cell r="F13" t="str">
            <v>CUSTOMER LOANS</v>
          </cell>
          <cell r="G13" t="str">
            <v>1321225</v>
          </cell>
          <cell r="H13">
            <v>0</v>
          </cell>
          <cell r="I13">
            <v>0</v>
          </cell>
          <cell r="J13">
            <v>0</v>
          </cell>
          <cell r="K13" t="str">
            <v>1</v>
          </cell>
          <cell r="L13" t="str">
            <v>A</v>
          </cell>
          <cell r="M13" t="str">
            <v>A</v>
          </cell>
          <cell r="N13">
            <v>26007086.199999999</v>
          </cell>
          <cell r="O13">
            <v>0</v>
          </cell>
          <cell r="P13">
            <v>26007086.199999999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</row>
        <row r="14">
          <cell r="A14">
            <v>39082</v>
          </cell>
          <cell r="B14" t="str">
            <v>ASSETS</v>
          </cell>
          <cell r="C14">
            <v>0</v>
          </cell>
          <cell r="D14" t="str">
            <v>AAB</v>
          </cell>
          <cell r="E14" t="str">
            <v>Term Loan</v>
          </cell>
          <cell r="F14" t="str">
            <v>CUSTOMER LOANS</v>
          </cell>
          <cell r="G14" t="str">
            <v>1321230</v>
          </cell>
          <cell r="H14">
            <v>0</v>
          </cell>
          <cell r="I14">
            <v>0</v>
          </cell>
          <cell r="J14">
            <v>0</v>
          </cell>
          <cell r="K14" t="str">
            <v>1</v>
          </cell>
          <cell r="L14" t="str">
            <v>A</v>
          </cell>
          <cell r="M14" t="str">
            <v>A</v>
          </cell>
          <cell r="N14">
            <v>12645510.289999999</v>
          </cell>
          <cell r="O14">
            <v>0</v>
          </cell>
          <cell r="P14">
            <v>12645510.289999999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</row>
        <row r="15">
          <cell r="A15">
            <v>39082</v>
          </cell>
          <cell r="B15" t="str">
            <v>ASSETS</v>
          </cell>
          <cell r="C15">
            <v>0</v>
          </cell>
          <cell r="D15" t="str">
            <v>AAB</v>
          </cell>
          <cell r="E15" t="str">
            <v>Term Loan</v>
          </cell>
          <cell r="F15" t="str">
            <v>CUSTOMER LOANS</v>
          </cell>
          <cell r="G15" t="str">
            <v>1321240</v>
          </cell>
          <cell r="H15">
            <v>0</v>
          </cell>
          <cell r="I15">
            <v>0</v>
          </cell>
          <cell r="J15">
            <v>0</v>
          </cell>
          <cell r="K15" t="str">
            <v>1</v>
          </cell>
          <cell r="L15" t="str">
            <v>A</v>
          </cell>
          <cell r="M15" t="str">
            <v>A</v>
          </cell>
          <cell r="N15">
            <v>3298184.89</v>
          </cell>
          <cell r="O15">
            <v>0</v>
          </cell>
          <cell r="P15">
            <v>3298184.89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</row>
        <row r="16">
          <cell r="A16">
            <v>39082</v>
          </cell>
          <cell r="B16" t="str">
            <v>ASSETS</v>
          </cell>
          <cell r="C16">
            <v>0</v>
          </cell>
          <cell r="D16" t="str">
            <v>AAC</v>
          </cell>
          <cell r="E16" t="str">
            <v>Packing Credits</v>
          </cell>
          <cell r="F16" t="str">
            <v>CUSTOMER LOANS</v>
          </cell>
          <cell r="G16" t="str">
            <v>1320400</v>
          </cell>
          <cell r="H16">
            <v>0</v>
          </cell>
          <cell r="I16">
            <v>0</v>
          </cell>
          <cell r="J16">
            <v>0</v>
          </cell>
          <cell r="K16" t="str">
            <v>1</v>
          </cell>
          <cell r="L16" t="str">
            <v>A</v>
          </cell>
          <cell r="M16" t="str">
            <v>A</v>
          </cell>
          <cell r="N16">
            <v>120790322.58</v>
          </cell>
          <cell r="O16">
            <v>0</v>
          </cell>
          <cell r="P16">
            <v>0</v>
          </cell>
          <cell r="Q16">
            <v>120790322.58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</row>
        <row r="17">
          <cell r="A17">
            <v>39082</v>
          </cell>
          <cell r="B17" t="str">
            <v>ASSETS</v>
          </cell>
          <cell r="C17">
            <v>0</v>
          </cell>
          <cell r="D17" t="str">
            <v>AAD</v>
          </cell>
          <cell r="E17" t="str">
            <v>Trust Receipts</v>
          </cell>
          <cell r="F17" t="str">
            <v>CUSTOMER LOANS</v>
          </cell>
          <cell r="G17" t="str">
            <v>1320100</v>
          </cell>
          <cell r="H17">
            <v>0</v>
          </cell>
          <cell r="I17">
            <v>0</v>
          </cell>
          <cell r="J17">
            <v>0</v>
          </cell>
          <cell r="K17" t="str">
            <v>1</v>
          </cell>
          <cell r="L17" t="str">
            <v>A</v>
          </cell>
          <cell r="M17" t="str">
            <v>A</v>
          </cell>
          <cell r="N17">
            <v>1206760964.8099999</v>
          </cell>
          <cell r="O17">
            <v>0</v>
          </cell>
          <cell r="P17">
            <v>831378629.02999997</v>
          </cell>
          <cell r="Q17">
            <v>375382335.77999997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</row>
        <row r="18">
          <cell r="A18">
            <v>39082</v>
          </cell>
          <cell r="B18" t="str">
            <v>ASSETS</v>
          </cell>
          <cell r="C18">
            <v>0</v>
          </cell>
          <cell r="D18" t="str">
            <v>AAE</v>
          </cell>
          <cell r="E18" t="str">
            <v>Import Loans</v>
          </cell>
          <cell r="F18" t="str">
            <v>CUSTOMER LOANS</v>
          </cell>
          <cell r="G18" t="str">
            <v>1320000</v>
          </cell>
          <cell r="H18">
            <v>0</v>
          </cell>
          <cell r="I18">
            <v>0</v>
          </cell>
          <cell r="J18">
            <v>0</v>
          </cell>
          <cell r="K18" t="str">
            <v>1</v>
          </cell>
          <cell r="L18" t="str">
            <v>A</v>
          </cell>
          <cell r="M18" t="str">
            <v>A</v>
          </cell>
          <cell r="N18">
            <v>44032259.770000003</v>
          </cell>
          <cell r="O18">
            <v>0</v>
          </cell>
          <cell r="P18">
            <v>39856806.450000003</v>
          </cell>
          <cell r="Q18">
            <v>4175453.32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</row>
        <row r="19">
          <cell r="A19">
            <v>39082</v>
          </cell>
          <cell r="B19" t="str">
            <v>ASSETS</v>
          </cell>
          <cell r="C19">
            <v>0</v>
          </cell>
          <cell r="D19" t="str">
            <v>AAF</v>
          </cell>
          <cell r="E19" t="str">
            <v>FB-PUR Discount</v>
          </cell>
          <cell r="F19" t="str">
            <v>CUSTOMER LOANS</v>
          </cell>
          <cell r="G19" t="str">
            <v>1040000</v>
          </cell>
          <cell r="H19">
            <v>0</v>
          </cell>
          <cell r="I19">
            <v>0</v>
          </cell>
          <cell r="J19">
            <v>0</v>
          </cell>
          <cell r="K19" t="str">
            <v>1</v>
          </cell>
          <cell r="L19" t="str">
            <v>A</v>
          </cell>
          <cell r="M19" t="str">
            <v>A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</row>
        <row r="20">
          <cell r="A20">
            <v>39082</v>
          </cell>
          <cell r="B20" t="str">
            <v>ASSETS</v>
          </cell>
          <cell r="C20">
            <v>0</v>
          </cell>
          <cell r="D20" t="str">
            <v>AAF</v>
          </cell>
          <cell r="E20" t="str">
            <v>FB-PUR Discount</v>
          </cell>
          <cell r="F20" t="str">
            <v>CUSTOMER LOANS</v>
          </cell>
          <cell r="G20" t="str">
            <v>1341000</v>
          </cell>
          <cell r="H20">
            <v>0</v>
          </cell>
          <cell r="I20">
            <v>0</v>
          </cell>
          <cell r="J20">
            <v>0</v>
          </cell>
          <cell r="K20" t="str">
            <v>1</v>
          </cell>
          <cell r="L20" t="str">
            <v>A</v>
          </cell>
          <cell r="M20" t="str">
            <v>A</v>
          </cell>
          <cell r="N20">
            <v>12584960.02</v>
          </cell>
          <cell r="O20">
            <v>0</v>
          </cell>
          <cell r="P20">
            <v>12584960.02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</row>
        <row r="21">
          <cell r="A21">
            <v>39082</v>
          </cell>
          <cell r="B21" t="str">
            <v>ASSETS</v>
          </cell>
          <cell r="C21">
            <v>0</v>
          </cell>
          <cell r="D21" t="str">
            <v>BAA</v>
          </cell>
          <cell r="E21" t="str">
            <v>Doubtful Debts</v>
          </cell>
          <cell r="F21" t="str">
            <v>Doubtful Debts</v>
          </cell>
          <cell r="G21" t="str">
            <v>1352120</v>
          </cell>
          <cell r="H21">
            <v>0</v>
          </cell>
          <cell r="I21">
            <v>0</v>
          </cell>
          <cell r="J21">
            <v>0</v>
          </cell>
          <cell r="K21" t="str">
            <v>1</v>
          </cell>
          <cell r="L21" t="str">
            <v>A</v>
          </cell>
          <cell r="M21" t="str">
            <v>B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</row>
        <row r="22">
          <cell r="A22">
            <v>39082</v>
          </cell>
          <cell r="B22" t="str">
            <v>ASSETS</v>
          </cell>
          <cell r="C22">
            <v>0</v>
          </cell>
          <cell r="D22" t="str">
            <v>BAA</v>
          </cell>
          <cell r="E22" t="str">
            <v>Doubtful Debts</v>
          </cell>
          <cell r="F22" t="str">
            <v>Doubtful Debts</v>
          </cell>
          <cell r="G22" t="str">
            <v>1353905</v>
          </cell>
          <cell r="H22">
            <v>0</v>
          </cell>
          <cell r="I22">
            <v>0</v>
          </cell>
          <cell r="J22">
            <v>0</v>
          </cell>
          <cell r="K22" t="str">
            <v>1</v>
          </cell>
          <cell r="L22" t="str">
            <v>A</v>
          </cell>
          <cell r="M22" t="str">
            <v>B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</row>
        <row r="23">
          <cell r="A23">
            <v>39082</v>
          </cell>
          <cell r="B23" t="str">
            <v>Borrowings</v>
          </cell>
          <cell r="C23">
            <v>0</v>
          </cell>
          <cell r="D23" t="str">
            <v>DAB</v>
          </cell>
          <cell r="E23" t="str">
            <v>Deposits at Call (inter bank borrowing)</v>
          </cell>
          <cell r="F23" t="str">
            <v>Total Interest Paid</v>
          </cell>
          <cell r="G23" t="str">
            <v>7012100</v>
          </cell>
          <cell r="H23">
            <v>0</v>
          </cell>
          <cell r="I23">
            <v>0</v>
          </cell>
          <cell r="J23">
            <v>0</v>
          </cell>
          <cell r="K23" t="str">
            <v>7</v>
          </cell>
          <cell r="L23">
            <v>0</v>
          </cell>
          <cell r="M23">
            <v>0</v>
          </cell>
          <cell r="N23">
            <v>16106635.369999999</v>
          </cell>
          <cell r="O23">
            <v>0</v>
          </cell>
          <cell r="P23">
            <v>16106635.369999999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</row>
        <row r="24">
          <cell r="A24">
            <v>39082</v>
          </cell>
          <cell r="B24" t="str">
            <v>Borrowings</v>
          </cell>
          <cell r="C24">
            <v>0</v>
          </cell>
          <cell r="D24" t="str">
            <v>DAB</v>
          </cell>
          <cell r="E24" t="str">
            <v>Deposits at Call (inter bank borrowing)</v>
          </cell>
          <cell r="F24" t="str">
            <v>Total Interest Paid</v>
          </cell>
          <cell r="G24" t="str">
            <v>7612115</v>
          </cell>
          <cell r="H24">
            <v>0</v>
          </cell>
          <cell r="I24">
            <v>0</v>
          </cell>
          <cell r="J24">
            <v>0</v>
          </cell>
          <cell r="K24" t="str">
            <v>7</v>
          </cell>
          <cell r="L24">
            <v>0</v>
          </cell>
          <cell r="M24">
            <v>0</v>
          </cell>
          <cell r="N24">
            <v>12698423.16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12698423.16</v>
          </cell>
        </row>
        <row r="25">
          <cell r="A25">
            <v>39082</v>
          </cell>
          <cell r="B25" t="str">
            <v>Borrowings</v>
          </cell>
          <cell r="C25">
            <v>0</v>
          </cell>
          <cell r="D25" t="str">
            <v>DAF</v>
          </cell>
          <cell r="E25" t="str">
            <v>Agents</v>
          </cell>
          <cell r="F25" t="str">
            <v>Total Interest Paid</v>
          </cell>
          <cell r="G25" t="str">
            <v>7012200</v>
          </cell>
          <cell r="H25">
            <v>0</v>
          </cell>
          <cell r="I25">
            <v>0</v>
          </cell>
          <cell r="J25">
            <v>0</v>
          </cell>
          <cell r="K25" t="str">
            <v>7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</row>
        <row r="26">
          <cell r="A26">
            <v>39082</v>
          </cell>
          <cell r="B26" t="str">
            <v>Borrowings</v>
          </cell>
          <cell r="C26">
            <v>0</v>
          </cell>
          <cell r="D26" t="str">
            <v>DAG</v>
          </cell>
          <cell r="E26" t="str">
            <v>Interest Paid Treasury Bills (Repo)</v>
          </cell>
          <cell r="F26" t="str">
            <v>Total Interest Paid</v>
          </cell>
          <cell r="G26" t="str">
            <v>7011245</v>
          </cell>
          <cell r="H26">
            <v>0</v>
          </cell>
          <cell r="I26">
            <v>0</v>
          </cell>
          <cell r="J26">
            <v>0</v>
          </cell>
          <cell r="K26" t="str">
            <v>7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</row>
        <row r="27">
          <cell r="A27">
            <v>39082</v>
          </cell>
          <cell r="B27" t="str">
            <v>Commission Income</v>
          </cell>
          <cell r="C27">
            <v>0</v>
          </cell>
          <cell r="D27" t="str">
            <v>EAA</v>
          </cell>
          <cell r="E27" t="str">
            <v>Letters of Credit</v>
          </cell>
          <cell r="F27" t="str">
            <v>Commission Income</v>
          </cell>
          <cell r="G27" t="str">
            <v>5031000</v>
          </cell>
          <cell r="H27">
            <v>0</v>
          </cell>
          <cell r="I27">
            <v>0</v>
          </cell>
          <cell r="J27">
            <v>0</v>
          </cell>
          <cell r="K27" t="str">
            <v>5</v>
          </cell>
          <cell r="L27">
            <v>0</v>
          </cell>
          <cell r="M27">
            <v>0</v>
          </cell>
          <cell r="N27">
            <v>-36696165.100000001</v>
          </cell>
          <cell r="O27">
            <v>0</v>
          </cell>
          <cell r="P27">
            <v>-25084337.789999999</v>
          </cell>
          <cell r="Q27">
            <v>-11261570.539999999</v>
          </cell>
          <cell r="R27">
            <v>0</v>
          </cell>
          <cell r="S27">
            <v>-350256.77</v>
          </cell>
          <cell r="T27">
            <v>0</v>
          </cell>
          <cell r="U27">
            <v>0</v>
          </cell>
        </row>
        <row r="28">
          <cell r="A28">
            <v>39082</v>
          </cell>
          <cell r="B28" t="str">
            <v>Commission Income</v>
          </cell>
          <cell r="C28">
            <v>0</v>
          </cell>
          <cell r="D28" t="str">
            <v>EAA</v>
          </cell>
          <cell r="E28" t="str">
            <v>Letters of Credit</v>
          </cell>
          <cell r="F28" t="str">
            <v>Commission Income</v>
          </cell>
          <cell r="G28" t="str">
            <v>5031040</v>
          </cell>
          <cell r="H28">
            <v>0</v>
          </cell>
          <cell r="I28">
            <v>0</v>
          </cell>
          <cell r="J28">
            <v>0</v>
          </cell>
          <cell r="K28" t="str">
            <v>5</v>
          </cell>
          <cell r="L28">
            <v>0</v>
          </cell>
          <cell r="M28">
            <v>0</v>
          </cell>
          <cell r="N28">
            <v>-12696963.73</v>
          </cell>
          <cell r="O28">
            <v>0</v>
          </cell>
          <cell r="P28">
            <v>-7104078.4199999999</v>
          </cell>
          <cell r="Q28">
            <v>-5592885.3099999996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</row>
        <row r="29">
          <cell r="A29">
            <v>39082</v>
          </cell>
          <cell r="B29" t="str">
            <v>Commission Income</v>
          </cell>
          <cell r="C29">
            <v>0</v>
          </cell>
          <cell r="D29" t="str">
            <v>EAA</v>
          </cell>
          <cell r="E29" t="str">
            <v>Letters of Credit</v>
          </cell>
          <cell r="F29" t="str">
            <v>Commission Income</v>
          </cell>
          <cell r="G29" t="str">
            <v>5041520</v>
          </cell>
          <cell r="H29">
            <v>0</v>
          </cell>
          <cell r="I29">
            <v>0</v>
          </cell>
          <cell r="J29">
            <v>0</v>
          </cell>
          <cell r="K29" t="str">
            <v>5</v>
          </cell>
          <cell r="L29">
            <v>0</v>
          </cell>
          <cell r="M29">
            <v>0</v>
          </cell>
          <cell r="N29">
            <v>-1362211.22</v>
          </cell>
          <cell r="O29">
            <v>0</v>
          </cell>
          <cell r="P29">
            <v>-1273055.83</v>
          </cell>
          <cell r="Q29">
            <v>-68078.509999999995</v>
          </cell>
          <cell r="R29">
            <v>0</v>
          </cell>
          <cell r="S29">
            <v>-21076.880000000001</v>
          </cell>
          <cell r="T29">
            <v>0</v>
          </cell>
          <cell r="U29">
            <v>0</v>
          </cell>
        </row>
        <row r="30">
          <cell r="A30">
            <v>39082</v>
          </cell>
          <cell r="B30" t="str">
            <v>Commission Income</v>
          </cell>
          <cell r="C30">
            <v>0</v>
          </cell>
          <cell r="D30" t="str">
            <v>EAB</v>
          </cell>
          <cell r="E30" t="str">
            <v>Letters of Guarantee</v>
          </cell>
          <cell r="F30" t="str">
            <v>Commission Income</v>
          </cell>
          <cell r="G30" t="str">
            <v>5031100</v>
          </cell>
          <cell r="H30">
            <v>0</v>
          </cell>
          <cell r="I30">
            <v>0</v>
          </cell>
          <cell r="J30">
            <v>0</v>
          </cell>
          <cell r="K30" t="str">
            <v>5</v>
          </cell>
          <cell r="L30">
            <v>0</v>
          </cell>
          <cell r="M30">
            <v>0</v>
          </cell>
          <cell r="N30">
            <v>-14054985.74</v>
          </cell>
          <cell r="O30">
            <v>0</v>
          </cell>
          <cell r="P30">
            <v>-12405373.85</v>
          </cell>
          <cell r="Q30">
            <v>-1649611.89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</row>
        <row r="31">
          <cell r="A31">
            <v>39082</v>
          </cell>
          <cell r="B31" t="str">
            <v>Commission Income</v>
          </cell>
          <cell r="C31">
            <v>0</v>
          </cell>
          <cell r="D31" t="str">
            <v>EAC</v>
          </cell>
          <cell r="E31" t="str">
            <v>Local Bills Purchased</v>
          </cell>
          <cell r="F31" t="str">
            <v>Commission Income</v>
          </cell>
          <cell r="G31" t="str">
            <v>5031200</v>
          </cell>
          <cell r="H31">
            <v>0</v>
          </cell>
          <cell r="I31">
            <v>0</v>
          </cell>
          <cell r="J31">
            <v>0</v>
          </cell>
          <cell r="K31" t="str">
            <v>5</v>
          </cell>
          <cell r="L31">
            <v>0</v>
          </cell>
          <cell r="M31">
            <v>0</v>
          </cell>
          <cell r="N31">
            <v>-661158.18000000005</v>
          </cell>
          <cell r="O31">
            <v>0</v>
          </cell>
          <cell r="P31">
            <v>0</v>
          </cell>
          <cell r="Q31">
            <v>-661158.18000000005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</row>
        <row r="32">
          <cell r="A32">
            <v>39082</v>
          </cell>
          <cell r="B32" t="str">
            <v>Commission Income</v>
          </cell>
          <cell r="C32">
            <v>0</v>
          </cell>
          <cell r="D32" t="str">
            <v>EAD</v>
          </cell>
          <cell r="E32" t="str">
            <v>Travellers Cheques</v>
          </cell>
          <cell r="F32" t="str">
            <v>Commission Income</v>
          </cell>
          <cell r="G32" t="str">
            <v>5031300</v>
          </cell>
          <cell r="H32">
            <v>0</v>
          </cell>
          <cell r="I32">
            <v>0</v>
          </cell>
          <cell r="J32">
            <v>0</v>
          </cell>
          <cell r="K32" t="str">
            <v>5</v>
          </cell>
          <cell r="L32">
            <v>0</v>
          </cell>
          <cell r="M32">
            <v>0</v>
          </cell>
          <cell r="N32">
            <v>-428221.25</v>
          </cell>
          <cell r="O32">
            <v>0</v>
          </cell>
          <cell r="P32">
            <v>-15423.31</v>
          </cell>
          <cell r="Q32">
            <v>-8900</v>
          </cell>
          <cell r="R32">
            <v>-398364.77</v>
          </cell>
          <cell r="S32">
            <v>-5533.17</v>
          </cell>
          <cell r="T32">
            <v>0</v>
          </cell>
          <cell r="U32">
            <v>0</v>
          </cell>
        </row>
        <row r="33">
          <cell r="A33">
            <v>39082</v>
          </cell>
          <cell r="B33" t="str">
            <v>Commission Income</v>
          </cell>
          <cell r="C33">
            <v>0</v>
          </cell>
          <cell r="D33" t="str">
            <v>EAE</v>
          </cell>
          <cell r="E33" t="str">
            <v>Current Accounts</v>
          </cell>
          <cell r="F33" t="str">
            <v>Commission Income</v>
          </cell>
          <cell r="G33" t="str">
            <v>5031400</v>
          </cell>
          <cell r="H33">
            <v>0</v>
          </cell>
          <cell r="I33">
            <v>0</v>
          </cell>
          <cell r="J33">
            <v>0</v>
          </cell>
          <cell r="K33" t="str">
            <v>5</v>
          </cell>
          <cell r="L33">
            <v>0</v>
          </cell>
          <cell r="M33">
            <v>0</v>
          </cell>
          <cell r="N33">
            <v>-3232398.81</v>
          </cell>
          <cell r="O33">
            <v>0</v>
          </cell>
          <cell r="P33">
            <v>-1806575.67</v>
          </cell>
          <cell r="Q33">
            <v>-365923.41</v>
          </cell>
          <cell r="R33">
            <v>-202452.59</v>
          </cell>
          <cell r="S33">
            <v>-181995.31</v>
          </cell>
          <cell r="T33">
            <v>-692.96</v>
          </cell>
          <cell r="U33">
            <v>-13555.83</v>
          </cell>
        </row>
        <row r="34">
          <cell r="A34">
            <v>39082</v>
          </cell>
          <cell r="B34" t="str">
            <v>Commission Income</v>
          </cell>
          <cell r="C34">
            <v>0</v>
          </cell>
          <cell r="D34" t="str">
            <v>EAF</v>
          </cell>
          <cell r="E34" t="str">
            <v>Foreign Cheques Purchased</v>
          </cell>
          <cell r="F34" t="str">
            <v>Commission Income</v>
          </cell>
          <cell r="G34" t="str">
            <v>5031500</v>
          </cell>
          <cell r="H34">
            <v>0</v>
          </cell>
          <cell r="I34">
            <v>0</v>
          </cell>
          <cell r="J34">
            <v>0</v>
          </cell>
          <cell r="K34" t="str">
            <v>5</v>
          </cell>
          <cell r="L34">
            <v>0</v>
          </cell>
          <cell r="M34">
            <v>0</v>
          </cell>
          <cell r="N34">
            <v>-11994398.75</v>
          </cell>
          <cell r="O34">
            <v>0</v>
          </cell>
          <cell r="P34">
            <v>-6989595.8600000003</v>
          </cell>
          <cell r="Q34">
            <v>-4997048.7300000004</v>
          </cell>
          <cell r="R34">
            <v>0</v>
          </cell>
          <cell r="S34">
            <v>-7754.16</v>
          </cell>
          <cell r="T34">
            <v>0</v>
          </cell>
          <cell r="U34">
            <v>0</v>
          </cell>
        </row>
        <row r="35">
          <cell r="A35">
            <v>39082</v>
          </cell>
          <cell r="B35" t="str">
            <v>Commission Income</v>
          </cell>
          <cell r="C35">
            <v>0</v>
          </cell>
          <cell r="D35" t="str">
            <v>EAF</v>
          </cell>
          <cell r="E35" t="str">
            <v>Foreign Cheques Purchased</v>
          </cell>
          <cell r="F35" t="str">
            <v>Commission Income</v>
          </cell>
          <cell r="G35" t="str">
            <v>5031700</v>
          </cell>
          <cell r="H35">
            <v>0</v>
          </cell>
          <cell r="I35">
            <v>0</v>
          </cell>
          <cell r="J35">
            <v>0</v>
          </cell>
          <cell r="K35" t="str">
            <v>5</v>
          </cell>
          <cell r="L35">
            <v>0</v>
          </cell>
          <cell r="M35">
            <v>0</v>
          </cell>
          <cell r="N35">
            <v>-1228000</v>
          </cell>
          <cell r="O35">
            <v>0</v>
          </cell>
          <cell r="P35">
            <v>-1149000</v>
          </cell>
          <cell r="Q35">
            <v>-79000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</row>
        <row r="36">
          <cell r="A36">
            <v>39082</v>
          </cell>
          <cell r="B36" t="str">
            <v>Commission Income</v>
          </cell>
          <cell r="C36">
            <v>0</v>
          </cell>
          <cell r="D36" t="str">
            <v>EAG</v>
          </cell>
          <cell r="E36" t="str">
            <v>Savings Deposits</v>
          </cell>
          <cell r="F36" t="str">
            <v>Commission Income</v>
          </cell>
          <cell r="G36" t="str">
            <v>5031600</v>
          </cell>
          <cell r="H36">
            <v>0</v>
          </cell>
          <cell r="I36">
            <v>0</v>
          </cell>
          <cell r="J36">
            <v>0</v>
          </cell>
          <cell r="K36" t="str">
            <v>5</v>
          </cell>
          <cell r="L36">
            <v>0</v>
          </cell>
          <cell r="M36">
            <v>0</v>
          </cell>
          <cell r="N36">
            <v>-2439422.56</v>
          </cell>
          <cell r="O36">
            <v>0</v>
          </cell>
          <cell r="P36">
            <v>-1159253.6000000001</v>
          </cell>
          <cell r="Q36">
            <v>-551028.5</v>
          </cell>
          <cell r="R36">
            <v>-31482.71</v>
          </cell>
          <cell r="S36">
            <v>-286386.92</v>
          </cell>
          <cell r="T36">
            <v>-692.96</v>
          </cell>
          <cell r="U36">
            <v>-29135.7</v>
          </cell>
        </row>
        <row r="37">
          <cell r="A37">
            <v>39082</v>
          </cell>
          <cell r="B37" t="str">
            <v>Commission Income</v>
          </cell>
          <cell r="C37">
            <v>0</v>
          </cell>
          <cell r="D37" t="str">
            <v>EAH</v>
          </cell>
          <cell r="E37" t="str">
            <v>Sundries (Misc com Paid)</v>
          </cell>
          <cell r="F37" t="str">
            <v>Commission Income</v>
          </cell>
          <cell r="G37" t="str">
            <v>5031050</v>
          </cell>
          <cell r="H37">
            <v>0</v>
          </cell>
          <cell r="I37">
            <v>0</v>
          </cell>
          <cell r="J37">
            <v>0</v>
          </cell>
          <cell r="K37" t="str">
            <v>5</v>
          </cell>
          <cell r="L37">
            <v>0</v>
          </cell>
          <cell r="M37">
            <v>0</v>
          </cell>
          <cell r="N37">
            <v>-92494.79</v>
          </cell>
          <cell r="O37">
            <v>0</v>
          </cell>
          <cell r="P37">
            <v>-92494.79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</row>
        <row r="38">
          <cell r="A38">
            <v>39082</v>
          </cell>
          <cell r="B38" t="str">
            <v>Commission Income</v>
          </cell>
          <cell r="C38">
            <v>0</v>
          </cell>
          <cell r="D38" t="str">
            <v>EAH</v>
          </cell>
          <cell r="E38" t="str">
            <v>Sundries (Misc com Paid)</v>
          </cell>
          <cell r="F38" t="str">
            <v>Commission Income</v>
          </cell>
          <cell r="G38" t="str">
            <v>5031106</v>
          </cell>
          <cell r="H38">
            <v>0</v>
          </cell>
          <cell r="I38">
            <v>0</v>
          </cell>
          <cell r="J38">
            <v>0</v>
          </cell>
          <cell r="K38" t="str">
            <v>5</v>
          </cell>
          <cell r="L38">
            <v>0</v>
          </cell>
          <cell r="M38">
            <v>0</v>
          </cell>
          <cell r="N38">
            <v>-1279517.68</v>
          </cell>
          <cell r="O38">
            <v>0</v>
          </cell>
          <cell r="P38">
            <v>-1208117.68</v>
          </cell>
          <cell r="Q38">
            <v>-70800</v>
          </cell>
          <cell r="R38">
            <v>0</v>
          </cell>
          <cell r="S38">
            <v>-600</v>
          </cell>
          <cell r="T38">
            <v>0</v>
          </cell>
          <cell r="U38">
            <v>0</v>
          </cell>
        </row>
        <row r="39">
          <cell r="A39">
            <v>39082</v>
          </cell>
          <cell r="B39" t="str">
            <v>Commission Income</v>
          </cell>
          <cell r="C39">
            <v>0</v>
          </cell>
          <cell r="D39" t="str">
            <v>EAH</v>
          </cell>
          <cell r="E39" t="str">
            <v>Sundries (Misc com Paid)</v>
          </cell>
          <cell r="F39" t="str">
            <v>Commission Income</v>
          </cell>
          <cell r="G39" t="str">
            <v>5031860</v>
          </cell>
          <cell r="H39">
            <v>0</v>
          </cell>
          <cell r="I39">
            <v>0</v>
          </cell>
          <cell r="J39">
            <v>0</v>
          </cell>
          <cell r="K39" t="str">
            <v>5</v>
          </cell>
          <cell r="L39">
            <v>0</v>
          </cell>
          <cell r="M39">
            <v>0</v>
          </cell>
          <cell r="N39">
            <v>-1904976.85</v>
          </cell>
          <cell r="O39">
            <v>0</v>
          </cell>
          <cell r="P39">
            <v>-118483.08</v>
          </cell>
          <cell r="Q39">
            <v>-1775713.98</v>
          </cell>
          <cell r="R39">
            <v>-1998.38</v>
          </cell>
          <cell r="S39">
            <v>-3695.05</v>
          </cell>
          <cell r="T39">
            <v>0</v>
          </cell>
          <cell r="U39">
            <v>-592.53</v>
          </cell>
        </row>
        <row r="40">
          <cell r="A40">
            <v>39082</v>
          </cell>
          <cell r="B40" t="str">
            <v>Commission Income</v>
          </cell>
          <cell r="C40">
            <v>0</v>
          </cell>
          <cell r="D40" t="str">
            <v>EAH</v>
          </cell>
          <cell r="E40" t="str">
            <v>Sundries (Misc com Paid)</v>
          </cell>
          <cell r="F40" t="str">
            <v>Commission Income</v>
          </cell>
          <cell r="G40" t="str">
            <v>5031865</v>
          </cell>
          <cell r="H40">
            <v>0</v>
          </cell>
          <cell r="I40">
            <v>0</v>
          </cell>
          <cell r="J40">
            <v>0</v>
          </cell>
          <cell r="K40" t="str">
            <v>5</v>
          </cell>
          <cell r="L40">
            <v>0</v>
          </cell>
          <cell r="M40">
            <v>0</v>
          </cell>
          <cell r="N40">
            <v>-124491.7</v>
          </cell>
          <cell r="O40">
            <v>0</v>
          </cell>
          <cell r="P40">
            <v>-32400</v>
          </cell>
          <cell r="Q40">
            <v>-1700</v>
          </cell>
          <cell r="R40">
            <v>-72691.7</v>
          </cell>
          <cell r="S40">
            <v>-17700</v>
          </cell>
          <cell r="T40">
            <v>0</v>
          </cell>
          <cell r="U40">
            <v>0</v>
          </cell>
        </row>
        <row r="41">
          <cell r="A41">
            <v>39082</v>
          </cell>
          <cell r="B41" t="str">
            <v>Commission Income</v>
          </cell>
          <cell r="C41">
            <v>0</v>
          </cell>
          <cell r="D41" t="str">
            <v>EAH</v>
          </cell>
          <cell r="E41" t="str">
            <v>Sundries (Misc com Paid)</v>
          </cell>
          <cell r="F41" t="str">
            <v>Commission Income</v>
          </cell>
          <cell r="G41" t="str">
            <v>5031880</v>
          </cell>
          <cell r="H41">
            <v>0</v>
          </cell>
          <cell r="I41">
            <v>0</v>
          </cell>
          <cell r="J41">
            <v>0</v>
          </cell>
          <cell r="K41" t="str">
            <v>5</v>
          </cell>
          <cell r="L41">
            <v>0</v>
          </cell>
          <cell r="M41">
            <v>0</v>
          </cell>
          <cell r="N41">
            <v>-18330</v>
          </cell>
          <cell r="O41">
            <v>0</v>
          </cell>
          <cell r="P41">
            <v>-12075</v>
          </cell>
          <cell r="Q41">
            <v>-4485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</row>
        <row r="42">
          <cell r="A42">
            <v>39082</v>
          </cell>
          <cell r="B42" t="str">
            <v>Commission Income</v>
          </cell>
          <cell r="C42">
            <v>0</v>
          </cell>
          <cell r="D42" t="str">
            <v>EAH</v>
          </cell>
          <cell r="E42" t="str">
            <v>Sundries (Misc com Paid)</v>
          </cell>
          <cell r="F42" t="str">
            <v>Commission Income</v>
          </cell>
          <cell r="G42" t="str">
            <v>5031900</v>
          </cell>
          <cell r="H42">
            <v>0</v>
          </cell>
          <cell r="I42">
            <v>0</v>
          </cell>
          <cell r="J42">
            <v>0</v>
          </cell>
          <cell r="K42" t="str">
            <v>5</v>
          </cell>
          <cell r="L42">
            <v>0</v>
          </cell>
          <cell r="M42">
            <v>0</v>
          </cell>
          <cell r="N42">
            <v>-2860996.31</v>
          </cell>
          <cell r="O42">
            <v>0</v>
          </cell>
          <cell r="P42">
            <v>-1260092.24</v>
          </cell>
          <cell r="Q42">
            <v>-665145.37</v>
          </cell>
          <cell r="R42">
            <v>-796675.47</v>
          </cell>
          <cell r="S42">
            <v>-113191.08</v>
          </cell>
          <cell r="T42">
            <v>0</v>
          </cell>
          <cell r="U42">
            <v>-17717.150000000001</v>
          </cell>
        </row>
        <row r="43">
          <cell r="A43">
            <v>39082</v>
          </cell>
          <cell r="B43" t="str">
            <v>Commission Income</v>
          </cell>
          <cell r="C43">
            <v>0</v>
          </cell>
          <cell r="D43" t="str">
            <v>EAH</v>
          </cell>
          <cell r="E43" t="str">
            <v>Sundries (Misc com Paid)</v>
          </cell>
          <cell r="F43" t="str">
            <v>Commission Income</v>
          </cell>
          <cell r="G43" t="str">
            <v>5031910</v>
          </cell>
          <cell r="H43">
            <v>0</v>
          </cell>
          <cell r="I43">
            <v>0</v>
          </cell>
          <cell r="J43">
            <v>0</v>
          </cell>
          <cell r="K43" t="str">
            <v>5</v>
          </cell>
          <cell r="L43">
            <v>0</v>
          </cell>
          <cell r="M43">
            <v>0</v>
          </cell>
          <cell r="N43">
            <v>-2047630.37</v>
          </cell>
          <cell r="O43">
            <v>0</v>
          </cell>
          <cell r="P43">
            <v>-579251.05000000005</v>
          </cell>
          <cell r="Q43">
            <v>-587649.57999999996</v>
          </cell>
          <cell r="R43">
            <v>-816929.74</v>
          </cell>
          <cell r="S43">
            <v>-41500</v>
          </cell>
          <cell r="T43">
            <v>0</v>
          </cell>
          <cell r="U43">
            <v>0</v>
          </cell>
        </row>
        <row r="44">
          <cell r="A44">
            <v>39082</v>
          </cell>
          <cell r="B44" t="str">
            <v>Commission Income</v>
          </cell>
          <cell r="C44">
            <v>0</v>
          </cell>
          <cell r="D44" t="str">
            <v>EAJ</v>
          </cell>
          <cell r="E44" t="str">
            <v>ATM Cards</v>
          </cell>
          <cell r="F44" t="str">
            <v>Commission Income</v>
          </cell>
          <cell r="G44" t="str">
            <v>5031150</v>
          </cell>
          <cell r="H44">
            <v>0</v>
          </cell>
          <cell r="I44">
            <v>0</v>
          </cell>
          <cell r="J44">
            <v>0</v>
          </cell>
          <cell r="K44" t="str">
            <v>5</v>
          </cell>
          <cell r="L44">
            <v>0</v>
          </cell>
          <cell r="M44">
            <v>0</v>
          </cell>
          <cell r="N44">
            <v>-13173.12</v>
          </cell>
          <cell r="O44">
            <v>-13173.12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</row>
        <row r="45">
          <cell r="A45">
            <v>39082</v>
          </cell>
          <cell r="B45" t="str">
            <v>Commission Income</v>
          </cell>
          <cell r="C45">
            <v>0</v>
          </cell>
          <cell r="D45" t="str">
            <v>EAJ</v>
          </cell>
          <cell r="E45" t="str">
            <v>ATM Cards</v>
          </cell>
          <cell r="F45" t="str">
            <v>Commission Income</v>
          </cell>
          <cell r="G45" t="str">
            <v>5031885</v>
          </cell>
          <cell r="H45">
            <v>0</v>
          </cell>
          <cell r="I45">
            <v>0</v>
          </cell>
          <cell r="J45">
            <v>0</v>
          </cell>
          <cell r="K45" t="str">
            <v>5</v>
          </cell>
          <cell r="L45">
            <v>0</v>
          </cell>
          <cell r="M45">
            <v>0</v>
          </cell>
          <cell r="N45">
            <v>-363173.58</v>
          </cell>
          <cell r="O45">
            <v>0</v>
          </cell>
          <cell r="P45">
            <v>-25373.58</v>
          </cell>
          <cell r="Q45">
            <v>-68700</v>
          </cell>
          <cell r="R45">
            <v>-53400</v>
          </cell>
          <cell r="S45">
            <v>-43500</v>
          </cell>
          <cell r="T45">
            <v>0</v>
          </cell>
          <cell r="U45">
            <v>0</v>
          </cell>
        </row>
        <row r="46">
          <cell r="A46">
            <v>39082</v>
          </cell>
          <cell r="B46" t="str">
            <v>Commission Income</v>
          </cell>
          <cell r="C46">
            <v>0</v>
          </cell>
          <cell r="D46" t="str">
            <v>EAL</v>
          </cell>
          <cell r="E46" t="str">
            <v>Shipping Guarantee</v>
          </cell>
          <cell r="F46" t="str">
            <v>Commission Income</v>
          </cell>
          <cell r="G46" t="str">
            <v>5031101</v>
          </cell>
          <cell r="H46">
            <v>0</v>
          </cell>
          <cell r="I46">
            <v>0</v>
          </cell>
          <cell r="J46">
            <v>0</v>
          </cell>
          <cell r="K46" t="str">
            <v>5</v>
          </cell>
          <cell r="L46">
            <v>0</v>
          </cell>
          <cell r="M46">
            <v>0</v>
          </cell>
          <cell r="N46">
            <v>-979000</v>
          </cell>
          <cell r="O46">
            <v>0</v>
          </cell>
          <cell r="P46">
            <v>-840400</v>
          </cell>
          <cell r="Q46">
            <v>-112200</v>
          </cell>
          <cell r="R46">
            <v>0</v>
          </cell>
          <cell r="S46">
            <v>-26400</v>
          </cell>
          <cell r="T46">
            <v>0</v>
          </cell>
          <cell r="U46">
            <v>0</v>
          </cell>
        </row>
        <row r="47">
          <cell r="A47">
            <v>39082</v>
          </cell>
          <cell r="B47" t="str">
            <v>Commission Income</v>
          </cell>
          <cell r="C47">
            <v>0</v>
          </cell>
          <cell r="D47" t="str">
            <v>EAM</v>
          </cell>
          <cell r="E47" t="str">
            <v>On Export Bills Discounted</v>
          </cell>
          <cell r="F47" t="str">
            <v>Commission Income</v>
          </cell>
          <cell r="G47" t="str">
            <v>5031058</v>
          </cell>
          <cell r="H47">
            <v>0</v>
          </cell>
          <cell r="I47">
            <v>0</v>
          </cell>
          <cell r="J47">
            <v>0</v>
          </cell>
          <cell r="K47" t="str">
            <v>5</v>
          </cell>
          <cell r="L47">
            <v>0</v>
          </cell>
          <cell r="M47">
            <v>0</v>
          </cell>
          <cell r="N47">
            <v>-2384153.0699999998</v>
          </cell>
          <cell r="O47">
            <v>0</v>
          </cell>
          <cell r="P47">
            <v>-1797265</v>
          </cell>
          <cell r="Q47">
            <v>-579488.06999999995</v>
          </cell>
          <cell r="R47">
            <v>0</v>
          </cell>
          <cell r="S47">
            <v>-7400</v>
          </cell>
          <cell r="T47">
            <v>0</v>
          </cell>
          <cell r="U47">
            <v>0</v>
          </cell>
        </row>
        <row r="48">
          <cell r="A48">
            <v>39082</v>
          </cell>
          <cell r="B48" t="str">
            <v>Commission Income</v>
          </cell>
          <cell r="C48">
            <v>0</v>
          </cell>
          <cell r="D48" t="str">
            <v>EAO</v>
          </cell>
          <cell r="E48" t="str">
            <v>Recovery of  S.W.I.F.T, Telex, postal etc</v>
          </cell>
          <cell r="F48" t="str">
            <v>Commission Income</v>
          </cell>
          <cell r="G48" t="str">
            <v>5011130</v>
          </cell>
          <cell r="H48">
            <v>0</v>
          </cell>
          <cell r="I48">
            <v>0</v>
          </cell>
          <cell r="J48">
            <v>0</v>
          </cell>
          <cell r="K48" t="str">
            <v>5</v>
          </cell>
          <cell r="L48">
            <v>0</v>
          </cell>
          <cell r="M48">
            <v>0</v>
          </cell>
          <cell r="N48">
            <v>-839500</v>
          </cell>
          <cell r="O48">
            <v>0</v>
          </cell>
          <cell r="P48">
            <v>-565000</v>
          </cell>
          <cell r="Q48">
            <v>-274500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</row>
        <row r="49">
          <cell r="A49">
            <v>39082</v>
          </cell>
          <cell r="B49" t="str">
            <v>Commission Income</v>
          </cell>
          <cell r="C49">
            <v>0</v>
          </cell>
          <cell r="D49" t="str">
            <v>EAO</v>
          </cell>
          <cell r="E49" t="str">
            <v>Recovery of  S.W.I.F.T, Telex, postal etc</v>
          </cell>
          <cell r="F49" t="str">
            <v>Commission Income</v>
          </cell>
          <cell r="G49" t="str">
            <v>5031105</v>
          </cell>
          <cell r="H49">
            <v>0</v>
          </cell>
          <cell r="I49">
            <v>0</v>
          </cell>
          <cell r="J49">
            <v>0</v>
          </cell>
          <cell r="K49" t="str">
            <v>5</v>
          </cell>
          <cell r="L49">
            <v>0</v>
          </cell>
          <cell r="M49">
            <v>0</v>
          </cell>
          <cell r="N49">
            <v>-10937916.640000001</v>
          </cell>
          <cell r="O49">
            <v>0</v>
          </cell>
          <cell r="P49">
            <v>-7548333.8300000001</v>
          </cell>
          <cell r="Q49">
            <v>-3209932.81</v>
          </cell>
          <cell r="R49">
            <v>0</v>
          </cell>
          <cell r="S49">
            <v>-179650</v>
          </cell>
          <cell r="T49">
            <v>0</v>
          </cell>
          <cell r="U49">
            <v>0</v>
          </cell>
        </row>
        <row r="50">
          <cell r="A50">
            <v>39082</v>
          </cell>
          <cell r="B50" t="str">
            <v>Commission Income</v>
          </cell>
          <cell r="C50">
            <v>0</v>
          </cell>
          <cell r="D50" t="str">
            <v>EAP</v>
          </cell>
          <cell r="E50" t="str">
            <v>COMM Foreign CUR Repatriation</v>
          </cell>
          <cell r="F50" t="str">
            <v>Commission Income</v>
          </cell>
          <cell r="G50" t="str">
            <v>5031915</v>
          </cell>
          <cell r="H50">
            <v>0</v>
          </cell>
          <cell r="I50">
            <v>0</v>
          </cell>
          <cell r="J50">
            <v>0</v>
          </cell>
          <cell r="K50" t="str">
            <v>5</v>
          </cell>
          <cell r="L50">
            <v>0</v>
          </cell>
          <cell r="M50">
            <v>0</v>
          </cell>
          <cell r="N50">
            <v>-8963955.9199999999</v>
          </cell>
          <cell r="O50">
            <v>0</v>
          </cell>
          <cell r="P50">
            <v>-8963955.9199999999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</row>
        <row r="51">
          <cell r="A51">
            <v>39082</v>
          </cell>
          <cell r="B51" t="str">
            <v>Commission Income</v>
          </cell>
          <cell r="C51">
            <v>0</v>
          </cell>
          <cell r="D51" t="str">
            <v>EAQ</v>
          </cell>
          <cell r="E51" t="str">
            <v>Commission Internet Banking</v>
          </cell>
          <cell r="F51" t="str">
            <v>Commission Income</v>
          </cell>
          <cell r="G51" t="str">
            <v>5031877</v>
          </cell>
          <cell r="H51">
            <v>0</v>
          </cell>
          <cell r="I51">
            <v>0</v>
          </cell>
          <cell r="J51">
            <v>0</v>
          </cell>
          <cell r="K51" t="str">
            <v>5</v>
          </cell>
          <cell r="L51">
            <v>0</v>
          </cell>
          <cell r="M51">
            <v>0</v>
          </cell>
          <cell r="N51">
            <v>-276089.05</v>
          </cell>
          <cell r="O51">
            <v>0</v>
          </cell>
          <cell r="P51">
            <v>-276089.05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</row>
        <row r="52">
          <cell r="A52">
            <v>39082</v>
          </cell>
          <cell r="B52" t="str">
            <v>Commission Income</v>
          </cell>
          <cell r="C52">
            <v>0</v>
          </cell>
          <cell r="D52" t="str">
            <v>EAQ</v>
          </cell>
          <cell r="E52" t="str">
            <v>Commission Internet Banking</v>
          </cell>
          <cell r="F52" t="str">
            <v>Commission Income</v>
          </cell>
          <cell r="G52" t="str">
            <v>5031878</v>
          </cell>
          <cell r="H52">
            <v>0</v>
          </cell>
          <cell r="I52">
            <v>0</v>
          </cell>
          <cell r="J52">
            <v>0</v>
          </cell>
          <cell r="K52" t="str">
            <v>5</v>
          </cell>
          <cell r="L52">
            <v>0</v>
          </cell>
          <cell r="M52">
            <v>0</v>
          </cell>
          <cell r="N52">
            <v>-717.42</v>
          </cell>
          <cell r="O52">
            <v>0</v>
          </cell>
          <cell r="P52">
            <v>-717.42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</row>
        <row r="53">
          <cell r="A53">
            <v>39082</v>
          </cell>
          <cell r="B53" t="str">
            <v>Customer Advances</v>
          </cell>
          <cell r="C53">
            <v>0</v>
          </cell>
          <cell r="D53" t="str">
            <v>AAA</v>
          </cell>
          <cell r="E53" t="str">
            <v>Import Bills Receivable</v>
          </cell>
          <cell r="F53" t="str">
            <v>Total Interest Income</v>
          </cell>
          <cell r="G53" t="str">
            <v>5012700</v>
          </cell>
          <cell r="H53">
            <v>0</v>
          </cell>
          <cell r="I53">
            <v>0</v>
          </cell>
          <cell r="J53">
            <v>0</v>
          </cell>
          <cell r="K53" t="str">
            <v>5</v>
          </cell>
          <cell r="L53">
            <v>0</v>
          </cell>
          <cell r="M53">
            <v>0</v>
          </cell>
          <cell r="N53">
            <v>-1905760.03</v>
          </cell>
          <cell r="O53">
            <v>0</v>
          </cell>
          <cell r="P53">
            <v>-1400674.12</v>
          </cell>
          <cell r="Q53">
            <v>-505085.91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</row>
        <row r="54">
          <cell r="A54">
            <v>39082</v>
          </cell>
          <cell r="B54" t="str">
            <v>Customer Advances</v>
          </cell>
          <cell r="C54">
            <v>0</v>
          </cell>
          <cell r="D54" t="str">
            <v>AAB</v>
          </cell>
          <cell r="E54" t="str">
            <v>Import Loans</v>
          </cell>
          <cell r="F54" t="str">
            <v>Total Interest Income</v>
          </cell>
          <cell r="G54" t="str">
            <v>5011200</v>
          </cell>
          <cell r="H54">
            <v>0</v>
          </cell>
          <cell r="I54">
            <v>0</v>
          </cell>
          <cell r="J54">
            <v>0</v>
          </cell>
          <cell r="K54" t="str">
            <v>5</v>
          </cell>
          <cell r="L54">
            <v>0</v>
          </cell>
          <cell r="M54">
            <v>0</v>
          </cell>
          <cell r="N54">
            <v>-11447509.850000001</v>
          </cell>
          <cell r="O54">
            <v>0</v>
          </cell>
          <cell r="P54">
            <v>-7108249.6100000003</v>
          </cell>
          <cell r="Q54">
            <v>-4336562.9400000004</v>
          </cell>
          <cell r="R54">
            <v>0</v>
          </cell>
          <cell r="S54">
            <v>0</v>
          </cell>
          <cell r="T54">
            <v>0</v>
          </cell>
          <cell r="U54">
            <v>-2697.3</v>
          </cell>
        </row>
        <row r="55">
          <cell r="A55">
            <v>39082</v>
          </cell>
          <cell r="B55" t="str">
            <v>Customer Advances</v>
          </cell>
          <cell r="C55">
            <v>0</v>
          </cell>
          <cell r="D55" t="str">
            <v>AAC</v>
          </cell>
          <cell r="E55" t="str">
            <v>Trust Receipts</v>
          </cell>
          <cell r="F55" t="str">
            <v>Total Interest Income</v>
          </cell>
          <cell r="G55" t="str">
            <v>5011300</v>
          </cell>
          <cell r="H55">
            <v>0</v>
          </cell>
          <cell r="I55">
            <v>0</v>
          </cell>
          <cell r="J55">
            <v>0</v>
          </cell>
          <cell r="K55" t="str">
            <v>5</v>
          </cell>
          <cell r="L55">
            <v>0</v>
          </cell>
          <cell r="M55">
            <v>0</v>
          </cell>
          <cell r="N55">
            <v>-108119873.36</v>
          </cell>
          <cell r="O55">
            <v>0</v>
          </cell>
          <cell r="P55">
            <v>-68537579.200000003</v>
          </cell>
          <cell r="Q55">
            <v>-39582294.159999996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</row>
        <row r="56">
          <cell r="A56">
            <v>39082</v>
          </cell>
          <cell r="B56" t="str">
            <v>Customer Advances</v>
          </cell>
          <cell r="C56">
            <v>0</v>
          </cell>
          <cell r="D56" t="str">
            <v>AAD</v>
          </cell>
          <cell r="E56" t="str">
            <v>Preshipment Loans</v>
          </cell>
          <cell r="F56" t="str">
            <v>Total Interest Income</v>
          </cell>
          <cell r="G56" t="str">
            <v>5011600</v>
          </cell>
          <cell r="H56">
            <v>0</v>
          </cell>
          <cell r="I56">
            <v>0</v>
          </cell>
          <cell r="J56">
            <v>0</v>
          </cell>
          <cell r="K56" t="str">
            <v>5</v>
          </cell>
          <cell r="L56">
            <v>0</v>
          </cell>
          <cell r="M56">
            <v>0</v>
          </cell>
          <cell r="N56">
            <v>-9063543.7000000011</v>
          </cell>
          <cell r="O56">
            <v>0</v>
          </cell>
          <cell r="P56">
            <v>-504680.55</v>
          </cell>
          <cell r="Q56">
            <v>-8558863.1500000004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</row>
        <row r="57">
          <cell r="A57">
            <v>39082</v>
          </cell>
          <cell r="B57" t="str">
            <v>Customer Advances</v>
          </cell>
          <cell r="C57">
            <v>0</v>
          </cell>
          <cell r="D57" t="str">
            <v>AAE</v>
          </cell>
          <cell r="E57" t="str">
            <v>Fixed Loans</v>
          </cell>
          <cell r="F57" t="str">
            <v>Total Interest Income</v>
          </cell>
          <cell r="G57" t="str">
            <v>5011900</v>
          </cell>
          <cell r="H57">
            <v>0</v>
          </cell>
          <cell r="I57">
            <v>0</v>
          </cell>
          <cell r="J57">
            <v>0</v>
          </cell>
          <cell r="K57" t="str">
            <v>5</v>
          </cell>
          <cell r="L57">
            <v>0</v>
          </cell>
          <cell r="M57">
            <v>0</v>
          </cell>
          <cell r="N57">
            <v>-1465312.5</v>
          </cell>
          <cell r="O57">
            <v>0</v>
          </cell>
          <cell r="P57">
            <v>-1465312.5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</row>
        <row r="58">
          <cell r="A58">
            <v>39082</v>
          </cell>
          <cell r="B58" t="str">
            <v>Customer Advances</v>
          </cell>
          <cell r="C58">
            <v>0</v>
          </cell>
          <cell r="D58" t="str">
            <v>AAE</v>
          </cell>
          <cell r="E58" t="str">
            <v>Fixed Loans</v>
          </cell>
          <cell r="F58" t="str">
            <v>Total Interest Income</v>
          </cell>
          <cell r="G58" t="str">
            <v>5012100</v>
          </cell>
          <cell r="H58">
            <v>0</v>
          </cell>
          <cell r="I58">
            <v>0</v>
          </cell>
          <cell r="J58">
            <v>0</v>
          </cell>
          <cell r="K58" t="str">
            <v>5</v>
          </cell>
          <cell r="L58">
            <v>0</v>
          </cell>
          <cell r="M58">
            <v>0</v>
          </cell>
          <cell r="N58">
            <v>-160861995.69</v>
          </cell>
          <cell r="O58">
            <v>0</v>
          </cell>
          <cell r="P58">
            <v>-129288238.31999999</v>
          </cell>
          <cell r="Q58">
            <v>-13205987.98</v>
          </cell>
          <cell r="R58">
            <v>0</v>
          </cell>
          <cell r="S58">
            <v>-8362386.0499999998</v>
          </cell>
          <cell r="T58">
            <v>0</v>
          </cell>
          <cell r="U58">
            <v>-9885385.0600000005</v>
          </cell>
        </row>
        <row r="59">
          <cell r="A59">
            <v>39082</v>
          </cell>
          <cell r="B59" t="str">
            <v>Customer Advances</v>
          </cell>
          <cell r="C59">
            <v>0</v>
          </cell>
          <cell r="D59" t="str">
            <v>AAE</v>
          </cell>
          <cell r="E59" t="str">
            <v>Fixed Loans</v>
          </cell>
          <cell r="F59" t="str">
            <v>Total Interest Income</v>
          </cell>
          <cell r="G59" t="str">
            <v>5012110</v>
          </cell>
          <cell r="H59">
            <v>0</v>
          </cell>
          <cell r="I59">
            <v>0</v>
          </cell>
          <cell r="J59">
            <v>0</v>
          </cell>
          <cell r="K59" t="str">
            <v>5</v>
          </cell>
          <cell r="L59">
            <v>0</v>
          </cell>
          <cell r="M59">
            <v>0</v>
          </cell>
          <cell r="N59">
            <v>-146181637.85000002</v>
          </cell>
          <cell r="O59">
            <v>0</v>
          </cell>
          <cell r="P59">
            <v>-120408313.43000001</v>
          </cell>
          <cell r="Q59">
            <v>-25477768.870000001</v>
          </cell>
          <cell r="R59">
            <v>0</v>
          </cell>
          <cell r="S59">
            <v>-295555.55</v>
          </cell>
          <cell r="T59">
            <v>0</v>
          </cell>
          <cell r="U59">
            <v>0</v>
          </cell>
        </row>
        <row r="60">
          <cell r="A60">
            <v>39082</v>
          </cell>
          <cell r="B60" t="str">
            <v>Customer Advances</v>
          </cell>
          <cell r="C60">
            <v>0</v>
          </cell>
          <cell r="D60" t="str">
            <v>AAH</v>
          </cell>
          <cell r="E60" t="str">
            <v>Housing Loan --- Public</v>
          </cell>
          <cell r="F60" t="str">
            <v>Total Interest Income</v>
          </cell>
          <cell r="G60" t="str">
            <v>5012107</v>
          </cell>
          <cell r="H60">
            <v>0</v>
          </cell>
          <cell r="I60">
            <v>0</v>
          </cell>
          <cell r="J60">
            <v>0</v>
          </cell>
          <cell r="K60" t="str">
            <v>5</v>
          </cell>
          <cell r="L60">
            <v>0</v>
          </cell>
          <cell r="M60">
            <v>0</v>
          </cell>
          <cell r="N60">
            <v>-1085756.96</v>
          </cell>
          <cell r="O60">
            <v>0</v>
          </cell>
          <cell r="P60">
            <v>0</v>
          </cell>
          <cell r="Q60">
            <v>-612759.69999999995</v>
          </cell>
          <cell r="R60">
            <v>0</v>
          </cell>
          <cell r="S60">
            <v>-454997.26</v>
          </cell>
          <cell r="T60">
            <v>0</v>
          </cell>
          <cell r="U60">
            <v>0</v>
          </cell>
        </row>
        <row r="61">
          <cell r="A61">
            <v>39082</v>
          </cell>
          <cell r="B61" t="str">
            <v>Customer Advances</v>
          </cell>
          <cell r="C61">
            <v>0</v>
          </cell>
          <cell r="D61" t="str">
            <v>AAJ</v>
          </cell>
          <cell r="E61" t="str">
            <v>SME Loans</v>
          </cell>
          <cell r="F61" t="str">
            <v>Total Interest Income</v>
          </cell>
          <cell r="G61" t="str">
            <v>5012105</v>
          </cell>
          <cell r="H61">
            <v>0</v>
          </cell>
          <cell r="I61">
            <v>0</v>
          </cell>
          <cell r="J61">
            <v>0</v>
          </cell>
          <cell r="K61" t="str">
            <v>5</v>
          </cell>
          <cell r="L61">
            <v>0</v>
          </cell>
          <cell r="M61">
            <v>0</v>
          </cell>
          <cell r="N61">
            <v>-271141.49</v>
          </cell>
          <cell r="O61">
            <v>0</v>
          </cell>
          <cell r="P61">
            <v>-271141.49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</row>
        <row r="62">
          <cell r="A62">
            <v>39082</v>
          </cell>
          <cell r="B62" t="str">
            <v>Customer Advances</v>
          </cell>
          <cell r="C62">
            <v>0</v>
          </cell>
          <cell r="D62" t="str">
            <v>AAK</v>
          </cell>
          <cell r="E62" t="str">
            <v>Personal Loans</v>
          </cell>
          <cell r="F62" t="str">
            <v>Total Interest Income</v>
          </cell>
          <cell r="G62" t="str">
            <v>5012415</v>
          </cell>
          <cell r="H62">
            <v>0</v>
          </cell>
          <cell r="I62">
            <v>0</v>
          </cell>
          <cell r="J62">
            <v>0</v>
          </cell>
          <cell r="K62" t="str">
            <v>5</v>
          </cell>
          <cell r="L62">
            <v>0</v>
          </cell>
          <cell r="M62">
            <v>0</v>
          </cell>
          <cell r="N62">
            <v>-1038276.59</v>
          </cell>
          <cell r="O62">
            <v>0</v>
          </cell>
          <cell r="P62">
            <v>-42000</v>
          </cell>
          <cell r="Q62">
            <v>-19817.29</v>
          </cell>
          <cell r="R62">
            <v>0</v>
          </cell>
          <cell r="S62">
            <v>-911071.52</v>
          </cell>
          <cell r="T62">
            <v>0</v>
          </cell>
          <cell r="U62">
            <v>0</v>
          </cell>
        </row>
        <row r="63">
          <cell r="A63">
            <v>39082</v>
          </cell>
          <cell r="B63" t="str">
            <v>Customer Advances</v>
          </cell>
          <cell r="C63">
            <v>0</v>
          </cell>
          <cell r="D63" t="str">
            <v>AAL</v>
          </cell>
          <cell r="E63" t="str">
            <v>Overdrafts</v>
          </cell>
          <cell r="F63" t="str">
            <v>Total Interest Income</v>
          </cell>
          <cell r="G63" t="str">
            <v>5011100</v>
          </cell>
          <cell r="H63">
            <v>0</v>
          </cell>
          <cell r="I63">
            <v>0</v>
          </cell>
          <cell r="J63">
            <v>0</v>
          </cell>
          <cell r="K63" t="str">
            <v>5</v>
          </cell>
          <cell r="L63">
            <v>0</v>
          </cell>
          <cell r="M63">
            <v>0</v>
          </cell>
          <cell r="N63">
            <v>-199049352.92000002</v>
          </cell>
          <cell r="O63">
            <v>0</v>
          </cell>
          <cell r="P63">
            <v>-161116756.37</v>
          </cell>
          <cell r="Q63">
            <v>-35074756.420000002</v>
          </cell>
          <cell r="R63">
            <v>0</v>
          </cell>
          <cell r="S63">
            <v>-1691934</v>
          </cell>
          <cell r="T63">
            <v>0</v>
          </cell>
          <cell r="U63">
            <v>0</v>
          </cell>
        </row>
        <row r="64">
          <cell r="A64">
            <v>39082</v>
          </cell>
          <cell r="B64" t="str">
            <v>Customer Advances</v>
          </cell>
          <cell r="C64">
            <v>0</v>
          </cell>
          <cell r="D64" t="str">
            <v>AAL</v>
          </cell>
          <cell r="E64" t="str">
            <v>Overdrafts</v>
          </cell>
          <cell r="F64" t="str">
            <v>Total Interest Income</v>
          </cell>
          <cell r="G64" t="str">
            <v>5011110</v>
          </cell>
          <cell r="H64">
            <v>0</v>
          </cell>
          <cell r="I64">
            <v>0</v>
          </cell>
          <cell r="J64">
            <v>0</v>
          </cell>
          <cell r="K64" t="str">
            <v>5</v>
          </cell>
          <cell r="L64">
            <v>0</v>
          </cell>
          <cell r="M64">
            <v>0</v>
          </cell>
          <cell r="N64">
            <v>-26237614.210000001</v>
          </cell>
          <cell r="O64">
            <v>0</v>
          </cell>
          <cell r="P64">
            <v>-21990320.550000001</v>
          </cell>
          <cell r="Q64">
            <v>-3694705.57</v>
          </cell>
          <cell r="R64">
            <v>0</v>
          </cell>
          <cell r="S64">
            <v>-393146.99</v>
          </cell>
          <cell r="T64">
            <v>0</v>
          </cell>
          <cell r="U64">
            <v>0</v>
          </cell>
        </row>
        <row r="65">
          <cell r="A65">
            <v>39082</v>
          </cell>
          <cell r="B65" t="str">
            <v>Customer Advances</v>
          </cell>
          <cell r="C65">
            <v>0</v>
          </cell>
          <cell r="D65" t="str">
            <v>AAO</v>
          </cell>
          <cell r="E65" t="str">
            <v>Export Bills Purchased</v>
          </cell>
          <cell r="F65" t="str">
            <v>Total Interest Income</v>
          </cell>
          <cell r="G65" t="str">
            <v>5012800</v>
          </cell>
          <cell r="H65">
            <v>0</v>
          </cell>
          <cell r="I65">
            <v>0</v>
          </cell>
          <cell r="J65">
            <v>0</v>
          </cell>
          <cell r="K65" t="str">
            <v>5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</row>
        <row r="66">
          <cell r="A66">
            <v>39082</v>
          </cell>
          <cell r="B66" t="str">
            <v>Customer Advances</v>
          </cell>
          <cell r="C66">
            <v>0</v>
          </cell>
          <cell r="D66" t="str">
            <v>AAP</v>
          </cell>
          <cell r="E66" t="str">
            <v>Staff Loans</v>
          </cell>
          <cell r="F66" t="str">
            <v>Total Interest Income</v>
          </cell>
          <cell r="G66" t="str">
            <v>5012310</v>
          </cell>
          <cell r="H66">
            <v>0</v>
          </cell>
          <cell r="I66">
            <v>0</v>
          </cell>
          <cell r="J66">
            <v>0</v>
          </cell>
          <cell r="K66" t="str">
            <v>5</v>
          </cell>
          <cell r="L66">
            <v>0</v>
          </cell>
          <cell r="M66">
            <v>0</v>
          </cell>
          <cell r="N66">
            <v>-634492.4</v>
          </cell>
          <cell r="O66">
            <v>0</v>
          </cell>
          <cell r="P66">
            <v>-634492.4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</row>
        <row r="67">
          <cell r="A67">
            <v>39082</v>
          </cell>
          <cell r="B67" t="str">
            <v>Customer Advances</v>
          </cell>
          <cell r="C67">
            <v>0</v>
          </cell>
          <cell r="D67" t="str">
            <v>AAP</v>
          </cell>
          <cell r="E67" t="str">
            <v>Staff Loans</v>
          </cell>
          <cell r="F67" t="str">
            <v>Total Interest Income</v>
          </cell>
          <cell r="G67" t="str">
            <v>5012335</v>
          </cell>
          <cell r="H67">
            <v>0</v>
          </cell>
          <cell r="I67">
            <v>0</v>
          </cell>
          <cell r="J67">
            <v>0</v>
          </cell>
          <cell r="K67" t="str">
            <v>5</v>
          </cell>
          <cell r="L67">
            <v>0</v>
          </cell>
          <cell r="M67">
            <v>0</v>
          </cell>
          <cell r="N67">
            <v>-337918.1</v>
          </cell>
          <cell r="O67">
            <v>0</v>
          </cell>
          <cell r="P67">
            <v>-337918.1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</row>
        <row r="68">
          <cell r="A68">
            <v>39082</v>
          </cell>
          <cell r="B68" t="str">
            <v>Customer Advances</v>
          </cell>
          <cell r="C68">
            <v>0</v>
          </cell>
          <cell r="D68" t="str">
            <v>AAP</v>
          </cell>
          <cell r="E68" t="str">
            <v>Staff Loans</v>
          </cell>
          <cell r="F68" t="str">
            <v>Total Interest Income</v>
          </cell>
          <cell r="G68" t="str">
            <v>5015300</v>
          </cell>
          <cell r="H68">
            <v>0</v>
          </cell>
          <cell r="I68">
            <v>0</v>
          </cell>
          <cell r="J68">
            <v>0</v>
          </cell>
          <cell r="K68" t="str">
            <v>5</v>
          </cell>
          <cell r="L68">
            <v>0</v>
          </cell>
          <cell r="M68">
            <v>0</v>
          </cell>
          <cell r="N68">
            <v>-975005.04</v>
          </cell>
          <cell r="O68">
            <v>0</v>
          </cell>
          <cell r="P68">
            <v>-975005.04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</row>
        <row r="69">
          <cell r="A69">
            <v>39082</v>
          </cell>
          <cell r="B69" t="str">
            <v>Depreciation on Fixed Assets</v>
          </cell>
          <cell r="C69">
            <v>0</v>
          </cell>
          <cell r="D69" t="str">
            <v>NAB</v>
          </cell>
          <cell r="E69" t="str">
            <v>Office Furniture and Equipment</v>
          </cell>
          <cell r="F69" t="str">
            <v>Total Charges</v>
          </cell>
          <cell r="G69" t="str">
            <v>7051120</v>
          </cell>
          <cell r="H69">
            <v>0</v>
          </cell>
          <cell r="I69">
            <v>0</v>
          </cell>
          <cell r="J69">
            <v>0</v>
          </cell>
          <cell r="K69" t="str">
            <v>7</v>
          </cell>
          <cell r="L69">
            <v>0</v>
          </cell>
          <cell r="M69">
            <v>0</v>
          </cell>
          <cell r="N69">
            <v>2662979.2599999998</v>
          </cell>
          <cell r="O69">
            <v>278217.03999999998</v>
          </cell>
          <cell r="P69">
            <v>561440.06999999995</v>
          </cell>
          <cell r="Q69">
            <v>289409.86</v>
          </cell>
          <cell r="R69">
            <v>0</v>
          </cell>
          <cell r="S69">
            <v>601920.44999999995</v>
          </cell>
          <cell r="T69">
            <v>0</v>
          </cell>
          <cell r="U69">
            <v>12000</v>
          </cell>
        </row>
        <row r="70">
          <cell r="A70">
            <v>39082</v>
          </cell>
          <cell r="B70" t="str">
            <v>Depreciation on Fixed Assets</v>
          </cell>
          <cell r="C70">
            <v>0</v>
          </cell>
          <cell r="D70" t="str">
            <v>NAB</v>
          </cell>
          <cell r="E70" t="str">
            <v>Office Furniture and Equipment</v>
          </cell>
          <cell r="F70" t="str">
            <v>Total Charges</v>
          </cell>
          <cell r="G70" t="str">
            <v>7051130</v>
          </cell>
          <cell r="H70">
            <v>0</v>
          </cell>
          <cell r="I70">
            <v>0</v>
          </cell>
          <cell r="J70">
            <v>0</v>
          </cell>
          <cell r="K70" t="str">
            <v>7</v>
          </cell>
          <cell r="L70">
            <v>0</v>
          </cell>
          <cell r="M70">
            <v>0</v>
          </cell>
          <cell r="N70">
            <v>2327812.7400000002</v>
          </cell>
          <cell r="O70">
            <v>59585.97</v>
          </cell>
          <cell r="P70">
            <v>218664.07</v>
          </cell>
          <cell r="Q70">
            <v>335354.2</v>
          </cell>
          <cell r="R70">
            <v>0</v>
          </cell>
          <cell r="S70">
            <v>608342.16</v>
          </cell>
          <cell r="T70">
            <v>0</v>
          </cell>
          <cell r="U70">
            <v>12000</v>
          </cell>
        </row>
        <row r="71">
          <cell r="A71">
            <v>39082</v>
          </cell>
          <cell r="B71" t="str">
            <v>Depreciation on Fixed Assets</v>
          </cell>
          <cell r="C71">
            <v>0</v>
          </cell>
          <cell r="D71" t="str">
            <v>NAC</v>
          </cell>
          <cell r="E71" t="str">
            <v>House Furniture &amp; Equipment</v>
          </cell>
          <cell r="F71" t="str">
            <v>Total Charges</v>
          </cell>
          <cell r="G71" t="str">
            <v>7051140</v>
          </cell>
          <cell r="H71">
            <v>0</v>
          </cell>
          <cell r="I71">
            <v>0</v>
          </cell>
          <cell r="J71">
            <v>0</v>
          </cell>
          <cell r="K71" t="str">
            <v>7</v>
          </cell>
          <cell r="L71">
            <v>0</v>
          </cell>
          <cell r="M71">
            <v>0</v>
          </cell>
          <cell r="N71">
            <v>48430.44</v>
          </cell>
          <cell r="O71">
            <v>29248.34</v>
          </cell>
          <cell r="P71">
            <v>0</v>
          </cell>
          <cell r="Q71">
            <v>19182.099999999999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</row>
        <row r="72">
          <cell r="A72">
            <v>39082</v>
          </cell>
          <cell r="B72" t="str">
            <v>Depreciation on Fixed Assets</v>
          </cell>
          <cell r="C72">
            <v>0</v>
          </cell>
          <cell r="D72" t="str">
            <v>NAC</v>
          </cell>
          <cell r="E72" t="str">
            <v>House Furniture &amp; Equipment</v>
          </cell>
          <cell r="F72" t="str">
            <v>Total Charges</v>
          </cell>
          <cell r="G72" t="str">
            <v>7051145</v>
          </cell>
          <cell r="H72">
            <v>0</v>
          </cell>
          <cell r="I72">
            <v>0</v>
          </cell>
          <cell r="J72">
            <v>0</v>
          </cell>
          <cell r="K72" t="str">
            <v>7</v>
          </cell>
          <cell r="L72">
            <v>0</v>
          </cell>
          <cell r="M72">
            <v>0</v>
          </cell>
          <cell r="N72">
            <v>17052.96</v>
          </cell>
          <cell r="O72">
            <v>17052.96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</row>
        <row r="73">
          <cell r="A73">
            <v>39082</v>
          </cell>
          <cell r="B73" t="str">
            <v>Depreciation on Fixed Assets</v>
          </cell>
          <cell r="C73">
            <v>0</v>
          </cell>
          <cell r="D73" t="str">
            <v>NAE</v>
          </cell>
          <cell r="E73" t="str">
            <v>Computer Equipment</v>
          </cell>
          <cell r="F73" t="str">
            <v>Total Charges</v>
          </cell>
          <cell r="G73" t="str">
            <v>7051160</v>
          </cell>
          <cell r="H73">
            <v>0</v>
          </cell>
          <cell r="I73">
            <v>0</v>
          </cell>
          <cell r="J73">
            <v>0</v>
          </cell>
          <cell r="K73" t="str">
            <v>7</v>
          </cell>
          <cell r="L73">
            <v>0</v>
          </cell>
          <cell r="M73">
            <v>0</v>
          </cell>
          <cell r="N73">
            <v>2941442.05</v>
          </cell>
          <cell r="O73">
            <v>253893.94</v>
          </cell>
          <cell r="P73">
            <v>281746.86</v>
          </cell>
          <cell r="Q73">
            <v>498345.67</v>
          </cell>
          <cell r="R73">
            <v>0</v>
          </cell>
          <cell r="S73">
            <v>832437.45</v>
          </cell>
          <cell r="T73">
            <v>0</v>
          </cell>
          <cell r="U73">
            <v>24000</v>
          </cell>
        </row>
        <row r="74">
          <cell r="A74">
            <v>39082</v>
          </cell>
          <cell r="B74" t="str">
            <v>Depreciation on Fixed Assets</v>
          </cell>
          <cell r="C74">
            <v>0</v>
          </cell>
          <cell r="D74" t="str">
            <v>NAF</v>
          </cell>
          <cell r="E74" t="str">
            <v>Bank Vehicles</v>
          </cell>
          <cell r="F74" t="str">
            <v>Total Charges</v>
          </cell>
          <cell r="G74" t="str">
            <v>7051200</v>
          </cell>
          <cell r="H74">
            <v>0</v>
          </cell>
          <cell r="I74">
            <v>0</v>
          </cell>
          <cell r="J74">
            <v>0</v>
          </cell>
          <cell r="K74" t="str">
            <v>7</v>
          </cell>
          <cell r="L74">
            <v>0</v>
          </cell>
          <cell r="M74">
            <v>0</v>
          </cell>
          <cell r="N74">
            <v>274400.02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</row>
        <row r="75">
          <cell r="A75">
            <v>39082</v>
          </cell>
          <cell r="B75" t="str">
            <v>Establishment Charges</v>
          </cell>
          <cell r="C75">
            <v>0</v>
          </cell>
          <cell r="D75" t="str">
            <v>LAA</v>
          </cell>
          <cell r="E75" t="str">
            <v>Lease Rent</v>
          </cell>
          <cell r="F75" t="str">
            <v>Total Charges</v>
          </cell>
          <cell r="G75" t="str">
            <v>7041131</v>
          </cell>
          <cell r="H75">
            <v>0</v>
          </cell>
          <cell r="I75">
            <v>0</v>
          </cell>
          <cell r="J75">
            <v>0</v>
          </cell>
          <cell r="K75" t="str">
            <v>7</v>
          </cell>
          <cell r="L75">
            <v>0</v>
          </cell>
          <cell r="M75">
            <v>0</v>
          </cell>
          <cell r="N75">
            <v>3282920.03</v>
          </cell>
          <cell r="O75">
            <v>2897908.04</v>
          </cell>
          <cell r="P75">
            <v>0</v>
          </cell>
          <cell r="Q75">
            <v>385011.99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</row>
        <row r="76">
          <cell r="A76">
            <v>39082</v>
          </cell>
          <cell r="B76" t="str">
            <v>Establishment Charges</v>
          </cell>
          <cell r="C76">
            <v>0</v>
          </cell>
          <cell r="D76" t="str">
            <v>LAA</v>
          </cell>
          <cell r="E76" t="str">
            <v>Lease Rent</v>
          </cell>
          <cell r="F76" t="str">
            <v>Total Charges</v>
          </cell>
          <cell r="G76" t="str">
            <v>7062245</v>
          </cell>
          <cell r="H76">
            <v>0</v>
          </cell>
          <cell r="I76">
            <v>0</v>
          </cell>
          <cell r="J76">
            <v>0</v>
          </cell>
          <cell r="K76" t="str">
            <v>7</v>
          </cell>
          <cell r="L76">
            <v>0</v>
          </cell>
          <cell r="M76">
            <v>0</v>
          </cell>
          <cell r="N76">
            <v>1495456.03</v>
          </cell>
          <cell r="O76">
            <v>976235.2</v>
          </cell>
          <cell r="P76">
            <v>52298.32</v>
          </cell>
          <cell r="Q76">
            <v>466922.51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</row>
        <row r="77">
          <cell r="A77">
            <v>39082</v>
          </cell>
          <cell r="B77" t="str">
            <v>Establishment Charges</v>
          </cell>
          <cell r="C77">
            <v>0</v>
          </cell>
          <cell r="D77" t="str">
            <v>LAA</v>
          </cell>
          <cell r="E77" t="str">
            <v>Lease Rent</v>
          </cell>
          <cell r="F77" t="str">
            <v>Total Charges</v>
          </cell>
          <cell r="G77" t="str">
            <v>7062255</v>
          </cell>
          <cell r="H77">
            <v>0</v>
          </cell>
          <cell r="I77">
            <v>0</v>
          </cell>
          <cell r="J77">
            <v>0</v>
          </cell>
          <cell r="K77" t="str">
            <v>7</v>
          </cell>
          <cell r="L77">
            <v>0</v>
          </cell>
          <cell r="M77">
            <v>0</v>
          </cell>
          <cell r="N77">
            <v>5666026.9199999999</v>
          </cell>
          <cell r="O77">
            <v>2498726.66</v>
          </cell>
          <cell r="P77">
            <v>2766447.38</v>
          </cell>
          <cell r="Q77">
            <v>400852.88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</row>
        <row r="78">
          <cell r="A78">
            <v>39082</v>
          </cell>
          <cell r="B78" t="str">
            <v>Establishment Charges</v>
          </cell>
          <cell r="C78">
            <v>0</v>
          </cell>
          <cell r="D78" t="str">
            <v>LAB</v>
          </cell>
          <cell r="E78" t="str">
            <v>Electricity</v>
          </cell>
          <cell r="F78" t="str">
            <v>Total Charges</v>
          </cell>
          <cell r="G78" t="str">
            <v>7031110</v>
          </cell>
          <cell r="H78">
            <v>0</v>
          </cell>
          <cell r="I78">
            <v>0</v>
          </cell>
          <cell r="J78">
            <v>0</v>
          </cell>
          <cell r="K78" t="str">
            <v>7</v>
          </cell>
          <cell r="L78">
            <v>0</v>
          </cell>
          <cell r="M78">
            <v>0</v>
          </cell>
          <cell r="N78">
            <v>3278604</v>
          </cell>
          <cell r="O78">
            <v>627444.44999999995</v>
          </cell>
          <cell r="P78">
            <v>1245239.55</v>
          </cell>
          <cell r="Q78">
            <v>595022</v>
          </cell>
          <cell r="R78">
            <v>0</v>
          </cell>
          <cell r="S78">
            <v>304577</v>
          </cell>
          <cell r="T78">
            <v>0</v>
          </cell>
          <cell r="U78">
            <v>0</v>
          </cell>
        </row>
        <row r="79">
          <cell r="A79">
            <v>39082</v>
          </cell>
          <cell r="B79" t="str">
            <v>Establishment Charges</v>
          </cell>
          <cell r="C79">
            <v>0</v>
          </cell>
          <cell r="D79" t="str">
            <v>LAB</v>
          </cell>
          <cell r="E79" t="str">
            <v>Electricity</v>
          </cell>
          <cell r="F79" t="str">
            <v>Total Charges</v>
          </cell>
          <cell r="G79" t="str">
            <v>7031115</v>
          </cell>
          <cell r="H79">
            <v>0</v>
          </cell>
          <cell r="I79">
            <v>0</v>
          </cell>
          <cell r="J79">
            <v>0</v>
          </cell>
          <cell r="K79" t="str">
            <v>7</v>
          </cell>
          <cell r="L79">
            <v>0</v>
          </cell>
          <cell r="M79">
            <v>0</v>
          </cell>
          <cell r="N79">
            <v>442571</v>
          </cell>
          <cell r="O79">
            <v>418847</v>
          </cell>
          <cell r="P79">
            <v>0</v>
          </cell>
          <cell r="Q79">
            <v>23724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</row>
        <row r="80">
          <cell r="A80">
            <v>39082</v>
          </cell>
          <cell r="B80" t="str">
            <v>Establishment Charges</v>
          </cell>
          <cell r="C80">
            <v>0</v>
          </cell>
          <cell r="D80" t="str">
            <v>LAC</v>
          </cell>
          <cell r="E80" t="str">
            <v>Rent, Rates &amp; Taxes</v>
          </cell>
          <cell r="F80" t="str">
            <v>Total Charges</v>
          </cell>
          <cell r="G80" t="str">
            <v>7031100</v>
          </cell>
          <cell r="H80">
            <v>0</v>
          </cell>
          <cell r="I80">
            <v>0</v>
          </cell>
          <cell r="J80">
            <v>0</v>
          </cell>
          <cell r="K80" t="str">
            <v>7</v>
          </cell>
          <cell r="L80">
            <v>0</v>
          </cell>
          <cell r="M80">
            <v>0</v>
          </cell>
          <cell r="N80">
            <v>16963252.310000002</v>
          </cell>
          <cell r="O80">
            <v>2947275.15</v>
          </cell>
          <cell r="P80">
            <v>5947580.8499999996</v>
          </cell>
          <cell r="Q80">
            <v>2438400</v>
          </cell>
          <cell r="R80">
            <v>0</v>
          </cell>
          <cell r="S80">
            <v>3101697</v>
          </cell>
          <cell r="T80">
            <v>23899.31</v>
          </cell>
          <cell r="U80">
            <v>420000</v>
          </cell>
        </row>
        <row r="81">
          <cell r="A81">
            <v>39082</v>
          </cell>
          <cell r="B81" t="str">
            <v>Establishment Charges</v>
          </cell>
          <cell r="C81">
            <v>0</v>
          </cell>
          <cell r="D81" t="str">
            <v>LAC</v>
          </cell>
          <cell r="E81" t="str">
            <v>Rent, Rates &amp; Taxes</v>
          </cell>
          <cell r="F81" t="str">
            <v>Total Charges</v>
          </cell>
          <cell r="G81" t="str">
            <v>7031105</v>
          </cell>
          <cell r="H81">
            <v>0</v>
          </cell>
          <cell r="I81">
            <v>0</v>
          </cell>
          <cell r="J81">
            <v>0</v>
          </cell>
          <cell r="K81" t="str">
            <v>7</v>
          </cell>
          <cell r="L81">
            <v>0</v>
          </cell>
          <cell r="M81">
            <v>0</v>
          </cell>
          <cell r="N81">
            <v>1045500</v>
          </cell>
          <cell r="O81">
            <v>1023000</v>
          </cell>
          <cell r="P81">
            <v>0</v>
          </cell>
          <cell r="Q81">
            <v>22500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</row>
        <row r="82">
          <cell r="A82">
            <v>39082</v>
          </cell>
          <cell r="B82" t="str">
            <v>Establishment Charges</v>
          </cell>
          <cell r="C82">
            <v>0</v>
          </cell>
          <cell r="D82" t="str">
            <v>LAD</v>
          </cell>
          <cell r="E82" t="str">
            <v>Telephones</v>
          </cell>
          <cell r="F82" t="str">
            <v>Total Charges</v>
          </cell>
          <cell r="G82" t="str">
            <v>7031120</v>
          </cell>
          <cell r="H82">
            <v>0</v>
          </cell>
          <cell r="I82">
            <v>0</v>
          </cell>
          <cell r="J82">
            <v>0</v>
          </cell>
          <cell r="K82" t="str">
            <v>7</v>
          </cell>
          <cell r="L82">
            <v>0</v>
          </cell>
          <cell r="M82">
            <v>0</v>
          </cell>
          <cell r="N82">
            <v>1814069.11</v>
          </cell>
          <cell r="O82">
            <v>855846.67</v>
          </cell>
          <cell r="P82">
            <v>283343.44</v>
          </cell>
          <cell r="Q82">
            <v>346099.99</v>
          </cell>
          <cell r="R82">
            <v>0</v>
          </cell>
          <cell r="S82">
            <v>90145.22</v>
          </cell>
          <cell r="T82">
            <v>10000</v>
          </cell>
          <cell r="U82">
            <v>11070</v>
          </cell>
        </row>
        <row r="83">
          <cell r="A83">
            <v>39082</v>
          </cell>
          <cell r="B83" t="str">
            <v>Establishment Charges</v>
          </cell>
          <cell r="C83">
            <v>0</v>
          </cell>
          <cell r="D83" t="str">
            <v>LAD</v>
          </cell>
          <cell r="E83" t="str">
            <v>Telephones</v>
          </cell>
          <cell r="F83" t="str">
            <v>Total Charges</v>
          </cell>
          <cell r="G83" t="str">
            <v>7031121</v>
          </cell>
          <cell r="H83">
            <v>0</v>
          </cell>
          <cell r="I83">
            <v>0</v>
          </cell>
          <cell r="J83">
            <v>0</v>
          </cell>
          <cell r="K83" t="str">
            <v>7</v>
          </cell>
          <cell r="L83">
            <v>0</v>
          </cell>
          <cell r="M83">
            <v>0</v>
          </cell>
          <cell r="N83">
            <v>179483.58</v>
          </cell>
          <cell r="O83">
            <v>167272.07999999999</v>
          </cell>
          <cell r="P83">
            <v>1121.5</v>
          </cell>
          <cell r="Q83">
            <v>11090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</row>
        <row r="84">
          <cell r="A84">
            <v>39082</v>
          </cell>
          <cell r="B84" t="str">
            <v>Establishment Charges</v>
          </cell>
          <cell r="C84">
            <v>0</v>
          </cell>
          <cell r="D84" t="str">
            <v>LAE</v>
          </cell>
          <cell r="E84" t="str">
            <v>Security Services</v>
          </cell>
          <cell r="F84" t="str">
            <v>Total Charges</v>
          </cell>
          <cell r="G84" t="str">
            <v>7031130</v>
          </cell>
          <cell r="H84">
            <v>0</v>
          </cell>
          <cell r="I84">
            <v>0</v>
          </cell>
          <cell r="J84">
            <v>0</v>
          </cell>
          <cell r="K84" t="str">
            <v>7</v>
          </cell>
          <cell r="L84">
            <v>0</v>
          </cell>
          <cell r="M84">
            <v>0</v>
          </cell>
          <cell r="N84">
            <v>2545442.0699999998</v>
          </cell>
          <cell r="O84">
            <v>585001.63</v>
          </cell>
          <cell r="P84">
            <v>647680.37</v>
          </cell>
          <cell r="Q84">
            <v>606395.91</v>
          </cell>
          <cell r="R84">
            <v>0</v>
          </cell>
          <cell r="S84">
            <v>456201.72</v>
          </cell>
          <cell r="T84">
            <v>0</v>
          </cell>
          <cell r="U84">
            <v>0</v>
          </cell>
        </row>
        <row r="85">
          <cell r="A85">
            <v>39082</v>
          </cell>
          <cell r="B85" t="str">
            <v>Establishment Charges</v>
          </cell>
          <cell r="C85">
            <v>0</v>
          </cell>
          <cell r="D85" t="str">
            <v>LAF</v>
          </cell>
          <cell r="E85" t="str">
            <v>Insurance</v>
          </cell>
          <cell r="F85" t="str">
            <v>Total Charges</v>
          </cell>
          <cell r="G85" t="str">
            <v>7031140</v>
          </cell>
          <cell r="H85">
            <v>0</v>
          </cell>
          <cell r="I85">
            <v>0</v>
          </cell>
          <cell r="J85">
            <v>0</v>
          </cell>
          <cell r="K85" t="str">
            <v>7</v>
          </cell>
          <cell r="L85">
            <v>0</v>
          </cell>
          <cell r="M85">
            <v>0</v>
          </cell>
          <cell r="N85">
            <v>5622506.4600000009</v>
          </cell>
          <cell r="O85">
            <v>1928697.12</v>
          </cell>
          <cell r="P85">
            <v>2135343.23</v>
          </cell>
          <cell r="Q85">
            <v>1198886.6299999999</v>
          </cell>
          <cell r="R85">
            <v>0</v>
          </cell>
          <cell r="S85">
            <v>272673.48</v>
          </cell>
          <cell r="T85">
            <v>0</v>
          </cell>
          <cell r="U85">
            <v>8450</v>
          </cell>
        </row>
        <row r="86">
          <cell r="A86">
            <v>39082</v>
          </cell>
          <cell r="B86" t="str">
            <v>Establishment Charges</v>
          </cell>
          <cell r="C86">
            <v>0</v>
          </cell>
          <cell r="D86" t="str">
            <v>LAG</v>
          </cell>
          <cell r="E86" t="str">
            <v>Water</v>
          </cell>
          <cell r="F86" t="str">
            <v>Total Charges</v>
          </cell>
          <cell r="G86" t="str">
            <v>7031125</v>
          </cell>
          <cell r="H86">
            <v>0</v>
          </cell>
          <cell r="I86">
            <v>0</v>
          </cell>
          <cell r="J86">
            <v>0</v>
          </cell>
          <cell r="K86" t="str">
            <v>7</v>
          </cell>
          <cell r="L86">
            <v>0</v>
          </cell>
          <cell r="M86">
            <v>0</v>
          </cell>
          <cell r="N86">
            <v>199805.06</v>
          </cell>
          <cell r="O86">
            <v>81869.63</v>
          </cell>
          <cell r="P86">
            <v>90641.37</v>
          </cell>
          <cell r="Q86">
            <v>15294.06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</row>
        <row r="87">
          <cell r="A87">
            <v>39082</v>
          </cell>
          <cell r="B87" t="str">
            <v>Establishment Charges</v>
          </cell>
          <cell r="C87">
            <v>0</v>
          </cell>
          <cell r="D87" t="str">
            <v>LAG</v>
          </cell>
          <cell r="E87" t="str">
            <v>Water</v>
          </cell>
          <cell r="F87" t="str">
            <v>Total Charges</v>
          </cell>
          <cell r="G87" t="str">
            <v>7031126</v>
          </cell>
          <cell r="H87">
            <v>0</v>
          </cell>
          <cell r="I87">
            <v>0</v>
          </cell>
          <cell r="J87">
            <v>0</v>
          </cell>
          <cell r="K87" t="str">
            <v>7</v>
          </cell>
          <cell r="L87">
            <v>0</v>
          </cell>
          <cell r="M87">
            <v>0</v>
          </cell>
          <cell r="N87">
            <v>19029</v>
          </cell>
          <cell r="O87">
            <v>19029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</row>
        <row r="88">
          <cell r="A88">
            <v>39082</v>
          </cell>
          <cell r="B88" t="str">
            <v>Exchange Profit</v>
          </cell>
          <cell r="C88">
            <v>0</v>
          </cell>
          <cell r="D88" t="str">
            <v>FAA</v>
          </cell>
          <cell r="E88" t="str">
            <v>Exchange Profit</v>
          </cell>
          <cell r="F88" t="str">
            <v>Exchange Profit</v>
          </cell>
          <cell r="G88" t="str">
            <v>5020000</v>
          </cell>
          <cell r="H88">
            <v>0</v>
          </cell>
          <cell r="I88">
            <v>0</v>
          </cell>
          <cell r="J88">
            <v>0</v>
          </cell>
          <cell r="K88" t="str">
            <v>5</v>
          </cell>
          <cell r="L88">
            <v>0</v>
          </cell>
          <cell r="M88">
            <v>0</v>
          </cell>
          <cell r="N88">
            <v>-245658068.91999999</v>
          </cell>
          <cell r="O88">
            <v>-92191.1</v>
          </cell>
          <cell r="P88">
            <v>-237381045.53999999</v>
          </cell>
          <cell r="Q88">
            <v>-8184832.2800000003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</row>
        <row r="89">
          <cell r="A89">
            <v>39082</v>
          </cell>
          <cell r="B89" t="str">
            <v>Exchange Profit</v>
          </cell>
          <cell r="C89">
            <v>0</v>
          </cell>
          <cell r="D89" t="str">
            <v>FAA</v>
          </cell>
          <cell r="E89" t="str">
            <v>Exchange Profit</v>
          </cell>
          <cell r="F89" t="str">
            <v>Exchange Profit</v>
          </cell>
          <cell r="G89" t="str">
            <v>5620000</v>
          </cell>
          <cell r="H89">
            <v>0</v>
          </cell>
          <cell r="I89">
            <v>0</v>
          </cell>
          <cell r="J89">
            <v>0</v>
          </cell>
          <cell r="K89" t="str">
            <v>5</v>
          </cell>
          <cell r="L89">
            <v>0</v>
          </cell>
          <cell r="M89">
            <v>0</v>
          </cell>
          <cell r="N89">
            <v>11972.88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11972.88</v>
          </cell>
        </row>
        <row r="90">
          <cell r="A90">
            <v>39082</v>
          </cell>
          <cell r="B90" t="str">
            <v>Investment Income</v>
          </cell>
          <cell r="C90">
            <v>0</v>
          </cell>
          <cell r="D90" t="str">
            <v>GAB</v>
          </cell>
          <cell r="E90" t="str">
            <v>Interest from IDLC. Bonds</v>
          </cell>
          <cell r="F90" t="str">
            <v>Investment Income</v>
          </cell>
          <cell r="G90" t="str">
            <v>5041410</v>
          </cell>
          <cell r="H90">
            <v>0</v>
          </cell>
          <cell r="I90">
            <v>0</v>
          </cell>
          <cell r="J90">
            <v>0</v>
          </cell>
          <cell r="K90" t="str">
            <v>5</v>
          </cell>
          <cell r="L90">
            <v>0</v>
          </cell>
          <cell r="M90">
            <v>0</v>
          </cell>
          <cell r="N90">
            <v>-2851547.5</v>
          </cell>
          <cell r="O90">
            <v>0</v>
          </cell>
          <cell r="P90">
            <v>-2851547.5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</row>
        <row r="91">
          <cell r="A91">
            <v>39082</v>
          </cell>
          <cell r="B91" t="str">
            <v>Less : Interest Paid on Deposits</v>
          </cell>
          <cell r="C91">
            <v>0</v>
          </cell>
          <cell r="D91" t="str">
            <v>CAB</v>
          </cell>
          <cell r="E91" t="str">
            <v>Fixed Deposits</v>
          </cell>
          <cell r="F91" t="str">
            <v>Total Interest Paid</v>
          </cell>
          <cell r="G91" t="str">
            <v>7011123</v>
          </cell>
          <cell r="H91">
            <v>0</v>
          </cell>
          <cell r="I91">
            <v>0</v>
          </cell>
          <cell r="J91">
            <v>0</v>
          </cell>
          <cell r="K91" t="str">
            <v>7</v>
          </cell>
          <cell r="L91">
            <v>0</v>
          </cell>
          <cell r="M91">
            <v>0</v>
          </cell>
          <cell r="N91">
            <v>94920630.569999993</v>
          </cell>
          <cell r="O91">
            <v>0</v>
          </cell>
          <cell r="P91">
            <v>70138803.480000004</v>
          </cell>
          <cell r="Q91">
            <v>18392622.449999999</v>
          </cell>
          <cell r="R91">
            <v>0</v>
          </cell>
          <cell r="S91">
            <v>5682784.1900000004</v>
          </cell>
          <cell r="T91">
            <v>0</v>
          </cell>
          <cell r="U91">
            <v>0</v>
          </cell>
        </row>
        <row r="92">
          <cell r="A92">
            <v>39082</v>
          </cell>
          <cell r="B92" t="str">
            <v>Less : Interest Paid on Deposits</v>
          </cell>
          <cell r="C92">
            <v>0</v>
          </cell>
          <cell r="D92" t="str">
            <v>CAB</v>
          </cell>
          <cell r="E92" t="str">
            <v>Fixed Deposits</v>
          </cell>
          <cell r="F92" t="str">
            <v>Total Interest Paid</v>
          </cell>
          <cell r="G92" t="str">
            <v>7011126</v>
          </cell>
          <cell r="H92">
            <v>0</v>
          </cell>
          <cell r="I92">
            <v>0</v>
          </cell>
          <cell r="J92">
            <v>0</v>
          </cell>
          <cell r="K92" t="str">
            <v>7</v>
          </cell>
          <cell r="L92">
            <v>0</v>
          </cell>
          <cell r="M92">
            <v>0</v>
          </cell>
          <cell r="N92">
            <v>49918371.849999994</v>
          </cell>
          <cell r="O92">
            <v>0</v>
          </cell>
          <cell r="P92">
            <v>30322811.420000002</v>
          </cell>
          <cell r="Q92">
            <v>11719953.27</v>
          </cell>
          <cell r="R92">
            <v>0</v>
          </cell>
          <cell r="S92">
            <v>2202540.33</v>
          </cell>
          <cell r="T92">
            <v>0</v>
          </cell>
          <cell r="U92">
            <v>0</v>
          </cell>
        </row>
        <row r="93">
          <cell r="A93">
            <v>39082</v>
          </cell>
          <cell r="B93" t="str">
            <v>Less : Interest Paid on Deposits</v>
          </cell>
          <cell r="C93">
            <v>0</v>
          </cell>
          <cell r="D93" t="str">
            <v>CAB</v>
          </cell>
          <cell r="E93" t="str">
            <v>Fixed Deposits</v>
          </cell>
          <cell r="F93" t="str">
            <v>Total Interest Paid</v>
          </cell>
          <cell r="G93" t="str">
            <v>7011128</v>
          </cell>
          <cell r="H93">
            <v>0</v>
          </cell>
          <cell r="I93">
            <v>0</v>
          </cell>
          <cell r="J93">
            <v>0</v>
          </cell>
          <cell r="K93" t="str">
            <v>7</v>
          </cell>
          <cell r="L93">
            <v>0</v>
          </cell>
          <cell r="M93">
            <v>0</v>
          </cell>
          <cell r="N93">
            <v>161322325.48000002</v>
          </cell>
          <cell r="O93">
            <v>0</v>
          </cell>
          <cell r="P93">
            <v>91249593.890000001</v>
          </cell>
          <cell r="Q93">
            <v>64721513.299999997</v>
          </cell>
          <cell r="R93">
            <v>0</v>
          </cell>
          <cell r="S93">
            <v>4658930.0199999996</v>
          </cell>
          <cell r="T93">
            <v>0</v>
          </cell>
          <cell r="U93">
            <v>0</v>
          </cell>
        </row>
        <row r="94">
          <cell r="A94">
            <v>39082</v>
          </cell>
          <cell r="B94" t="str">
            <v>Less : Interest Paid on Deposits</v>
          </cell>
          <cell r="C94">
            <v>0</v>
          </cell>
          <cell r="D94" t="str">
            <v>CAB</v>
          </cell>
          <cell r="E94" t="str">
            <v>Fixed Deposits</v>
          </cell>
          <cell r="F94" t="str">
            <v>Total Interest Paid</v>
          </cell>
          <cell r="G94" t="str">
            <v>7011129</v>
          </cell>
          <cell r="H94">
            <v>0</v>
          </cell>
          <cell r="I94">
            <v>0</v>
          </cell>
          <cell r="J94">
            <v>0</v>
          </cell>
          <cell r="K94" t="str">
            <v>7</v>
          </cell>
          <cell r="L94">
            <v>0</v>
          </cell>
          <cell r="M94">
            <v>0</v>
          </cell>
          <cell r="N94">
            <v>4089513.53</v>
          </cell>
          <cell r="O94">
            <v>0</v>
          </cell>
          <cell r="P94">
            <v>1885740.13</v>
          </cell>
          <cell r="Q94">
            <v>0</v>
          </cell>
          <cell r="R94">
            <v>0</v>
          </cell>
          <cell r="S94">
            <v>2064571.77</v>
          </cell>
          <cell r="T94">
            <v>0</v>
          </cell>
          <cell r="U94">
            <v>0</v>
          </cell>
        </row>
        <row r="95">
          <cell r="A95">
            <v>39082</v>
          </cell>
          <cell r="B95" t="str">
            <v>Less : Interest Paid on Deposits</v>
          </cell>
          <cell r="C95">
            <v>0</v>
          </cell>
          <cell r="D95" t="str">
            <v>CAC</v>
          </cell>
          <cell r="E95" t="str">
            <v>Notice Deposits (Short term deposits)</v>
          </cell>
          <cell r="F95" t="str">
            <v>Total Interest Paid</v>
          </cell>
          <cell r="G95" t="str">
            <v>7011140</v>
          </cell>
          <cell r="H95">
            <v>0</v>
          </cell>
          <cell r="I95">
            <v>0</v>
          </cell>
          <cell r="J95">
            <v>0</v>
          </cell>
          <cell r="K95" t="str">
            <v>7</v>
          </cell>
          <cell r="L95">
            <v>0</v>
          </cell>
          <cell r="M95">
            <v>0</v>
          </cell>
          <cell r="N95">
            <v>25982091.879999999</v>
          </cell>
          <cell r="O95">
            <v>0</v>
          </cell>
          <cell r="P95">
            <v>10217301.4</v>
          </cell>
          <cell r="Q95">
            <v>15659876.26</v>
          </cell>
          <cell r="R95">
            <v>0</v>
          </cell>
          <cell r="S95">
            <v>3277.89</v>
          </cell>
          <cell r="T95">
            <v>0</v>
          </cell>
          <cell r="U95">
            <v>0</v>
          </cell>
        </row>
        <row r="96">
          <cell r="A96">
            <v>39082</v>
          </cell>
          <cell r="B96" t="str">
            <v>Less : Interest Paid on Deposits</v>
          </cell>
          <cell r="C96">
            <v>0</v>
          </cell>
          <cell r="D96" t="str">
            <v>CAD</v>
          </cell>
          <cell r="E96" t="str">
            <v>Dream Planner Savings</v>
          </cell>
          <cell r="F96" t="str">
            <v>Total Interest Paid</v>
          </cell>
          <cell r="G96" t="str">
            <v>7011185</v>
          </cell>
          <cell r="H96">
            <v>0</v>
          </cell>
          <cell r="I96">
            <v>0</v>
          </cell>
          <cell r="J96">
            <v>0</v>
          </cell>
          <cell r="K96" t="str">
            <v>7</v>
          </cell>
          <cell r="L96">
            <v>0</v>
          </cell>
          <cell r="M96">
            <v>0</v>
          </cell>
          <cell r="N96">
            <v>580737.16</v>
          </cell>
          <cell r="O96">
            <v>0</v>
          </cell>
          <cell r="P96">
            <v>210704.33</v>
          </cell>
          <cell r="Q96">
            <v>209512.41</v>
          </cell>
          <cell r="R96">
            <v>0</v>
          </cell>
          <cell r="S96">
            <v>146201.20000000001</v>
          </cell>
          <cell r="T96">
            <v>0</v>
          </cell>
          <cell r="U96">
            <v>0</v>
          </cell>
        </row>
        <row r="97">
          <cell r="A97">
            <v>39082</v>
          </cell>
          <cell r="B97" t="str">
            <v>Less : Interest Paid on Deposits</v>
          </cell>
          <cell r="C97">
            <v>0</v>
          </cell>
          <cell r="D97" t="str">
            <v>CAE</v>
          </cell>
          <cell r="E97" t="str">
            <v>Lien Money Market</v>
          </cell>
          <cell r="F97" t="str">
            <v>Total Interest Paid</v>
          </cell>
          <cell r="G97" t="str">
            <v>7011230</v>
          </cell>
          <cell r="H97">
            <v>0</v>
          </cell>
          <cell r="I97">
            <v>0</v>
          </cell>
          <cell r="J97">
            <v>0</v>
          </cell>
          <cell r="K97" t="str">
            <v>7</v>
          </cell>
          <cell r="L97">
            <v>0</v>
          </cell>
          <cell r="M97">
            <v>0</v>
          </cell>
          <cell r="N97">
            <v>498773.34</v>
          </cell>
          <cell r="O97">
            <v>0</v>
          </cell>
          <cell r="P97">
            <v>498773.34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</row>
        <row r="98">
          <cell r="A98">
            <v>39082</v>
          </cell>
          <cell r="B98" t="str">
            <v>Less : Interest Paid on Deposits</v>
          </cell>
          <cell r="C98">
            <v>0</v>
          </cell>
          <cell r="D98" t="str">
            <v>CAF</v>
          </cell>
          <cell r="E98" t="str">
            <v>Shamriddhi Tier Savings</v>
          </cell>
          <cell r="F98" t="str">
            <v>Total Interest Paid</v>
          </cell>
          <cell r="G98" t="str">
            <v>7011188</v>
          </cell>
          <cell r="H98">
            <v>0</v>
          </cell>
          <cell r="I98">
            <v>0</v>
          </cell>
          <cell r="J98">
            <v>0</v>
          </cell>
          <cell r="K98" t="str">
            <v>7</v>
          </cell>
          <cell r="L98">
            <v>0</v>
          </cell>
          <cell r="M98">
            <v>0</v>
          </cell>
          <cell r="N98">
            <v>681957.12</v>
          </cell>
          <cell r="O98">
            <v>0</v>
          </cell>
          <cell r="P98">
            <v>442473.22</v>
          </cell>
          <cell r="Q98">
            <v>70109.84</v>
          </cell>
          <cell r="R98">
            <v>0</v>
          </cell>
          <cell r="S98">
            <v>156882.84</v>
          </cell>
          <cell r="T98">
            <v>0</v>
          </cell>
          <cell r="U98">
            <v>0</v>
          </cell>
        </row>
        <row r="99">
          <cell r="A99">
            <v>39082</v>
          </cell>
          <cell r="B99" t="str">
            <v>Less : Interest Paid on Deposits</v>
          </cell>
          <cell r="C99">
            <v>0</v>
          </cell>
          <cell r="D99" t="str">
            <v>CAG</v>
          </cell>
          <cell r="E99" t="str">
            <v>Savings Deposits</v>
          </cell>
          <cell r="F99" t="str">
            <v>Total Interest Paid</v>
          </cell>
          <cell r="G99" t="str">
            <v>7011170</v>
          </cell>
          <cell r="H99">
            <v>0</v>
          </cell>
          <cell r="I99">
            <v>0</v>
          </cell>
          <cell r="J99">
            <v>0</v>
          </cell>
          <cell r="K99" t="str">
            <v>7</v>
          </cell>
          <cell r="L99">
            <v>0</v>
          </cell>
          <cell r="M99">
            <v>0</v>
          </cell>
          <cell r="N99">
            <v>19744137.549999997</v>
          </cell>
          <cell r="O99">
            <v>0</v>
          </cell>
          <cell r="P99">
            <v>13472047.83</v>
          </cell>
          <cell r="Q99">
            <v>4095979</v>
          </cell>
          <cell r="R99">
            <v>0</v>
          </cell>
          <cell r="S99">
            <v>1608241.65</v>
          </cell>
          <cell r="T99">
            <v>0</v>
          </cell>
          <cell r="U99">
            <v>107700.17</v>
          </cell>
        </row>
        <row r="100">
          <cell r="A100">
            <v>39082</v>
          </cell>
          <cell r="B100" t="str">
            <v>Less : Interest Paid on Deposits</v>
          </cell>
          <cell r="C100">
            <v>0</v>
          </cell>
          <cell r="D100" t="str">
            <v>CAG</v>
          </cell>
          <cell r="E100" t="str">
            <v>Savings Deposits</v>
          </cell>
          <cell r="F100" t="str">
            <v>Total Interest Paid</v>
          </cell>
          <cell r="G100" t="str">
            <v>7011189</v>
          </cell>
          <cell r="H100">
            <v>0</v>
          </cell>
          <cell r="I100">
            <v>0</v>
          </cell>
          <cell r="J100">
            <v>0</v>
          </cell>
          <cell r="K100" t="str">
            <v>7</v>
          </cell>
          <cell r="L100">
            <v>0</v>
          </cell>
          <cell r="M100">
            <v>0</v>
          </cell>
          <cell r="N100">
            <v>3722.14</v>
          </cell>
          <cell r="O100">
            <v>0</v>
          </cell>
          <cell r="P100">
            <v>1206.43</v>
          </cell>
          <cell r="Q100">
            <v>446.43</v>
          </cell>
          <cell r="R100">
            <v>0</v>
          </cell>
          <cell r="S100">
            <v>1017.23</v>
          </cell>
          <cell r="T100">
            <v>0</v>
          </cell>
          <cell r="U100">
            <v>0</v>
          </cell>
        </row>
        <row r="101">
          <cell r="A101">
            <v>39082</v>
          </cell>
          <cell r="B101" t="str">
            <v>Less : Interest Paid on Deposits</v>
          </cell>
          <cell r="C101">
            <v>0</v>
          </cell>
          <cell r="D101" t="str">
            <v>CAI</v>
          </cell>
          <cell r="E101" t="str">
            <v>Fixed Deposit High 5</v>
          </cell>
          <cell r="F101" t="str">
            <v>Total Interest Paid</v>
          </cell>
          <cell r="G101" t="str">
            <v>7011130</v>
          </cell>
          <cell r="H101">
            <v>0</v>
          </cell>
          <cell r="I101">
            <v>0</v>
          </cell>
          <cell r="J101">
            <v>0</v>
          </cell>
          <cell r="K101" t="str">
            <v>7</v>
          </cell>
          <cell r="L101">
            <v>0</v>
          </cell>
          <cell r="M101">
            <v>0</v>
          </cell>
          <cell r="N101">
            <v>5110264.6100000003</v>
          </cell>
          <cell r="O101">
            <v>0</v>
          </cell>
          <cell r="P101">
            <v>2453240.75</v>
          </cell>
          <cell r="Q101">
            <v>948263.65</v>
          </cell>
          <cell r="R101">
            <v>0</v>
          </cell>
          <cell r="S101">
            <v>1112274.52</v>
          </cell>
          <cell r="T101">
            <v>0</v>
          </cell>
          <cell r="U101">
            <v>0</v>
          </cell>
        </row>
        <row r="102">
          <cell r="A102">
            <v>39082</v>
          </cell>
          <cell r="B102" t="str">
            <v>Less : Interest Paid on Deposits</v>
          </cell>
          <cell r="C102">
            <v>0</v>
          </cell>
          <cell r="D102" t="str">
            <v>CAK</v>
          </cell>
          <cell r="E102" t="str">
            <v>Foreign Currency Savings Plus</v>
          </cell>
          <cell r="F102" t="str">
            <v>Total Interest Paid</v>
          </cell>
          <cell r="G102" t="str">
            <v>7011195</v>
          </cell>
          <cell r="H102">
            <v>0</v>
          </cell>
          <cell r="I102">
            <v>0</v>
          </cell>
          <cell r="J102">
            <v>0</v>
          </cell>
          <cell r="K102" t="str">
            <v>7</v>
          </cell>
          <cell r="L102">
            <v>0</v>
          </cell>
          <cell r="M102">
            <v>0</v>
          </cell>
          <cell r="N102">
            <v>3633642.19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2329.9499999999998</v>
          </cell>
          <cell r="U102">
            <v>3631312.24</v>
          </cell>
        </row>
        <row r="103">
          <cell r="A103">
            <v>39082</v>
          </cell>
          <cell r="B103" t="str">
            <v>Less : Interest Paid on Deposits</v>
          </cell>
          <cell r="C103">
            <v>0</v>
          </cell>
          <cell r="D103" t="str">
            <v>CAL</v>
          </cell>
          <cell r="E103" t="str">
            <v>Foreign Currency Savings &amp; FD's</v>
          </cell>
          <cell r="F103" t="str">
            <v>Total Interest Paid</v>
          </cell>
          <cell r="G103" t="str">
            <v>7011172</v>
          </cell>
          <cell r="H103">
            <v>0</v>
          </cell>
          <cell r="I103">
            <v>0</v>
          </cell>
          <cell r="J103">
            <v>0</v>
          </cell>
          <cell r="K103" t="str">
            <v>7</v>
          </cell>
          <cell r="L103">
            <v>0</v>
          </cell>
          <cell r="M103">
            <v>0</v>
          </cell>
          <cell r="N103">
            <v>24344545.079999998</v>
          </cell>
          <cell r="O103">
            <v>0</v>
          </cell>
          <cell r="P103">
            <v>15819911.529999999</v>
          </cell>
          <cell r="Q103">
            <v>509249.44</v>
          </cell>
          <cell r="R103">
            <v>0</v>
          </cell>
          <cell r="S103">
            <v>56551.09</v>
          </cell>
          <cell r="T103">
            <v>2099132.81</v>
          </cell>
          <cell r="U103">
            <v>5859700.21</v>
          </cell>
        </row>
        <row r="104">
          <cell r="A104">
            <v>39082</v>
          </cell>
          <cell r="B104" t="str">
            <v>Less : Interest Paid on Deposits</v>
          </cell>
          <cell r="C104">
            <v>0</v>
          </cell>
          <cell r="D104" t="str">
            <v>CAM</v>
          </cell>
          <cell r="E104" t="str">
            <v>N.R.F.C. Deposits</v>
          </cell>
          <cell r="F104" t="str">
            <v>Total Interest Paid</v>
          </cell>
          <cell r="G104" t="str">
            <v>7011205</v>
          </cell>
          <cell r="H104">
            <v>0</v>
          </cell>
          <cell r="I104">
            <v>0</v>
          </cell>
          <cell r="J104">
            <v>0</v>
          </cell>
          <cell r="K104" t="str">
            <v>7</v>
          </cell>
          <cell r="L104">
            <v>0</v>
          </cell>
          <cell r="M104">
            <v>0</v>
          </cell>
          <cell r="N104">
            <v>4522467.88</v>
          </cell>
          <cell r="O104">
            <v>0</v>
          </cell>
          <cell r="P104">
            <v>2678169.84</v>
          </cell>
          <cell r="Q104">
            <v>1836967.17</v>
          </cell>
          <cell r="R104">
            <v>0</v>
          </cell>
          <cell r="S104">
            <v>7330.87</v>
          </cell>
          <cell r="T104">
            <v>0</v>
          </cell>
          <cell r="U104">
            <v>0</v>
          </cell>
        </row>
        <row r="105">
          <cell r="A105">
            <v>39082</v>
          </cell>
          <cell r="B105" t="str">
            <v>Less : Interest Paid on Deposits</v>
          </cell>
          <cell r="C105">
            <v>0</v>
          </cell>
          <cell r="D105" t="str">
            <v>CAN</v>
          </cell>
          <cell r="E105" t="str">
            <v>Money Market Accounts</v>
          </cell>
          <cell r="F105" t="str">
            <v>Total Interest Paid</v>
          </cell>
          <cell r="G105" t="str">
            <v>7011190</v>
          </cell>
          <cell r="H105">
            <v>0</v>
          </cell>
          <cell r="I105">
            <v>0</v>
          </cell>
          <cell r="J105">
            <v>0</v>
          </cell>
          <cell r="K105" t="str">
            <v>7</v>
          </cell>
          <cell r="L105">
            <v>0</v>
          </cell>
          <cell r="M105">
            <v>0</v>
          </cell>
          <cell r="N105">
            <v>30055401.199999999</v>
          </cell>
          <cell r="O105">
            <v>0</v>
          </cell>
          <cell r="P105">
            <v>13644216.710000001</v>
          </cell>
          <cell r="Q105">
            <v>3395534.37</v>
          </cell>
          <cell r="R105">
            <v>0</v>
          </cell>
          <cell r="S105">
            <v>12470260.59</v>
          </cell>
          <cell r="T105">
            <v>0</v>
          </cell>
          <cell r="U105">
            <v>0</v>
          </cell>
        </row>
        <row r="106">
          <cell r="A106">
            <v>39082</v>
          </cell>
          <cell r="B106" t="str">
            <v>Less : Interest Paid on Deposits</v>
          </cell>
          <cell r="C106">
            <v>0</v>
          </cell>
          <cell r="D106" t="str">
            <v>CAP</v>
          </cell>
          <cell r="E106" t="str">
            <v>Bonus Savings Deposits</v>
          </cell>
          <cell r="F106" t="str">
            <v>Total Interest Paid</v>
          </cell>
          <cell r="G106" t="str">
            <v>7011187</v>
          </cell>
          <cell r="H106">
            <v>0</v>
          </cell>
          <cell r="I106">
            <v>0</v>
          </cell>
          <cell r="J106">
            <v>0</v>
          </cell>
          <cell r="K106" t="str">
            <v>7</v>
          </cell>
          <cell r="L106">
            <v>0</v>
          </cell>
          <cell r="M106">
            <v>0</v>
          </cell>
          <cell r="N106">
            <v>6665416.5600000015</v>
          </cell>
          <cell r="O106">
            <v>0</v>
          </cell>
          <cell r="P106">
            <v>3366459.82</v>
          </cell>
          <cell r="Q106">
            <v>2880966.89</v>
          </cell>
          <cell r="R106">
            <v>0</v>
          </cell>
          <cell r="S106">
            <v>336730.21</v>
          </cell>
          <cell r="T106">
            <v>0</v>
          </cell>
          <cell r="U106">
            <v>0</v>
          </cell>
        </row>
        <row r="107">
          <cell r="A107">
            <v>39082</v>
          </cell>
          <cell r="B107" t="str">
            <v>LIABILITIES</v>
          </cell>
          <cell r="C107">
            <v>0</v>
          </cell>
          <cell r="D107" t="str">
            <v>JAA</v>
          </cell>
          <cell r="E107" t="str">
            <v>Current A/Cs</v>
          </cell>
          <cell r="F107" t="str">
            <v>CUSTOMER DEPOSITS</v>
          </cell>
          <cell r="G107" t="str">
            <v>2101000</v>
          </cell>
          <cell r="H107">
            <v>0</v>
          </cell>
          <cell r="I107">
            <v>0</v>
          </cell>
          <cell r="J107">
            <v>0</v>
          </cell>
          <cell r="K107" t="str">
            <v>2</v>
          </cell>
          <cell r="L107" t="str">
            <v>L</v>
          </cell>
          <cell r="M107" t="str">
            <v>J</v>
          </cell>
          <cell r="N107">
            <v>-738080132.04999995</v>
          </cell>
          <cell r="O107">
            <v>0</v>
          </cell>
          <cell r="P107">
            <v>-549479918.40999997</v>
          </cell>
          <cell r="Q107">
            <v>-137449478.43000001</v>
          </cell>
          <cell r="R107">
            <v>0</v>
          </cell>
          <cell r="S107">
            <v>-35704947.229999997</v>
          </cell>
          <cell r="T107">
            <v>0</v>
          </cell>
          <cell r="U107">
            <v>0</v>
          </cell>
        </row>
        <row r="108">
          <cell r="A108">
            <v>39082</v>
          </cell>
          <cell r="B108" t="str">
            <v>LIABILITIES</v>
          </cell>
          <cell r="C108">
            <v>0</v>
          </cell>
          <cell r="D108" t="str">
            <v>JAA</v>
          </cell>
          <cell r="E108" t="str">
            <v>Current A/Cs</v>
          </cell>
          <cell r="F108" t="str">
            <v>CUSTOMER DEPOSITS</v>
          </cell>
          <cell r="G108" t="str">
            <v>2101005</v>
          </cell>
          <cell r="H108">
            <v>0</v>
          </cell>
          <cell r="I108">
            <v>0</v>
          </cell>
          <cell r="J108">
            <v>0</v>
          </cell>
          <cell r="K108" t="str">
            <v>2</v>
          </cell>
          <cell r="L108" t="str">
            <v>L</v>
          </cell>
          <cell r="M108" t="str">
            <v>J</v>
          </cell>
          <cell r="N108">
            <v>-399103.19</v>
          </cell>
          <cell r="O108">
            <v>0</v>
          </cell>
          <cell r="P108">
            <v>-399103.19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</row>
        <row r="109">
          <cell r="A109">
            <v>39082</v>
          </cell>
          <cell r="B109" t="str">
            <v>LIABILITIES</v>
          </cell>
          <cell r="C109">
            <v>0</v>
          </cell>
          <cell r="D109" t="str">
            <v>JAA</v>
          </cell>
          <cell r="E109" t="str">
            <v>Current A/Cs</v>
          </cell>
          <cell r="F109" t="str">
            <v>CUSTOMER DEPOSITS</v>
          </cell>
          <cell r="G109" t="str">
            <v>2107010</v>
          </cell>
          <cell r="H109">
            <v>0</v>
          </cell>
          <cell r="I109">
            <v>0</v>
          </cell>
          <cell r="J109">
            <v>0</v>
          </cell>
          <cell r="K109" t="str">
            <v>2</v>
          </cell>
          <cell r="L109" t="str">
            <v>L</v>
          </cell>
          <cell r="M109" t="str">
            <v>J</v>
          </cell>
          <cell r="N109">
            <v>-29805192.609999999</v>
          </cell>
          <cell r="O109">
            <v>0</v>
          </cell>
          <cell r="P109">
            <v>-20289777.280000001</v>
          </cell>
          <cell r="Q109">
            <v>-9515415.3300000001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</row>
        <row r="110">
          <cell r="A110">
            <v>39082</v>
          </cell>
          <cell r="B110" t="str">
            <v>LIABILITIES</v>
          </cell>
          <cell r="C110">
            <v>0</v>
          </cell>
          <cell r="D110" t="str">
            <v>JAB</v>
          </cell>
          <cell r="E110" t="str">
            <v>Savings</v>
          </cell>
          <cell r="F110" t="str">
            <v>CUSTOMER DEPOSITS</v>
          </cell>
          <cell r="G110" t="str">
            <v>2107000</v>
          </cell>
          <cell r="H110">
            <v>0</v>
          </cell>
          <cell r="I110">
            <v>0</v>
          </cell>
          <cell r="J110">
            <v>0</v>
          </cell>
          <cell r="K110" t="str">
            <v>2</v>
          </cell>
          <cell r="L110" t="str">
            <v>L</v>
          </cell>
          <cell r="M110" t="str">
            <v>J</v>
          </cell>
          <cell r="N110">
            <v>-461479406.45999998</v>
          </cell>
          <cell r="O110">
            <v>0</v>
          </cell>
          <cell r="P110">
            <v>-290017807.63999999</v>
          </cell>
          <cell r="Q110">
            <v>-91375139.829999998</v>
          </cell>
          <cell r="R110">
            <v>0</v>
          </cell>
          <cell r="S110">
            <v>-49689702.979999997</v>
          </cell>
          <cell r="T110">
            <v>0</v>
          </cell>
          <cell r="U110">
            <v>0</v>
          </cell>
        </row>
        <row r="111">
          <cell r="A111">
            <v>39082</v>
          </cell>
          <cell r="B111" t="str">
            <v>LIABILITIES</v>
          </cell>
          <cell r="C111">
            <v>0</v>
          </cell>
          <cell r="D111" t="str">
            <v>JAB</v>
          </cell>
          <cell r="E111" t="str">
            <v>Savings</v>
          </cell>
          <cell r="F111" t="str">
            <v>CUSTOMER DEPOSITS</v>
          </cell>
          <cell r="G111" t="str">
            <v>2107005</v>
          </cell>
          <cell r="H111">
            <v>0</v>
          </cell>
          <cell r="I111">
            <v>0</v>
          </cell>
          <cell r="J111">
            <v>0</v>
          </cell>
          <cell r="K111" t="str">
            <v>2</v>
          </cell>
          <cell r="L111" t="str">
            <v>L</v>
          </cell>
          <cell r="M111" t="str">
            <v>J</v>
          </cell>
          <cell r="N111">
            <v>-17398227.970000003</v>
          </cell>
          <cell r="O111">
            <v>0</v>
          </cell>
          <cell r="P111">
            <v>-13751525.82</v>
          </cell>
          <cell r="Q111">
            <v>-3382279.37</v>
          </cell>
          <cell r="R111">
            <v>0</v>
          </cell>
          <cell r="S111">
            <v>-52328.82</v>
          </cell>
          <cell r="T111">
            <v>0</v>
          </cell>
          <cell r="U111">
            <v>0</v>
          </cell>
        </row>
        <row r="112">
          <cell r="A112">
            <v>39082</v>
          </cell>
          <cell r="B112" t="str">
            <v>LIABILITIES</v>
          </cell>
          <cell r="C112">
            <v>0</v>
          </cell>
          <cell r="D112" t="str">
            <v>JAB</v>
          </cell>
          <cell r="E112" t="str">
            <v>Savings</v>
          </cell>
          <cell r="F112" t="str">
            <v>CUSTOMER DEPOSITS</v>
          </cell>
          <cell r="G112" t="str">
            <v>2107215</v>
          </cell>
          <cell r="H112">
            <v>0</v>
          </cell>
          <cell r="I112">
            <v>0</v>
          </cell>
          <cell r="J112">
            <v>0</v>
          </cell>
          <cell r="K112" t="str">
            <v>2</v>
          </cell>
          <cell r="L112" t="str">
            <v>L</v>
          </cell>
          <cell r="M112" t="str">
            <v>J</v>
          </cell>
          <cell r="N112">
            <v>-280497.73</v>
          </cell>
          <cell r="O112">
            <v>0</v>
          </cell>
          <cell r="P112">
            <v>-91245.21</v>
          </cell>
          <cell r="Q112">
            <v>-33986.76</v>
          </cell>
          <cell r="R112">
            <v>0</v>
          </cell>
          <cell r="S112">
            <v>-77020.929999999993</v>
          </cell>
          <cell r="T112">
            <v>0</v>
          </cell>
          <cell r="U112">
            <v>0</v>
          </cell>
        </row>
        <row r="113">
          <cell r="A113">
            <v>39082</v>
          </cell>
          <cell r="B113" t="str">
            <v>LIABILITIES</v>
          </cell>
          <cell r="C113">
            <v>0</v>
          </cell>
          <cell r="D113" t="str">
            <v>JAB</v>
          </cell>
          <cell r="E113" t="str">
            <v>Savings</v>
          </cell>
          <cell r="F113" t="str">
            <v>CUSTOMER DEPOSITS</v>
          </cell>
          <cell r="G113" t="str">
            <v>2107312</v>
          </cell>
          <cell r="H113">
            <v>0</v>
          </cell>
          <cell r="I113">
            <v>0</v>
          </cell>
          <cell r="J113">
            <v>0</v>
          </cell>
          <cell r="K113" t="str">
            <v>2</v>
          </cell>
          <cell r="L113" t="str">
            <v>L</v>
          </cell>
          <cell r="M113" t="str">
            <v>J</v>
          </cell>
          <cell r="N113">
            <v>-97285667.249999985</v>
          </cell>
          <cell r="O113">
            <v>0</v>
          </cell>
          <cell r="P113">
            <v>-54444264.670000002</v>
          </cell>
          <cell r="Q113">
            <v>-35851663.119999997</v>
          </cell>
          <cell r="R113">
            <v>0</v>
          </cell>
          <cell r="S113">
            <v>-3714068.16</v>
          </cell>
          <cell r="T113">
            <v>0</v>
          </cell>
          <cell r="U113">
            <v>0</v>
          </cell>
        </row>
        <row r="114">
          <cell r="A114">
            <v>39082</v>
          </cell>
          <cell r="B114" t="str">
            <v>LIABILITIES</v>
          </cell>
          <cell r="C114">
            <v>0</v>
          </cell>
          <cell r="D114" t="str">
            <v>JAB</v>
          </cell>
          <cell r="E114" t="str">
            <v>Savings</v>
          </cell>
          <cell r="F114" t="str">
            <v>CUSTOMER DEPOSITS</v>
          </cell>
          <cell r="G114" t="str">
            <v>2107316</v>
          </cell>
          <cell r="H114">
            <v>0</v>
          </cell>
          <cell r="I114">
            <v>0</v>
          </cell>
          <cell r="J114">
            <v>0</v>
          </cell>
          <cell r="K114" t="str">
            <v>2</v>
          </cell>
          <cell r="L114" t="str">
            <v>L</v>
          </cell>
          <cell r="M114" t="str">
            <v>J</v>
          </cell>
          <cell r="N114">
            <v>-14616991.59</v>
          </cell>
          <cell r="O114">
            <v>0</v>
          </cell>
          <cell r="P114">
            <v>-8244482.6900000004</v>
          </cell>
          <cell r="Q114">
            <v>-2473503.4500000002</v>
          </cell>
          <cell r="R114">
            <v>0</v>
          </cell>
          <cell r="S114">
            <v>-3598375.43</v>
          </cell>
          <cell r="T114">
            <v>0</v>
          </cell>
          <cell r="U114">
            <v>0</v>
          </cell>
        </row>
        <row r="115">
          <cell r="A115">
            <v>39082</v>
          </cell>
          <cell r="B115" t="str">
            <v>LIABILITIES</v>
          </cell>
          <cell r="C115">
            <v>0</v>
          </cell>
          <cell r="D115" t="str">
            <v>JAC</v>
          </cell>
          <cell r="E115" t="str">
            <v>Notice Deposits</v>
          </cell>
          <cell r="F115" t="str">
            <v>CUSTOMER DEPOSITS</v>
          </cell>
          <cell r="G115" t="str">
            <v>2105000</v>
          </cell>
          <cell r="H115">
            <v>0</v>
          </cell>
          <cell r="I115">
            <v>0</v>
          </cell>
          <cell r="J115">
            <v>0</v>
          </cell>
          <cell r="K115" t="str">
            <v>2</v>
          </cell>
          <cell r="L115" t="str">
            <v>L</v>
          </cell>
          <cell r="M115" t="str">
            <v>J</v>
          </cell>
          <cell r="N115">
            <v>-452718852.88</v>
          </cell>
          <cell r="O115">
            <v>0</v>
          </cell>
          <cell r="P115">
            <v>-172685257.5</v>
          </cell>
          <cell r="Q115">
            <v>-270943328.80000001</v>
          </cell>
          <cell r="R115">
            <v>0</v>
          </cell>
          <cell r="S115">
            <v>2.95</v>
          </cell>
          <cell r="T115">
            <v>0</v>
          </cell>
          <cell r="U115">
            <v>0</v>
          </cell>
        </row>
        <row r="116">
          <cell r="A116">
            <v>39082</v>
          </cell>
          <cell r="B116" t="str">
            <v>LIABILITIES</v>
          </cell>
          <cell r="C116">
            <v>0</v>
          </cell>
          <cell r="D116" t="str">
            <v>JAC</v>
          </cell>
          <cell r="E116" t="str">
            <v>Notice Deposits</v>
          </cell>
          <cell r="F116" t="str">
            <v>CUSTOMER DEPOSITS</v>
          </cell>
          <cell r="G116" t="str">
            <v>2107314</v>
          </cell>
          <cell r="H116">
            <v>0</v>
          </cell>
          <cell r="I116">
            <v>0</v>
          </cell>
          <cell r="J116">
            <v>0</v>
          </cell>
          <cell r="K116" t="str">
            <v>2</v>
          </cell>
          <cell r="L116" t="str">
            <v>L</v>
          </cell>
          <cell r="M116" t="str">
            <v>J</v>
          </cell>
          <cell r="N116">
            <v>-16874550.399999999</v>
          </cell>
          <cell r="O116">
            <v>0</v>
          </cell>
          <cell r="P116">
            <v>-5879198.3799999999</v>
          </cell>
          <cell r="Q116">
            <v>-6029814.1900000004</v>
          </cell>
          <cell r="R116">
            <v>0</v>
          </cell>
          <cell r="S116">
            <v>-3851405.58</v>
          </cell>
          <cell r="T116">
            <v>0</v>
          </cell>
          <cell r="U116">
            <v>0</v>
          </cell>
        </row>
        <row r="117">
          <cell r="A117">
            <v>39082</v>
          </cell>
          <cell r="B117" t="str">
            <v>LIABILITIES</v>
          </cell>
          <cell r="C117">
            <v>0</v>
          </cell>
          <cell r="D117" t="str">
            <v>JAC</v>
          </cell>
          <cell r="E117" t="str">
            <v>Notice Deposits</v>
          </cell>
          <cell r="F117" t="str">
            <v>CUSTOMER DEPOSITS</v>
          </cell>
          <cell r="G117" t="str">
            <v>2107325</v>
          </cell>
          <cell r="H117">
            <v>0</v>
          </cell>
          <cell r="I117">
            <v>0</v>
          </cell>
          <cell r="J117">
            <v>0</v>
          </cell>
          <cell r="K117" t="str">
            <v>2</v>
          </cell>
          <cell r="L117" t="str">
            <v>L</v>
          </cell>
          <cell r="M117" t="str">
            <v>J</v>
          </cell>
          <cell r="N117">
            <v>-605649824.38000011</v>
          </cell>
          <cell r="O117">
            <v>0</v>
          </cell>
          <cell r="P117">
            <v>-218589405.34</v>
          </cell>
          <cell r="Q117">
            <v>-46674108.479999997</v>
          </cell>
          <cell r="R117">
            <v>0</v>
          </cell>
          <cell r="S117">
            <v>-310881531.38999999</v>
          </cell>
          <cell r="T117">
            <v>0</v>
          </cell>
          <cell r="U117">
            <v>0</v>
          </cell>
        </row>
        <row r="118">
          <cell r="A118">
            <v>39082</v>
          </cell>
          <cell r="B118" t="str">
            <v>LIABILITIES</v>
          </cell>
          <cell r="C118">
            <v>0</v>
          </cell>
          <cell r="D118" t="str">
            <v>JAD</v>
          </cell>
          <cell r="E118" t="str">
            <v>Term Deposits</v>
          </cell>
          <cell r="F118" t="str">
            <v>CUSTOMER DEPOSITS</v>
          </cell>
          <cell r="G118" t="str">
            <v>2103103</v>
          </cell>
          <cell r="H118">
            <v>0</v>
          </cell>
          <cell r="I118">
            <v>0</v>
          </cell>
          <cell r="J118">
            <v>0</v>
          </cell>
          <cell r="K118" t="str">
            <v>2</v>
          </cell>
          <cell r="L118" t="str">
            <v>L</v>
          </cell>
          <cell r="M118" t="str">
            <v>J</v>
          </cell>
          <cell r="N118">
            <v>-940575489.01999986</v>
          </cell>
          <cell r="O118">
            <v>0</v>
          </cell>
          <cell r="P118">
            <v>-638227002.88999999</v>
          </cell>
          <cell r="Q118">
            <v>-173829077.09999999</v>
          </cell>
          <cell r="R118">
            <v>0</v>
          </cell>
          <cell r="S118">
            <v>-107395569.81</v>
          </cell>
          <cell r="T118">
            <v>0</v>
          </cell>
          <cell r="U118">
            <v>0</v>
          </cell>
        </row>
        <row r="119">
          <cell r="A119">
            <v>39082</v>
          </cell>
          <cell r="B119" t="str">
            <v>LIABILITIES</v>
          </cell>
          <cell r="C119">
            <v>0</v>
          </cell>
          <cell r="D119" t="str">
            <v>JAD</v>
          </cell>
          <cell r="E119" t="str">
            <v>Term Deposits</v>
          </cell>
          <cell r="F119" t="str">
            <v>CUSTOMER DEPOSITS</v>
          </cell>
          <cell r="G119" t="str">
            <v>2103105</v>
          </cell>
          <cell r="H119">
            <v>0</v>
          </cell>
          <cell r="I119">
            <v>0</v>
          </cell>
          <cell r="J119">
            <v>0</v>
          </cell>
          <cell r="K119" t="str">
            <v>2</v>
          </cell>
          <cell r="L119" t="str">
            <v>L</v>
          </cell>
          <cell r="M119" t="str">
            <v>J</v>
          </cell>
          <cell r="N119">
            <v>-69100648.159999996</v>
          </cell>
          <cell r="O119">
            <v>0</v>
          </cell>
          <cell r="P119">
            <v>-40509365.789999999</v>
          </cell>
          <cell r="Q119">
            <v>0</v>
          </cell>
          <cell r="R119">
            <v>0</v>
          </cell>
          <cell r="S119">
            <v>-21804031.850000001</v>
          </cell>
          <cell r="T119">
            <v>0</v>
          </cell>
          <cell r="U119">
            <v>0</v>
          </cell>
        </row>
        <row r="120">
          <cell r="A120">
            <v>39082</v>
          </cell>
          <cell r="B120" t="str">
            <v>LIABILITIES</v>
          </cell>
          <cell r="C120">
            <v>0</v>
          </cell>
          <cell r="D120" t="str">
            <v>JAD</v>
          </cell>
          <cell r="E120" t="str">
            <v>Term Deposits</v>
          </cell>
          <cell r="F120" t="str">
            <v>CUSTOMER DEPOSITS</v>
          </cell>
          <cell r="G120" t="str">
            <v>2103106</v>
          </cell>
          <cell r="H120">
            <v>0</v>
          </cell>
          <cell r="I120">
            <v>0</v>
          </cell>
          <cell r="J120">
            <v>0</v>
          </cell>
          <cell r="K120" t="str">
            <v>2</v>
          </cell>
          <cell r="L120" t="str">
            <v>L</v>
          </cell>
          <cell r="M120" t="str">
            <v>J</v>
          </cell>
          <cell r="N120">
            <v>-634080929.71000004</v>
          </cell>
          <cell r="O120">
            <v>0</v>
          </cell>
          <cell r="P120">
            <v>-261590269.43000001</v>
          </cell>
          <cell r="Q120">
            <v>-148166857.11000001</v>
          </cell>
          <cell r="R120">
            <v>0</v>
          </cell>
          <cell r="S120">
            <v>-8891915.3399999999</v>
          </cell>
          <cell r="T120">
            <v>0</v>
          </cell>
          <cell r="U120">
            <v>0</v>
          </cell>
        </row>
        <row r="121">
          <cell r="A121">
            <v>39082</v>
          </cell>
          <cell r="B121" t="str">
            <v>LIABILITIES</v>
          </cell>
          <cell r="C121">
            <v>0</v>
          </cell>
          <cell r="D121" t="str">
            <v>JAD</v>
          </cell>
          <cell r="E121" t="str">
            <v>Term Deposits</v>
          </cell>
          <cell r="F121" t="str">
            <v>CUSTOMER DEPOSITS</v>
          </cell>
          <cell r="G121" t="str">
            <v>2103112</v>
          </cell>
          <cell r="H121">
            <v>0</v>
          </cell>
          <cell r="I121">
            <v>0</v>
          </cell>
          <cell r="J121">
            <v>0</v>
          </cell>
          <cell r="K121" t="str">
            <v>2</v>
          </cell>
          <cell r="L121" t="str">
            <v>L</v>
          </cell>
          <cell r="M121" t="str">
            <v>J</v>
          </cell>
          <cell r="N121">
            <v>-1845097709.73</v>
          </cell>
          <cell r="O121">
            <v>0</v>
          </cell>
          <cell r="P121">
            <v>-1108693534.1900001</v>
          </cell>
          <cell r="Q121">
            <v>-653832095.51999998</v>
          </cell>
          <cell r="R121">
            <v>0</v>
          </cell>
          <cell r="S121">
            <v>-53171434.869999997</v>
          </cell>
          <cell r="T121">
            <v>0</v>
          </cell>
          <cell r="U121">
            <v>0</v>
          </cell>
        </row>
        <row r="122">
          <cell r="A122">
            <v>39082</v>
          </cell>
          <cell r="B122" t="str">
            <v>LIABILITIES</v>
          </cell>
          <cell r="C122">
            <v>0</v>
          </cell>
          <cell r="D122" t="str">
            <v>JAD</v>
          </cell>
          <cell r="E122" t="str">
            <v>Term Deposits</v>
          </cell>
          <cell r="F122" t="str">
            <v>CUSTOMER DEPOSITS</v>
          </cell>
          <cell r="G122" t="str">
            <v>2103120</v>
          </cell>
          <cell r="H122">
            <v>0</v>
          </cell>
          <cell r="I122">
            <v>0</v>
          </cell>
          <cell r="J122">
            <v>0</v>
          </cell>
          <cell r="K122" t="str">
            <v>2</v>
          </cell>
          <cell r="L122" t="str">
            <v>L</v>
          </cell>
          <cell r="M122" t="str">
            <v>J</v>
          </cell>
          <cell r="N122">
            <v>-151705435.47999999</v>
          </cell>
          <cell r="O122">
            <v>0</v>
          </cell>
          <cell r="P122">
            <v>-67237129.030000001</v>
          </cell>
          <cell r="Q122">
            <v>-25812500</v>
          </cell>
          <cell r="R122">
            <v>0</v>
          </cell>
          <cell r="S122">
            <v>-38010645.159999996</v>
          </cell>
          <cell r="T122">
            <v>0</v>
          </cell>
          <cell r="U122">
            <v>0</v>
          </cell>
        </row>
        <row r="123">
          <cell r="A123">
            <v>39082</v>
          </cell>
          <cell r="B123" t="str">
            <v>LIABILITIES</v>
          </cell>
          <cell r="C123">
            <v>0</v>
          </cell>
          <cell r="D123" t="str">
            <v>JAD</v>
          </cell>
          <cell r="E123" t="str">
            <v>Term Deposits</v>
          </cell>
          <cell r="F123" t="str">
            <v>CUSTOMER DEPOSITS</v>
          </cell>
          <cell r="G123" t="str">
            <v>2107115</v>
          </cell>
          <cell r="H123">
            <v>0</v>
          </cell>
          <cell r="I123">
            <v>0</v>
          </cell>
          <cell r="J123">
            <v>0</v>
          </cell>
          <cell r="K123" t="str">
            <v>2</v>
          </cell>
          <cell r="L123" t="str">
            <v>L</v>
          </cell>
          <cell r="M123" t="str">
            <v>J</v>
          </cell>
          <cell r="N123">
            <v>-7256537.9800000004</v>
          </cell>
          <cell r="O123">
            <v>0</v>
          </cell>
          <cell r="P123">
            <v>-7256537.9800000004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</row>
        <row r="124">
          <cell r="A124">
            <v>39082</v>
          </cell>
          <cell r="B124" t="str">
            <v>LIABILITIES</v>
          </cell>
          <cell r="C124">
            <v>0</v>
          </cell>
          <cell r="D124" t="str">
            <v>JAE</v>
          </cell>
          <cell r="E124" t="str">
            <v>Margin</v>
          </cell>
          <cell r="F124" t="str">
            <v>CUSTOMER DEPOSITS</v>
          </cell>
          <cell r="G124" t="str">
            <v>2108100</v>
          </cell>
          <cell r="H124">
            <v>0</v>
          </cell>
          <cell r="I124">
            <v>0</v>
          </cell>
          <cell r="J124">
            <v>0</v>
          </cell>
          <cell r="K124" t="str">
            <v>2</v>
          </cell>
          <cell r="L124" t="str">
            <v>L</v>
          </cell>
          <cell r="M124" t="str">
            <v>J</v>
          </cell>
          <cell r="N124">
            <v>-46030181.869999997</v>
          </cell>
          <cell r="O124">
            <v>0</v>
          </cell>
          <cell r="P124">
            <v>-30740967.989999998</v>
          </cell>
          <cell r="Q124">
            <v>-13733046.720000001</v>
          </cell>
          <cell r="R124">
            <v>0</v>
          </cell>
          <cell r="S124">
            <v>-1556167.16</v>
          </cell>
          <cell r="T124">
            <v>0</v>
          </cell>
          <cell r="U124">
            <v>0</v>
          </cell>
        </row>
        <row r="125">
          <cell r="A125">
            <v>39082</v>
          </cell>
          <cell r="B125" t="str">
            <v>LIABILITIES</v>
          </cell>
          <cell r="C125">
            <v>0</v>
          </cell>
          <cell r="D125" t="str">
            <v>JAE</v>
          </cell>
          <cell r="E125" t="str">
            <v>Margin</v>
          </cell>
          <cell r="F125" t="str">
            <v>CUSTOMER DEPOSITS</v>
          </cell>
          <cell r="G125" t="str">
            <v>2108120</v>
          </cell>
          <cell r="H125">
            <v>0</v>
          </cell>
          <cell r="I125">
            <v>0</v>
          </cell>
          <cell r="J125">
            <v>0</v>
          </cell>
          <cell r="K125" t="str">
            <v>2</v>
          </cell>
          <cell r="L125" t="str">
            <v>L</v>
          </cell>
          <cell r="M125" t="str">
            <v>J</v>
          </cell>
          <cell r="N125">
            <v>-27686158.020000003</v>
          </cell>
          <cell r="O125">
            <v>0</v>
          </cell>
          <cell r="P125">
            <v>-25329536.260000002</v>
          </cell>
          <cell r="Q125">
            <v>-2356621.7599999998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</row>
        <row r="126">
          <cell r="A126">
            <v>39082</v>
          </cell>
          <cell r="B126" t="str">
            <v>LIABILITIES</v>
          </cell>
          <cell r="C126">
            <v>0</v>
          </cell>
          <cell r="D126" t="str">
            <v>JAE</v>
          </cell>
          <cell r="E126" t="str">
            <v>Margin</v>
          </cell>
          <cell r="F126" t="str">
            <v>CUSTOMER DEPOSITS</v>
          </cell>
          <cell r="G126" t="str">
            <v>2108125</v>
          </cell>
          <cell r="H126">
            <v>0</v>
          </cell>
          <cell r="I126">
            <v>0</v>
          </cell>
          <cell r="J126">
            <v>0</v>
          </cell>
          <cell r="K126" t="str">
            <v>2</v>
          </cell>
          <cell r="L126" t="str">
            <v>L</v>
          </cell>
          <cell r="M126" t="str">
            <v>J</v>
          </cell>
          <cell r="N126">
            <v>-11468918.130000001</v>
          </cell>
          <cell r="O126">
            <v>0</v>
          </cell>
          <cell r="P126">
            <v>-10564448.48</v>
          </cell>
          <cell r="Q126">
            <v>-904469.65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</row>
        <row r="127">
          <cell r="A127">
            <v>39082</v>
          </cell>
          <cell r="B127" t="str">
            <v>LIABILITIES</v>
          </cell>
          <cell r="C127">
            <v>0</v>
          </cell>
          <cell r="D127" t="str">
            <v>JAE</v>
          </cell>
          <cell r="E127" t="str">
            <v>Margin</v>
          </cell>
          <cell r="F127" t="str">
            <v>CUSTOMER DEPOSITS</v>
          </cell>
          <cell r="G127" t="str">
            <v>2108180</v>
          </cell>
          <cell r="H127">
            <v>0</v>
          </cell>
          <cell r="I127">
            <v>0</v>
          </cell>
          <cell r="J127">
            <v>0</v>
          </cell>
          <cell r="K127" t="str">
            <v>2</v>
          </cell>
          <cell r="L127" t="str">
            <v>L</v>
          </cell>
          <cell r="M127" t="str">
            <v>J</v>
          </cell>
          <cell r="N127">
            <v>-307167315.12</v>
          </cell>
          <cell r="O127">
            <v>0</v>
          </cell>
          <cell r="P127">
            <v>-307167315.12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</row>
        <row r="128">
          <cell r="A128">
            <v>39082</v>
          </cell>
          <cell r="B128" t="str">
            <v>LIABILITIES</v>
          </cell>
          <cell r="C128">
            <v>0</v>
          </cell>
          <cell r="D128" t="str">
            <v>JAF</v>
          </cell>
          <cell r="E128" t="str">
            <v>PO and Sundry Deposits</v>
          </cell>
          <cell r="F128" t="str">
            <v>CUSTOMER DEPOSITS</v>
          </cell>
          <cell r="G128" t="str">
            <v>2311550</v>
          </cell>
          <cell r="H128">
            <v>0</v>
          </cell>
          <cell r="I128">
            <v>0</v>
          </cell>
          <cell r="J128">
            <v>0</v>
          </cell>
          <cell r="K128" t="str">
            <v>2</v>
          </cell>
          <cell r="L128" t="str">
            <v>L</v>
          </cell>
          <cell r="M128" t="str">
            <v>J</v>
          </cell>
          <cell r="N128">
            <v>-95477846.329999998</v>
          </cell>
          <cell r="O128">
            <v>0</v>
          </cell>
          <cell r="P128">
            <v>-44119040.450000003</v>
          </cell>
          <cell r="Q128">
            <v>-17069402.18</v>
          </cell>
          <cell r="R128">
            <v>-30371105.93</v>
          </cell>
          <cell r="S128">
            <v>-2388093.13</v>
          </cell>
          <cell r="T128">
            <v>0</v>
          </cell>
          <cell r="U128">
            <v>0</v>
          </cell>
        </row>
        <row r="129">
          <cell r="A129">
            <v>39082</v>
          </cell>
          <cell r="B129" t="str">
            <v>LIABILITIES</v>
          </cell>
          <cell r="C129">
            <v>0</v>
          </cell>
          <cell r="D129" t="str">
            <v>JAF</v>
          </cell>
          <cell r="E129" t="str">
            <v>PO and Sundry Deposits</v>
          </cell>
          <cell r="F129" t="str">
            <v>CUSTOMER DEPOSITS</v>
          </cell>
          <cell r="G129" t="str">
            <v>2311560</v>
          </cell>
          <cell r="H129">
            <v>0</v>
          </cell>
          <cell r="I129">
            <v>0</v>
          </cell>
          <cell r="J129">
            <v>0</v>
          </cell>
          <cell r="K129" t="str">
            <v>2</v>
          </cell>
          <cell r="L129" t="str">
            <v>L</v>
          </cell>
          <cell r="M129" t="str">
            <v>J</v>
          </cell>
          <cell r="N129">
            <v>-5121832.8099999996</v>
          </cell>
          <cell r="O129">
            <v>0</v>
          </cell>
          <cell r="P129">
            <v>-2511245.62</v>
          </cell>
          <cell r="Q129">
            <v>-851976.11</v>
          </cell>
          <cell r="R129">
            <v>-1758611.08</v>
          </cell>
          <cell r="S129">
            <v>0</v>
          </cell>
          <cell r="T129">
            <v>0</v>
          </cell>
          <cell r="U129">
            <v>0</v>
          </cell>
        </row>
        <row r="130">
          <cell r="A130">
            <v>39082</v>
          </cell>
          <cell r="B130" t="str">
            <v>LIABILITIES</v>
          </cell>
          <cell r="C130">
            <v>0</v>
          </cell>
          <cell r="D130" t="str">
            <v>JAF</v>
          </cell>
          <cell r="E130" t="str">
            <v>PO and Sundry Deposits</v>
          </cell>
          <cell r="F130" t="str">
            <v>CUSTOMER DEPOSITS</v>
          </cell>
          <cell r="G130" t="str">
            <v>2317061</v>
          </cell>
          <cell r="H130">
            <v>0</v>
          </cell>
          <cell r="I130">
            <v>0</v>
          </cell>
          <cell r="J130">
            <v>0</v>
          </cell>
          <cell r="K130" t="str">
            <v>2</v>
          </cell>
          <cell r="L130" t="str">
            <v>L</v>
          </cell>
          <cell r="M130" t="str">
            <v>J</v>
          </cell>
          <cell r="N130">
            <v>-1066313.9099999999</v>
          </cell>
          <cell r="O130">
            <v>0</v>
          </cell>
          <cell r="P130">
            <v>-1066313.9099999999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</row>
        <row r="131">
          <cell r="A131">
            <v>39082</v>
          </cell>
          <cell r="B131" t="str">
            <v>Maintenance of Fixed Assets</v>
          </cell>
          <cell r="C131">
            <v>0</v>
          </cell>
          <cell r="D131" t="str">
            <v>MAA</v>
          </cell>
          <cell r="E131" t="str">
            <v>Bank Premises</v>
          </cell>
          <cell r="F131" t="str">
            <v>Total Charges</v>
          </cell>
          <cell r="G131" t="str">
            <v>7041100</v>
          </cell>
          <cell r="H131">
            <v>0</v>
          </cell>
          <cell r="I131">
            <v>0</v>
          </cell>
          <cell r="J131">
            <v>0</v>
          </cell>
          <cell r="K131" t="str">
            <v>7</v>
          </cell>
          <cell r="L131">
            <v>0</v>
          </cell>
          <cell r="M131">
            <v>0</v>
          </cell>
          <cell r="N131">
            <v>4871515.96</v>
          </cell>
          <cell r="O131">
            <v>1150681.3</v>
          </cell>
          <cell r="P131">
            <v>2324710.91</v>
          </cell>
          <cell r="Q131">
            <v>770898.9</v>
          </cell>
          <cell r="R131">
            <v>0</v>
          </cell>
          <cell r="S131">
            <v>152102.67000000001</v>
          </cell>
          <cell r="T131">
            <v>0</v>
          </cell>
          <cell r="U131">
            <v>0</v>
          </cell>
        </row>
        <row r="132">
          <cell r="A132">
            <v>39082</v>
          </cell>
          <cell r="B132" t="str">
            <v>Maintenance of Fixed Assets</v>
          </cell>
          <cell r="C132">
            <v>0</v>
          </cell>
          <cell r="D132" t="str">
            <v>MAB</v>
          </cell>
          <cell r="E132" t="str">
            <v>Office Furniture &amp; Equipment</v>
          </cell>
          <cell r="F132" t="str">
            <v>Total Charges</v>
          </cell>
          <cell r="G132" t="str">
            <v>7041120</v>
          </cell>
          <cell r="H132">
            <v>0</v>
          </cell>
          <cell r="I132">
            <v>0</v>
          </cell>
          <cell r="J132">
            <v>0</v>
          </cell>
          <cell r="K132" t="str">
            <v>7</v>
          </cell>
          <cell r="L132">
            <v>0</v>
          </cell>
          <cell r="M132">
            <v>0</v>
          </cell>
          <cell r="N132">
            <v>1169396.67</v>
          </cell>
          <cell r="O132">
            <v>232481.65</v>
          </cell>
          <cell r="P132">
            <v>499038.35</v>
          </cell>
          <cell r="Q132">
            <v>133499.17000000001</v>
          </cell>
          <cell r="R132">
            <v>0</v>
          </cell>
          <cell r="S132">
            <v>111187.5</v>
          </cell>
          <cell r="T132">
            <v>0</v>
          </cell>
          <cell r="U132">
            <v>5625</v>
          </cell>
        </row>
        <row r="133">
          <cell r="A133">
            <v>39082</v>
          </cell>
          <cell r="B133" t="str">
            <v>Maintenance of Fixed Assets</v>
          </cell>
          <cell r="C133">
            <v>0</v>
          </cell>
          <cell r="D133" t="str">
            <v>MAC</v>
          </cell>
          <cell r="E133" t="str">
            <v>House Furniture &amp; Equipment</v>
          </cell>
          <cell r="F133" t="str">
            <v>Total Charges</v>
          </cell>
          <cell r="G133" t="str">
            <v>7031122</v>
          </cell>
          <cell r="H133">
            <v>0</v>
          </cell>
          <cell r="I133">
            <v>0</v>
          </cell>
          <cell r="J133">
            <v>0</v>
          </cell>
          <cell r="K133" t="str">
            <v>7</v>
          </cell>
          <cell r="L133">
            <v>0</v>
          </cell>
          <cell r="M133">
            <v>0</v>
          </cell>
          <cell r="N133">
            <v>61384.67</v>
          </cell>
          <cell r="O133">
            <v>57374.67</v>
          </cell>
          <cell r="P133">
            <v>0</v>
          </cell>
          <cell r="Q133">
            <v>4010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</row>
        <row r="134">
          <cell r="A134">
            <v>39082</v>
          </cell>
          <cell r="B134" t="str">
            <v>Maintenance of Fixed Assets</v>
          </cell>
          <cell r="C134">
            <v>0</v>
          </cell>
          <cell r="D134" t="str">
            <v>MAC</v>
          </cell>
          <cell r="E134" t="str">
            <v>House Furniture &amp; Equipment</v>
          </cell>
          <cell r="F134" t="str">
            <v>Total Charges</v>
          </cell>
          <cell r="G134" t="str">
            <v>7041105</v>
          </cell>
          <cell r="H134">
            <v>0</v>
          </cell>
          <cell r="I134">
            <v>0</v>
          </cell>
          <cell r="J134">
            <v>0</v>
          </cell>
          <cell r="K134" t="str">
            <v>7</v>
          </cell>
          <cell r="L134">
            <v>0</v>
          </cell>
          <cell r="M134">
            <v>0</v>
          </cell>
          <cell r="N134">
            <v>852192</v>
          </cell>
          <cell r="O134">
            <v>801342</v>
          </cell>
          <cell r="P134">
            <v>1500</v>
          </cell>
          <cell r="Q134">
            <v>49350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</row>
        <row r="135">
          <cell r="A135">
            <v>39082</v>
          </cell>
          <cell r="B135" t="str">
            <v>Maintenance of Fixed Assets</v>
          </cell>
          <cell r="C135">
            <v>0</v>
          </cell>
          <cell r="D135" t="str">
            <v>MAC</v>
          </cell>
          <cell r="E135" t="str">
            <v>House Furniture &amp; Equipment</v>
          </cell>
          <cell r="F135" t="str">
            <v>Total Charges</v>
          </cell>
          <cell r="G135" t="str">
            <v>7041125</v>
          </cell>
          <cell r="H135">
            <v>0</v>
          </cell>
          <cell r="I135">
            <v>0</v>
          </cell>
          <cell r="J135">
            <v>0</v>
          </cell>
          <cell r="K135" t="str">
            <v>7</v>
          </cell>
          <cell r="L135">
            <v>0</v>
          </cell>
          <cell r="M135">
            <v>0</v>
          </cell>
          <cell r="N135">
            <v>172927</v>
          </cell>
          <cell r="O135">
            <v>171427</v>
          </cell>
          <cell r="P135">
            <v>0</v>
          </cell>
          <cell r="Q135">
            <v>1500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</row>
        <row r="136">
          <cell r="A136">
            <v>39082</v>
          </cell>
          <cell r="B136" t="str">
            <v>Maintenance of Fixed Assets</v>
          </cell>
          <cell r="C136">
            <v>0</v>
          </cell>
          <cell r="D136" t="str">
            <v>MAD</v>
          </cell>
          <cell r="E136" t="str">
            <v>Bank Vehicles</v>
          </cell>
          <cell r="F136" t="str">
            <v>Total Charges</v>
          </cell>
          <cell r="G136" t="str">
            <v>7041130</v>
          </cell>
          <cell r="H136">
            <v>0</v>
          </cell>
          <cell r="I136">
            <v>0</v>
          </cell>
          <cell r="J136">
            <v>0</v>
          </cell>
          <cell r="K136" t="str">
            <v>7</v>
          </cell>
          <cell r="L136">
            <v>0</v>
          </cell>
          <cell r="M136">
            <v>0</v>
          </cell>
          <cell r="N136">
            <v>738841.25</v>
          </cell>
          <cell r="O136">
            <v>266924.95</v>
          </cell>
          <cell r="P136">
            <v>295524.05</v>
          </cell>
          <cell r="Q136">
            <v>152959.25</v>
          </cell>
          <cell r="R136">
            <v>0</v>
          </cell>
          <cell r="S136">
            <v>23433</v>
          </cell>
          <cell r="T136">
            <v>0</v>
          </cell>
          <cell r="U136">
            <v>0</v>
          </cell>
        </row>
        <row r="137">
          <cell r="A137">
            <v>39082</v>
          </cell>
          <cell r="B137" t="str">
            <v>Maintenance of Fixed Assets</v>
          </cell>
          <cell r="C137">
            <v>0</v>
          </cell>
          <cell r="D137" t="str">
            <v>MAD</v>
          </cell>
          <cell r="E137" t="str">
            <v>Bank Vehicles</v>
          </cell>
          <cell r="F137" t="str">
            <v>Total Charges</v>
          </cell>
          <cell r="G137" t="str">
            <v>7041132</v>
          </cell>
          <cell r="H137">
            <v>0</v>
          </cell>
          <cell r="I137">
            <v>0</v>
          </cell>
          <cell r="J137">
            <v>0</v>
          </cell>
          <cell r="K137" t="str">
            <v>7</v>
          </cell>
          <cell r="L137">
            <v>0</v>
          </cell>
          <cell r="M137">
            <v>0</v>
          </cell>
          <cell r="N137">
            <v>2772603</v>
          </cell>
          <cell r="O137">
            <v>1112051.8</v>
          </cell>
          <cell r="P137">
            <v>1234055.2</v>
          </cell>
          <cell r="Q137">
            <v>175953</v>
          </cell>
          <cell r="R137">
            <v>0</v>
          </cell>
          <cell r="S137">
            <v>144775</v>
          </cell>
          <cell r="T137">
            <v>0</v>
          </cell>
          <cell r="U137">
            <v>0</v>
          </cell>
        </row>
        <row r="138">
          <cell r="A138">
            <v>39082</v>
          </cell>
          <cell r="B138" t="str">
            <v>Maintenance of Fixed Assets</v>
          </cell>
          <cell r="C138">
            <v>0</v>
          </cell>
          <cell r="D138" t="str">
            <v>MAE</v>
          </cell>
          <cell r="E138" t="str">
            <v>Computer Equipment</v>
          </cell>
          <cell r="F138" t="str">
            <v>Total Charges</v>
          </cell>
          <cell r="G138" t="str">
            <v>7041110</v>
          </cell>
          <cell r="H138">
            <v>0</v>
          </cell>
          <cell r="I138">
            <v>0</v>
          </cell>
          <cell r="J138">
            <v>0</v>
          </cell>
          <cell r="K138" t="str">
            <v>7</v>
          </cell>
          <cell r="L138">
            <v>0</v>
          </cell>
          <cell r="M138">
            <v>0</v>
          </cell>
          <cell r="N138">
            <v>4683792.75</v>
          </cell>
          <cell r="O138">
            <v>1093468.4099999999</v>
          </cell>
          <cell r="P138">
            <v>1241325.73</v>
          </cell>
          <cell r="Q138">
            <v>1644132.61</v>
          </cell>
          <cell r="R138">
            <v>0</v>
          </cell>
          <cell r="S138">
            <v>237532</v>
          </cell>
          <cell r="T138">
            <v>5000</v>
          </cell>
          <cell r="U138">
            <v>1394</v>
          </cell>
        </row>
        <row r="139">
          <cell r="A139">
            <v>39082</v>
          </cell>
          <cell r="B139" t="str">
            <v>Maintenance of Fixed Assets</v>
          </cell>
          <cell r="C139">
            <v>0</v>
          </cell>
          <cell r="D139" t="str">
            <v>MAF</v>
          </cell>
          <cell r="E139" t="str">
            <v>Computer Stationery</v>
          </cell>
          <cell r="F139" t="str">
            <v>Total Charges</v>
          </cell>
          <cell r="G139" t="str">
            <v>7062250</v>
          </cell>
          <cell r="H139">
            <v>0</v>
          </cell>
          <cell r="I139">
            <v>0</v>
          </cell>
          <cell r="J139">
            <v>0</v>
          </cell>
          <cell r="K139" t="str">
            <v>7</v>
          </cell>
          <cell r="L139">
            <v>0</v>
          </cell>
          <cell r="M139">
            <v>0</v>
          </cell>
          <cell r="N139">
            <v>1325245.0900000001</v>
          </cell>
          <cell r="O139">
            <v>423070.9</v>
          </cell>
          <cell r="P139">
            <v>575591.48</v>
          </cell>
          <cell r="Q139">
            <v>222663.16</v>
          </cell>
          <cell r="R139">
            <v>0</v>
          </cell>
          <cell r="S139">
            <v>59979.94</v>
          </cell>
          <cell r="T139">
            <v>0</v>
          </cell>
          <cell r="U139">
            <v>0</v>
          </cell>
        </row>
        <row r="140">
          <cell r="A140">
            <v>39082</v>
          </cell>
          <cell r="B140" t="str">
            <v>Other Administration Charges</v>
          </cell>
          <cell r="C140">
            <v>0</v>
          </cell>
          <cell r="D140" t="str">
            <v>PAA</v>
          </cell>
          <cell r="E140" t="str">
            <v>Advertising</v>
          </cell>
          <cell r="F140" t="str">
            <v>Total Charges</v>
          </cell>
          <cell r="G140" t="str">
            <v>7062110</v>
          </cell>
          <cell r="H140">
            <v>0</v>
          </cell>
          <cell r="I140">
            <v>0</v>
          </cell>
          <cell r="J140">
            <v>0</v>
          </cell>
          <cell r="K140" t="str">
            <v>7</v>
          </cell>
          <cell r="L140">
            <v>0</v>
          </cell>
          <cell r="M140">
            <v>0</v>
          </cell>
          <cell r="N140">
            <v>7453318.0000000009</v>
          </cell>
          <cell r="O140">
            <v>3644590.29</v>
          </cell>
          <cell r="P140">
            <v>3159497.32</v>
          </cell>
          <cell r="Q140">
            <v>0</v>
          </cell>
          <cell r="R140">
            <v>0</v>
          </cell>
          <cell r="S140">
            <v>26033.58</v>
          </cell>
          <cell r="T140">
            <v>0</v>
          </cell>
          <cell r="U140">
            <v>175375.65</v>
          </cell>
        </row>
        <row r="141">
          <cell r="A141">
            <v>39082</v>
          </cell>
          <cell r="B141" t="str">
            <v>Other Administration Charges</v>
          </cell>
          <cell r="C141">
            <v>0</v>
          </cell>
          <cell r="D141" t="str">
            <v>PAB</v>
          </cell>
          <cell r="E141" t="str">
            <v>Cash Transport</v>
          </cell>
          <cell r="F141" t="str">
            <v>Total Charges</v>
          </cell>
          <cell r="G141" t="str">
            <v>7031135</v>
          </cell>
          <cell r="H141">
            <v>0</v>
          </cell>
          <cell r="I141">
            <v>0</v>
          </cell>
          <cell r="J141">
            <v>0</v>
          </cell>
          <cell r="K141" t="str">
            <v>7</v>
          </cell>
          <cell r="L141">
            <v>0</v>
          </cell>
          <cell r="M141">
            <v>0</v>
          </cell>
          <cell r="N141">
            <v>1810047</v>
          </cell>
          <cell r="O141">
            <v>728892.2</v>
          </cell>
          <cell r="P141">
            <v>806987.8</v>
          </cell>
          <cell r="Q141">
            <v>264762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</row>
        <row r="142">
          <cell r="A142">
            <v>39082</v>
          </cell>
          <cell r="B142" t="str">
            <v>Other Administration Charges</v>
          </cell>
          <cell r="C142">
            <v>0</v>
          </cell>
          <cell r="D142" t="str">
            <v>PAE</v>
          </cell>
          <cell r="E142" t="str">
            <v>Donations</v>
          </cell>
          <cell r="F142" t="str">
            <v>Total Charges</v>
          </cell>
          <cell r="G142" t="str">
            <v>7062160</v>
          </cell>
          <cell r="H142">
            <v>0</v>
          </cell>
          <cell r="I142">
            <v>0</v>
          </cell>
          <cell r="J142">
            <v>0</v>
          </cell>
          <cell r="K142" t="str">
            <v>7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</row>
        <row r="143">
          <cell r="A143">
            <v>39082</v>
          </cell>
          <cell r="B143" t="str">
            <v>Other Administration Charges</v>
          </cell>
          <cell r="C143">
            <v>0</v>
          </cell>
          <cell r="D143" t="str">
            <v>PAG</v>
          </cell>
          <cell r="E143" t="str">
            <v>Entertainment Expenses</v>
          </cell>
          <cell r="F143" t="str">
            <v>Total Charges</v>
          </cell>
          <cell r="G143" t="str">
            <v>7062190</v>
          </cell>
          <cell r="H143">
            <v>0</v>
          </cell>
          <cell r="I143">
            <v>0</v>
          </cell>
          <cell r="J143">
            <v>0</v>
          </cell>
          <cell r="K143" t="str">
            <v>7</v>
          </cell>
          <cell r="L143">
            <v>0</v>
          </cell>
          <cell r="M143">
            <v>0</v>
          </cell>
          <cell r="N143">
            <v>527689.82999999996</v>
          </cell>
          <cell r="O143">
            <v>183589.81</v>
          </cell>
          <cell r="P143">
            <v>192321.14</v>
          </cell>
          <cell r="Q143">
            <v>0</v>
          </cell>
          <cell r="R143">
            <v>0</v>
          </cell>
          <cell r="S143">
            <v>41186.879999999997</v>
          </cell>
          <cell r="T143">
            <v>0</v>
          </cell>
          <cell r="U143">
            <v>6411</v>
          </cell>
        </row>
        <row r="144">
          <cell r="A144">
            <v>39082</v>
          </cell>
          <cell r="B144" t="str">
            <v>Other Administration Charges</v>
          </cell>
          <cell r="C144">
            <v>0</v>
          </cell>
          <cell r="D144" t="str">
            <v>PAH</v>
          </cell>
          <cell r="E144" t="str">
            <v>Fees &amp; payment for services</v>
          </cell>
          <cell r="F144" t="str">
            <v>Total Charges</v>
          </cell>
          <cell r="G144" t="str">
            <v>7061155</v>
          </cell>
          <cell r="H144">
            <v>0</v>
          </cell>
          <cell r="I144">
            <v>0</v>
          </cell>
          <cell r="J144">
            <v>0</v>
          </cell>
          <cell r="K144" t="str">
            <v>7</v>
          </cell>
          <cell r="L144">
            <v>0</v>
          </cell>
          <cell r="M144">
            <v>0</v>
          </cell>
          <cell r="N144">
            <v>9952204.8499999996</v>
          </cell>
          <cell r="O144">
            <v>4279946.79</v>
          </cell>
          <cell r="P144">
            <v>4756212.5199999996</v>
          </cell>
          <cell r="Q144">
            <v>608870.28</v>
          </cell>
          <cell r="R144">
            <v>0</v>
          </cell>
          <cell r="S144">
            <v>118981.12</v>
          </cell>
          <cell r="T144">
            <v>0</v>
          </cell>
          <cell r="U144">
            <v>0</v>
          </cell>
        </row>
        <row r="145">
          <cell r="A145">
            <v>39082</v>
          </cell>
          <cell r="B145" t="str">
            <v>Other Administration Charges</v>
          </cell>
          <cell r="C145">
            <v>0</v>
          </cell>
          <cell r="D145" t="str">
            <v>PAI</v>
          </cell>
          <cell r="E145" t="str">
            <v>Newspapers &amp; Periodicals</v>
          </cell>
          <cell r="F145" t="str">
            <v>Total Charges</v>
          </cell>
          <cell r="G145" t="str">
            <v>7062210</v>
          </cell>
          <cell r="H145">
            <v>0</v>
          </cell>
          <cell r="I145">
            <v>0</v>
          </cell>
          <cell r="J145">
            <v>0</v>
          </cell>
          <cell r="K145" t="str">
            <v>7</v>
          </cell>
          <cell r="L145">
            <v>0</v>
          </cell>
          <cell r="M145">
            <v>0</v>
          </cell>
          <cell r="N145">
            <v>294317.90000000002</v>
          </cell>
          <cell r="O145">
            <v>121352.9</v>
          </cell>
          <cell r="P145">
            <v>134355</v>
          </cell>
          <cell r="Q145">
            <v>31581</v>
          </cell>
          <cell r="R145">
            <v>0</v>
          </cell>
          <cell r="S145">
            <v>529</v>
          </cell>
          <cell r="T145">
            <v>0</v>
          </cell>
          <cell r="U145">
            <v>425</v>
          </cell>
        </row>
        <row r="146">
          <cell r="A146">
            <v>39082</v>
          </cell>
          <cell r="B146" t="str">
            <v>Other Administration Charges</v>
          </cell>
          <cell r="C146">
            <v>0</v>
          </cell>
          <cell r="D146" t="str">
            <v>PAJ</v>
          </cell>
          <cell r="E146" t="str">
            <v>Postages &amp; Stamps</v>
          </cell>
          <cell r="F146" t="str">
            <v>Total Charges</v>
          </cell>
          <cell r="G146" t="str">
            <v>7062220</v>
          </cell>
          <cell r="H146">
            <v>0</v>
          </cell>
          <cell r="I146">
            <v>0</v>
          </cell>
          <cell r="J146">
            <v>0</v>
          </cell>
          <cell r="K146" t="str">
            <v>7</v>
          </cell>
          <cell r="L146">
            <v>0</v>
          </cell>
          <cell r="M146">
            <v>0</v>
          </cell>
          <cell r="N146">
            <v>1191870.3899999999</v>
          </cell>
          <cell r="O146">
            <v>513664.73</v>
          </cell>
          <cell r="P146">
            <v>569451.43000000005</v>
          </cell>
          <cell r="Q146">
            <v>79486.23</v>
          </cell>
          <cell r="R146">
            <v>0</v>
          </cell>
          <cell r="S146">
            <v>29268</v>
          </cell>
          <cell r="T146">
            <v>0</v>
          </cell>
          <cell r="U146">
            <v>0</v>
          </cell>
        </row>
        <row r="147">
          <cell r="A147">
            <v>39082</v>
          </cell>
          <cell r="B147" t="str">
            <v>Other Administration Charges</v>
          </cell>
          <cell r="C147">
            <v>0</v>
          </cell>
          <cell r="D147" t="str">
            <v>PAK</v>
          </cell>
          <cell r="E147" t="str">
            <v>Courier Services</v>
          </cell>
          <cell r="F147" t="str">
            <v>Total Charges</v>
          </cell>
          <cell r="G147" t="str">
            <v>7062230</v>
          </cell>
          <cell r="H147">
            <v>0</v>
          </cell>
          <cell r="I147">
            <v>0</v>
          </cell>
          <cell r="J147">
            <v>0</v>
          </cell>
          <cell r="K147" t="str">
            <v>7</v>
          </cell>
          <cell r="L147">
            <v>0</v>
          </cell>
          <cell r="M147">
            <v>0</v>
          </cell>
          <cell r="N147">
            <v>453368.03</v>
          </cell>
          <cell r="O147">
            <v>241228.07</v>
          </cell>
          <cell r="P147">
            <v>125465.96</v>
          </cell>
          <cell r="Q147">
            <v>0</v>
          </cell>
          <cell r="R147">
            <v>0</v>
          </cell>
          <cell r="S147">
            <v>51981</v>
          </cell>
          <cell r="T147">
            <v>0</v>
          </cell>
          <cell r="U147">
            <v>560</v>
          </cell>
        </row>
        <row r="148">
          <cell r="A148">
            <v>39082</v>
          </cell>
          <cell r="B148" t="str">
            <v>Other Administration Charges</v>
          </cell>
          <cell r="C148">
            <v>0</v>
          </cell>
          <cell r="D148" t="str">
            <v>PAM</v>
          </cell>
          <cell r="E148" t="str">
            <v>Stationery &amp; Printing</v>
          </cell>
          <cell r="F148" t="str">
            <v>Total Charges</v>
          </cell>
          <cell r="G148" t="str">
            <v>7062260</v>
          </cell>
          <cell r="H148">
            <v>0</v>
          </cell>
          <cell r="I148">
            <v>0</v>
          </cell>
          <cell r="J148">
            <v>0</v>
          </cell>
          <cell r="K148" t="str">
            <v>7</v>
          </cell>
          <cell r="L148">
            <v>0</v>
          </cell>
          <cell r="M148">
            <v>0</v>
          </cell>
          <cell r="N148">
            <v>1628497.22</v>
          </cell>
          <cell r="O148">
            <v>580487</v>
          </cell>
          <cell r="P148">
            <v>668354.68999999994</v>
          </cell>
          <cell r="Q148">
            <v>0</v>
          </cell>
          <cell r="R148">
            <v>0</v>
          </cell>
          <cell r="S148">
            <v>106901.05</v>
          </cell>
          <cell r="T148">
            <v>0</v>
          </cell>
          <cell r="U148">
            <v>6114.23</v>
          </cell>
        </row>
        <row r="149">
          <cell r="A149">
            <v>39082</v>
          </cell>
          <cell r="B149" t="str">
            <v>Other Administration Charges</v>
          </cell>
          <cell r="C149">
            <v>0</v>
          </cell>
          <cell r="D149" t="str">
            <v>PAM</v>
          </cell>
          <cell r="E149" t="str">
            <v>Stationery &amp; Printing</v>
          </cell>
          <cell r="F149" t="str">
            <v>Total Charges</v>
          </cell>
          <cell r="G149" t="str">
            <v>7062265</v>
          </cell>
          <cell r="H149">
            <v>0</v>
          </cell>
          <cell r="I149">
            <v>0</v>
          </cell>
          <cell r="J149">
            <v>0</v>
          </cell>
          <cell r="K149" t="str">
            <v>7</v>
          </cell>
          <cell r="L149">
            <v>0</v>
          </cell>
          <cell r="M149">
            <v>0</v>
          </cell>
          <cell r="N149">
            <v>424848.42</v>
          </cell>
          <cell r="O149">
            <v>43654.37</v>
          </cell>
          <cell r="P149">
            <v>48331.63</v>
          </cell>
          <cell r="Q149">
            <v>242838.42</v>
          </cell>
          <cell r="R149">
            <v>0</v>
          </cell>
          <cell r="S149">
            <v>2512.6999999999998</v>
          </cell>
          <cell r="T149">
            <v>0</v>
          </cell>
          <cell r="U149">
            <v>920</v>
          </cell>
        </row>
        <row r="150">
          <cell r="A150">
            <v>39082</v>
          </cell>
          <cell r="B150" t="str">
            <v>Other Administration Charges</v>
          </cell>
          <cell r="C150">
            <v>0</v>
          </cell>
          <cell r="D150" t="str">
            <v>PAN</v>
          </cell>
          <cell r="E150" t="str">
            <v>Cheque Books &amp; Draft Books</v>
          </cell>
          <cell r="F150" t="str">
            <v>Total Charges</v>
          </cell>
          <cell r="G150" t="str">
            <v>7062270</v>
          </cell>
          <cell r="H150">
            <v>0</v>
          </cell>
          <cell r="I150">
            <v>0</v>
          </cell>
          <cell r="J150">
            <v>0</v>
          </cell>
          <cell r="K150" t="str">
            <v>7</v>
          </cell>
          <cell r="L150">
            <v>0</v>
          </cell>
          <cell r="M150">
            <v>0</v>
          </cell>
          <cell r="N150">
            <v>413685.25</v>
          </cell>
          <cell r="O150">
            <v>91567.08</v>
          </cell>
          <cell r="P150">
            <v>119040.47</v>
          </cell>
          <cell r="Q150">
            <v>79878</v>
          </cell>
          <cell r="R150">
            <v>0</v>
          </cell>
          <cell r="S150">
            <v>53919.95</v>
          </cell>
          <cell r="T150">
            <v>0</v>
          </cell>
          <cell r="U150">
            <v>0</v>
          </cell>
        </row>
        <row r="151">
          <cell r="A151">
            <v>39082</v>
          </cell>
          <cell r="B151" t="str">
            <v>Other Administration Charges</v>
          </cell>
          <cell r="C151">
            <v>0</v>
          </cell>
          <cell r="D151" t="str">
            <v>PAP</v>
          </cell>
          <cell r="E151" t="str">
            <v>Travelling Expenses</v>
          </cell>
          <cell r="F151" t="str">
            <v>Total Charges</v>
          </cell>
          <cell r="G151" t="str">
            <v>7062290</v>
          </cell>
          <cell r="H151">
            <v>0</v>
          </cell>
          <cell r="I151">
            <v>0</v>
          </cell>
          <cell r="J151">
            <v>0</v>
          </cell>
          <cell r="K151" t="str">
            <v>7</v>
          </cell>
          <cell r="L151">
            <v>0</v>
          </cell>
          <cell r="M151">
            <v>0</v>
          </cell>
          <cell r="N151">
            <v>2549655.4</v>
          </cell>
          <cell r="O151">
            <v>926518.29</v>
          </cell>
          <cell r="P151">
            <v>1110197.1100000001</v>
          </cell>
          <cell r="Q151">
            <v>239192</v>
          </cell>
          <cell r="R151">
            <v>0</v>
          </cell>
          <cell r="S151">
            <v>35232</v>
          </cell>
          <cell r="T151">
            <v>0</v>
          </cell>
          <cell r="U151">
            <v>11249</v>
          </cell>
        </row>
        <row r="152">
          <cell r="A152">
            <v>39082</v>
          </cell>
          <cell r="B152" t="str">
            <v>Other Administration Charges</v>
          </cell>
          <cell r="C152">
            <v>0</v>
          </cell>
          <cell r="D152" t="str">
            <v>PAQ</v>
          </cell>
          <cell r="E152" t="str">
            <v>Miscellaneous</v>
          </cell>
          <cell r="F152" t="str">
            <v>Total Charges</v>
          </cell>
          <cell r="G152" t="str">
            <v>7062320</v>
          </cell>
          <cell r="H152">
            <v>0</v>
          </cell>
          <cell r="I152">
            <v>0</v>
          </cell>
          <cell r="J152">
            <v>0</v>
          </cell>
          <cell r="K152" t="str">
            <v>7</v>
          </cell>
          <cell r="L152">
            <v>0</v>
          </cell>
          <cell r="M152">
            <v>0</v>
          </cell>
          <cell r="N152">
            <v>-822264.5</v>
          </cell>
          <cell r="O152">
            <v>-447715.12</v>
          </cell>
          <cell r="P152">
            <v>-453225.4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78676.02</v>
          </cell>
        </row>
        <row r="153">
          <cell r="A153">
            <v>39082</v>
          </cell>
          <cell r="B153" t="str">
            <v>Other Administration Charges</v>
          </cell>
          <cell r="C153">
            <v>0</v>
          </cell>
          <cell r="D153" t="str">
            <v>PAQ</v>
          </cell>
          <cell r="E153" t="str">
            <v>Miscellaneous</v>
          </cell>
          <cell r="F153" t="str">
            <v>Total Charges</v>
          </cell>
          <cell r="G153" t="str">
            <v>7062400</v>
          </cell>
          <cell r="H153">
            <v>0</v>
          </cell>
          <cell r="I153">
            <v>0</v>
          </cell>
          <cell r="J153">
            <v>0</v>
          </cell>
          <cell r="K153" t="str">
            <v>7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</row>
        <row r="154">
          <cell r="A154">
            <v>39082</v>
          </cell>
          <cell r="B154" t="str">
            <v>Other Administration Charges</v>
          </cell>
          <cell r="C154">
            <v>0</v>
          </cell>
          <cell r="D154" t="str">
            <v>PAQ</v>
          </cell>
          <cell r="E154" t="str">
            <v>Miscellaneous</v>
          </cell>
          <cell r="F154" t="str">
            <v>Total Charges</v>
          </cell>
          <cell r="G154" t="str">
            <v>7062600</v>
          </cell>
          <cell r="H154">
            <v>0</v>
          </cell>
          <cell r="I154">
            <v>0</v>
          </cell>
          <cell r="J154">
            <v>0</v>
          </cell>
          <cell r="K154" t="str">
            <v>7</v>
          </cell>
          <cell r="L154">
            <v>0</v>
          </cell>
          <cell r="M154">
            <v>0</v>
          </cell>
          <cell r="N154">
            <v>247489.56</v>
          </cell>
          <cell r="O154">
            <v>34070.31</v>
          </cell>
          <cell r="P154">
            <v>41630.69</v>
          </cell>
          <cell r="Q154">
            <v>24017.56</v>
          </cell>
          <cell r="R154">
            <v>0</v>
          </cell>
          <cell r="S154">
            <v>118949</v>
          </cell>
          <cell r="T154">
            <v>0</v>
          </cell>
          <cell r="U154">
            <v>932</v>
          </cell>
        </row>
        <row r="155">
          <cell r="A155">
            <v>39082</v>
          </cell>
          <cell r="B155" t="str">
            <v>Other Administration Charges</v>
          </cell>
          <cell r="C155">
            <v>0</v>
          </cell>
          <cell r="D155" t="str">
            <v>PAR</v>
          </cell>
          <cell r="E155" t="str">
            <v>RTGS / SWIFT Charges</v>
          </cell>
          <cell r="F155" t="str">
            <v>Total Charges</v>
          </cell>
          <cell r="G155" t="str">
            <v>7062225</v>
          </cell>
          <cell r="H155">
            <v>0</v>
          </cell>
          <cell r="I155">
            <v>0</v>
          </cell>
          <cell r="J155">
            <v>0</v>
          </cell>
          <cell r="K155" t="str">
            <v>7</v>
          </cell>
          <cell r="L155">
            <v>0</v>
          </cell>
          <cell r="M155">
            <v>0</v>
          </cell>
          <cell r="N155">
            <v>1589512.3</v>
          </cell>
          <cell r="O155">
            <v>743111.13</v>
          </cell>
          <cell r="P155">
            <v>822730.17</v>
          </cell>
          <cell r="Q155">
            <v>23215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</row>
        <row r="156">
          <cell r="A156">
            <v>39082</v>
          </cell>
          <cell r="B156" t="str">
            <v>Other Administration Charges</v>
          </cell>
          <cell r="C156">
            <v>0</v>
          </cell>
          <cell r="D156" t="str">
            <v>PAR</v>
          </cell>
          <cell r="E156" t="str">
            <v>RTGS / SWIFT Charges</v>
          </cell>
          <cell r="F156" t="str">
            <v>Total Charges</v>
          </cell>
          <cell r="G156" t="str">
            <v>7062340</v>
          </cell>
          <cell r="H156">
            <v>0</v>
          </cell>
          <cell r="I156">
            <v>0</v>
          </cell>
          <cell r="J156">
            <v>0</v>
          </cell>
          <cell r="K156" t="str">
            <v>7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</row>
        <row r="157">
          <cell r="A157">
            <v>39082</v>
          </cell>
          <cell r="B157" t="str">
            <v>Other Administration Charges</v>
          </cell>
          <cell r="C157">
            <v>0</v>
          </cell>
          <cell r="D157" t="str">
            <v>PAS</v>
          </cell>
          <cell r="E157" t="str">
            <v>MCBS/VIBS/MC SWITCH FEE Charges</v>
          </cell>
          <cell r="F157" t="str">
            <v>Total Charges</v>
          </cell>
          <cell r="G157" t="str">
            <v>7062329</v>
          </cell>
          <cell r="H157">
            <v>0</v>
          </cell>
          <cell r="I157">
            <v>0</v>
          </cell>
          <cell r="J157">
            <v>0</v>
          </cell>
          <cell r="K157" t="str">
            <v>7</v>
          </cell>
          <cell r="L157">
            <v>0</v>
          </cell>
          <cell r="M157">
            <v>0</v>
          </cell>
          <cell r="N157">
            <v>1094.03</v>
          </cell>
          <cell r="O157">
            <v>1094.03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</row>
        <row r="158">
          <cell r="A158">
            <v>39082</v>
          </cell>
          <cell r="B158" t="str">
            <v>Other Administration Charges</v>
          </cell>
          <cell r="C158">
            <v>0</v>
          </cell>
          <cell r="D158" t="str">
            <v>PAS</v>
          </cell>
          <cell r="E158" t="str">
            <v>MCBS/VIBS/MC SWITCH FEE Charges</v>
          </cell>
          <cell r="F158" t="str">
            <v>Total Charges</v>
          </cell>
          <cell r="G158" t="str">
            <v>7062330</v>
          </cell>
          <cell r="H158">
            <v>0</v>
          </cell>
          <cell r="I158">
            <v>0</v>
          </cell>
          <cell r="J158">
            <v>0</v>
          </cell>
          <cell r="K158" t="str">
            <v>7</v>
          </cell>
          <cell r="L158">
            <v>0</v>
          </cell>
          <cell r="M158">
            <v>0</v>
          </cell>
          <cell r="N158">
            <v>770747.29</v>
          </cell>
          <cell r="O158">
            <v>770747.29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</row>
        <row r="159">
          <cell r="A159">
            <v>39082</v>
          </cell>
          <cell r="B159" t="str">
            <v>Other Administration Charges</v>
          </cell>
          <cell r="C159">
            <v>0</v>
          </cell>
          <cell r="D159" t="str">
            <v>PAS</v>
          </cell>
          <cell r="E159" t="str">
            <v>MCBS/VIBS/MC SWITCH FEE Charges</v>
          </cell>
          <cell r="F159" t="str">
            <v>Total Charges</v>
          </cell>
          <cell r="G159" t="str">
            <v>7062332</v>
          </cell>
          <cell r="H159">
            <v>0</v>
          </cell>
          <cell r="I159">
            <v>0</v>
          </cell>
          <cell r="J159">
            <v>0</v>
          </cell>
          <cell r="K159" t="str">
            <v>7</v>
          </cell>
          <cell r="L159">
            <v>0</v>
          </cell>
          <cell r="M159">
            <v>0</v>
          </cell>
          <cell r="N159">
            <v>1673.29</v>
          </cell>
          <cell r="O159">
            <v>1673.29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</row>
        <row r="160">
          <cell r="A160">
            <v>39082</v>
          </cell>
          <cell r="B160" t="str">
            <v>Other Administration Charges</v>
          </cell>
          <cell r="C160">
            <v>0</v>
          </cell>
          <cell r="D160" t="str">
            <v>PAW</v>
          </cell>
          <cell r="E160" t="str">
            <v>Foreign Currency Repatriation</v>
          </cell>
          <cell r="F160" t="str">
            <v>Total Charges</v>
          </cell>
          <cell r="G160" t="str">
            <v>7062200</v>
          </cell>
          <cell r="H160">
            <v>0</v>
          </cell>
          <cell r="I160">
            <v>0</v>
          </cell>
          <cell r="J160">
            <v>0</v>
          </cell>
          <cell r="K160" t="str">
            <v>7</v>
          </cell>
          <cell r="L160">
            <v>0</v>
          </cell>
          <cell r="M160">
            <v>0</v>
          </cell>
          <cell r="N160">
            <v>899794.02</v>
          </cell>
          <cell r="O160">
            <v>427020.89</v>
          </cell>
          <cell r="P160">
            <v>472773.13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</row>
        <row r="161">
          <cell r="A161">
            <v>39082</v>
          </cell>
          <cell r="B161" t="str">
            <v>Other Sources</v>
          </cell>
          <cell r="C161">
            <v>0</v>
          </cell>
          <cell r="D161" t="str">
            <v>BAA</v>
          </cell>
          <cell r="E161" t="str">
            <v>Loans at Call</v>
          </cell>
          <cell r="F161" t="str">
            <v>Total Interest Income</v>
          </cell>
          <cell r="G161" t="str">
            <v>5015100</v>
          </cell>
          <cell r="H161">
            <v>0</v>
          </cell>
          <cell r="I161">
            <v>0</v>
          </cell>
          <cell r="J161">
            <v>0</v>
          </cell>
          <cell r="K161" t="str">
            <v>5</v>
          </cell>
          <cell r="L161">
            <v>0</v>
          </cell>
          <cell r="M161">
            <v>0</v>
          </cell>
          <cell r="N161">
            <v>-24249325.84</v>
          </cell>
          <cell r="O161">
            <v>0</v>
          </cell>
          <cell r="P161">
            <v>-24249325.84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</row>
        <row r="162">
          <cell r="A162">
            <v>39082</v>
          </cell>
          <cell r="B162" t="str">
            <v>Other Sources</v>
          </cell>
          <cell r="C162">
            <v>0</v>
          </cell>
          <cell r="D162" t="str">
            <v>BAA</v>
          </cell>
          <cell r="E162" t="str">
            <v>Loans at Call</v>
          </cell>
          <cell r="F162" t="str">
            <v>Total Interest Income</v>
          </cell>
          <cell r="G162" t="str">
            <v>5031855</v>
          </cell>
          <cell r="H162">
            <v>0</v>
          </cell>
          <cell r="I162">
            <v>0</v>
          </cell>
          <cell r="J162">
            <v>0</v>
          </cell>
          <cell r="K162" t="str">
            <v>5</v>
          </cell>
          <cell r="L162">
            <v>0</v>
          </cell>
          <cell r="M162">
            <v>0</v>
          </cell>
          <cell r="N162">
            <v>-25368543.890000001</v>
          </cell>
          <cell r="O162">
            <v>0</v>
          </cell>
          <cell r="P162">
            <v>-25368543.890000001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</row>
        <row r="163">
          <cell r="A163">
            <v>39082</v>
          </cell>
          <cell r="B163" t="str">
            <v>Other Sources</v>
          </cell>
          <cell r="C163">
            <v>0</v>
          </cell>
          <cell r="D163" t="str">
            <v>BAB</v>
          </cell>
          <cell r="E163" t="str">
            <v>Treasury Bills</v>
          </cell>
          <cell r="F163" t="str">
            <v>Total Interest Income</v>
          </cell>
          <cell r="G163" t="str">
            <v>5015000</v>
          </cell>
          <cell r="H163">
            <v>0</v>
          </cell>
          <cell r="I163">
            <v>0</v>
          </cell>
          <cell r="J163">
            <v>0</v>
          </cell>
          <cell r="K163" t="str">
            <v>5</v>
          </cell>
          <cell r="L163">
            <v>0</v>
          </cell>
          <cell r="M163">
            <v>0</v>
          </cell>
          <cell r="N163">
            <v>-59857609.090000004</v>
          </cell>
          <cell r="O163">
            <v>0</v>
          </cell>
          <cell r="P163">
            <v>-59857609.090000004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</row>
        <row r="164">
          <cell r="A164">
            <v>39082</v>
          </cell>
          <cell r="B164" t="str">
            <v>Other Sources</v>
          </cell>
          <cell r="C164">
            <v>0</v>
          </cell>
          <cell r="D164" t="str">
            <v>BAC</v>
          </cell>
          <cell r="E164" t="str">
            <v>Treasury Bonds</v>
          </cell>
          <cell r="F164" t="str">
            <v>Total Interest Income</v>
          </cell>
          <cell r="G164" t="str">
            <v>5015050</v>
          </cell>
          <cell r="H164">
            <v>0</v>
          </cell>
          <cell r="I164">
            <v>0</v>
          </cell>
          <cell r="J164">
            <v>0</v>
          </cell>
          <cell r="K164" t="str">
            <v>5</v>
          </cell>
          <cell r="L164">
            <v>0</v>
          </cell>
          <cell r="M164">
            <v>0</v>
          </cell>
          <cell r="N164">
            <v>-113500</v>
          </cell>
          <cell r="O164">
            <v>0</v>
          </cell>
          <cell r="P164">
            <v>-113500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</row>
        <row r="165">
          <cell r="A165">
            <v>39082</v>
          </cell>
          <cell r="B165" t="str">
            <v>Other Sources</v>
          </cell>
          <cell r="C165">
            <v>0</v>
          </cell>
          <cell r="D165" t="str">
            <v>BAD</v>
          </cell>
          <cell r="E165" t="str">
            <v>Capital Gain Bond Trading</v>
          </cell>
          <cell r="F165" t="str">
            <v>Total Interest Income</v>
          </cell>
          <cell r="G165" t="str">
            <v>5015060</v>
          </cell>
          <cell r="H165">
            <v>0</v>
          </cell>
          <cell r="I165">
            <v>0</v>
          </cell>
          <cell r="J165">
            <v>0</v>
          </cell>
          <cell r="K165" t="str">
            <v>5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</row>
        <row r="166">
          <cell r="A166">
            <v>39082</v>
          </cell>
          <cell r="B166" t="str">
            <v>Other Sources</v>
          </cell>
          <cell r="C166">
            <v>0</v>
          </cell>
          <cell r="D166" t="str">
            <v>BAE</v>
          </cell>
          <cell r="E166" t="str">
            <v>Agents</v>
          </cell>
          <cell r="F166" t="str">
            <v>Total Interest Income</v>
          </cell>
          <cell r="G166" t="str">
            <v>5011000</v>
          </cell>
          <cell r="H166">
            <v>0</v>
          </cell>
          <cell r="I166">
            <v>0</v>
          </cell>
          <cell r="J166">
            <v>0</v>
          </cell>
          <cell r="K166" t="str">
            <v>5</v>
          </cell>
          <cell r="L166">
            <v>0</v>
          </cell>
          <cell r="M166">
            <v>0</v>
          </cell>
          <cell r="N166">
            <v>-54864332</v>
          </cell>
          <cell r="O166">
            <v>0</v>
          </cell>
          <cell r="P166">
            <v>-177775</v>
          </cell>
          <cell r="Q166">
            <v>-33318790</v>
          </cell>
          <cell r="R166">
            <v>0</v>
          </cell>
          <cell r="S166">
            <v>-18148269</v>
          </cell>
          <cell r="T166">
            <v>0</v>
          </cell>
          <cell r="U166">
            <v>0</v>
          </cell>
        </row>
        <row r="167">
          <cell r="A167">
            <v>39082</v>
          </cell>
          <cell r="B167" t="str">
            <v>Other Sources</v>
          </cell>
          <cell r="C167">
            <v>0</v>
          </cell>
          <cell r="D167" t="str">
            <v>BAE</v>
          </cell>
          <cell r="E167" t="str">
            <v>Agents</v>
          </cell>
          <cell r="F167" t="str">
            <v>Total Interest Income</v>
          </cell>
          <cell r="G167" t="str">
            <v>5011090</v>
          </cell>
          <cell r="H167">
            <v>0</v>
          </cell>
          <cell r="I167">
            <v>0</v>
          </cell>
          <cell r="J167">
            <v>0</v>
          </cell>
          <cell r="K167" t="str">
            <v>5</v>
          </cell>
          <cell r="L167">
            <v>0</v>
          </cell>
          <cell r="M167">
            <v>0</v>
          </cell>
          <cell r="N167">
            <v>-48486442.439999998</v>
          </cell>
          <cell r="O167">
            <v>0</v>
          </cell>
          <cell r="P167">
            <v>-48486442.439999998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</row>
        <row r="168">
          <cell r="A168">
            <v>39082</v>
          </cell>
          <cell r="B168" t="str">
            <v>Other Sources</v>
          </cell>
          <cell r="C168">
            <v>0</v>
          </cell>
          <cell r="D168" t="str">
            <v>BAE</v>
          </cell>
          <cell r="E168" t="str">
            <v>Agents</v>
          </cell>
          <cell r="F168" t="str">
            <v>Total Interest Income</v>
          </cell>
          <cell r="G168" t="str">
            <v>5015110</v>
          </cell>
          <cell r="H168">
            <v>0</v>
          </cell>
          <cell r="I168">
            <v>0</v>
          </cell>
          <cell r="J168">
            <v>0</v>
          </cell>
          <cell r="K168" t="str">
            <v>5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</row>
        <row r="169">
          <cell r="A169">
            <v>39082</v>
          </cell>
          <cell r="B169" t="str">
            <v>Other Sources</v>
          </cell>
          <cell r="C169">
            <v>0</v>
          </cell>
          <cell r="D169" t="str">
            <v>BAE</v>
          </cell>
          <cell r="E169" t="str">
            <v>Agents</v>
          </cell>
          <cell r="F169" t="str">
            <v>Total Interest Income</v>
          </cell>
          <cell r="G169" t="str">
            <v>5015115</v>
          </cell>
          <cell r="H169">
            <v>0</v>
          </cell>
          <cell r="I169">
            <v>0</v>
          </cell>
          <cell r="J169">
            <v>0</v>
          </cell>
          <cell r="K169" t="str">
            <v>5</v>
          </cell>
          <cell r="L169">
            <v>0</v>
          </cell>
          <cell r="M169">
            <v>0</v>
          </cell>
          <cell r="N169">
            <v>-4670575.25</v>
          </cell>
          <cell r="O169">
            <v>0</v>
          </cell>
          <cell r="P169">
            <v>-4670575.25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</row>
        <row r="170">
          <cell r="A170">
            <v>39082</v>
          </cell>
          <cell r="B170" t="str">
            <v>Other Sources</v>
          </cell>
          <cell r="C170">
            <v>0</v>
          </cell>
          <cell r="D170" t="str">
            <v>BAE</v>
          </cell>
          <cell r="E170" t="str">
            <v>Agents</v>
          </cell>
          <cell r="F170" t="str">
            <v>Total Interest Income</v>
          </cell>
          <cell r="G170" t="str">
            <v>5015200</v>
          </cell>
          <cell r="H170">
            <v>0</v>
          </cell>
          <cell r="I170">
            <v>0</v>
          </cell>
          <cell r="J170">
            <v>0</v>
          </cell>
          <cell r="K170" t="str">
            <v>5</v>
          </cell>
          <cell r="L170">
            <v>0</v>
          </cell>
          <cell r="M170">
            <v>0</v>
          </cell>
          <cell r="N170">
            <v>-19904975.77</v>
          </cell>
          <cell r="O170">
            <v>0</v>
          </cell>
          <cell r="P170">
            <v>-19904975.77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</row>
        <row r="171">
          <cell r="A171">
            <v>39082</v>
          </cell>
          <cell r="B171" t="str">
            <v>Other Sources</v>
          </cell>
          <cell r="C171">
            <v>0</v>
          </cell>
          <cell r="D171" t="str">
            <v>BAE</v>
          </cell>
          <cell r="E171" t="str">
            <v>Agents</v>
          </cell>
          <cell r="F171" t="str">
            <v>Total Interest Income</v>
          </cell>
          <cell r="G171" t="str">
            <v>5615200</v>
          </cell>
          <cell r="H171">
            <v>0</v>
          </cell>
          <cell r="I171">
            <v>0</v>
          </cell>
          <cell r="J171">
            <v>0</v>
          </cell>
          <cell r="K171" t="str">
            <v>5</v>
          </cell>
          <cell r="L171">
            <v>0</v>
          </cell>
          <cell r="M171">
            <v>0</v>
          </cell>
          <cell r="N171">
            <v>-26673133.73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-26673133.73</v>
          </cell>
        </row>
        <row r="172">
          <cell r="A172">
            <v>39082</v>
          </cell>
          <cell r="B172" t="str">
            <v>Other Sources</v>
          </cell>
          <cell r="C172">
            <v>0</v>
          </cell>
          <cell r="D172" t="str">
            <v>BAE</v>
          </cell>
          <cell r="E172" t="str">
            <v>Agents</v>
          </cell>
          <cell r="F172" t="str">
            <v>Total Interest Income</v>
          </cell>
          <cell r="G172" t="str">
            <v>7011000</v>
          </cell>
          <cell r="H172">
            <v>0</v>
          </cell>
          <cell r="I172">
            <v>0</v>
          </cell>
          <cell r="J172">
            <v>0</v>
          </cell>
          <cell r="K172" t="str">
            <v>7</v>
          </cell>
          <cell r="L172">
            <v>0</v>
          </cell>
          <cell r="M172">
            <v>0</v>
          </cell>
          <cell r="N172">
            <v>54864332</v>
          </cell>
          <cell r="O172">
            <v>0</v>
          </cell>
          <cell r="P172">
            <v>54686557</v>
          </cell>
          <cell r="Q172">
            <v>0</v>
          </cell>
          <cell r="R172">
            <v>0</v>
          </cell>
          <cell r="S172">
            <v>177775</v>
          </cell>
          <cell r="T172">
            <v>0</v>
          </cell>
          <cell r="U172">
            <v>0</v>
          </cell>
        </row>
        <row r="173">
          <cell r="A173">
            <v>39082</v>
          </cell>
          <cell r="B173" t="str">
            <v>Other Sources</v>
          </cell>
          <cell r="C173">
            <v>0</v>
          </cell>
          <cell r="D173" t="str">
            <v>BAE</v>
          </cell>
          <cell r="E173" t="str">
            <v>Agents</v>
          </cell>
          <cell r="F173" t="str">
            <v>Total Interest Income</v>
          </cell>
          <cell r="G173" t="str">
            <v>7011145</v>
          </cell>
          <cell r="H173">
            <v>0</v>
          </cell>
          <cell r="I173">
            <v>0</v>
          </cell>
          <cell r="J173">
            <v>0</v>
          </cell>
          <cell r="K173" t="str">
            <v>7</v>
          </cell>
          <cell r="L173">
            <v>0</v>
          </cell>
          <cell r="M173">
            <v>0</v>
          </cell>
          <cell r="N173">
            <v>10317.67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10317.67</v>
          </cell>
        </row>
        <row r="174">
          <cell r="A174">
            <v>39082</v>
          </cell>
          <cell r="B174" t="str">
            <v>Other Sources</v>
          </cell>
          <cell r="C174">
            <v>0</v>
          </cell>
          <cell r="D174" t="str">
            <v>BAE</v>
          </cell>
          <cell r="E174" t="str">
            <v>Agents</v>
          </cell>
          <cell r="F174" t="str">
            <v>Total Interest Income</v>
          </cell>
          <cell r="G174" t="str">
            <v>7612110</v>
          </cell>
          <cell r="H174">
            <v>0</v>
          </cell>
          <cell r="I174">
            <v>0</v>
          </cell>
          <cell r="J174">
            <v>0</v>
          </cell>
          <cell r="K174" t="str">
            <v>7</v>
          </cell>
          <cell r="L174">
            <v>0</v>
          </cell>
          <cell r="M174">
            <v>0</v>
          </cell>
          <cell r="N174">
            <v>4670575.25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4670575.25</v>
          </cell>
        </row>
        <row r="175">
          <cell r="A175">
            <v>39082</v>
          </cell>
          <cell r="B175" t="str">
            <v>Professional Services</v>
          </cell>
          <cell r="C175">
            <v>0</v>
          </cell>
          <cell r="D175" t="str">
            <v>OAA</v>
          </cell>
          <cell r="E175" t="str">
            <v>Auditors Fees</v>
          </cell>
          <cell r="F175" t="str">
            <v>Total Charges</v>
          </cell>
          <cell r="G175" t="str">
            <v>7061110</v>
          </cell>
          <cell r="H175">
            <v>0</v>
          </cell>
          <cell r="I175">
            <v>0</v>
          </cell>
          <cell r="J175">
            <v>0</v>
          </cell>
          <cell r="K175" t="str">
            <v>7</v>
          </cell>
          <cell r="L175">
            <v>0</v>
          </cell>
          <cell r="M175">
            <v>0</v>
          </cell>
          <cell r="N175">
            <v>519017.96</v>
          </cell>
          <cell r="O175">
            <v>209617.85</v>
          </cell>
          <cell r="P175">
            <v>232076.9</v>
          </cell>
          <cell r="Q175">
            <v>77323.210000000006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</row>
        <row r="176">
          <cell r="A176">
            <v>39082</v>
          </cell>
          <cell r="B176" t="str">
            <v>Professional Services</v>
          </cell>
          <cell r="C176">
            <v>0</v>
          </cell>
          <cell r="D176" t="str">
            <v>OAC</v>
          </cell>
          <cell r="E176" t="str">
            <v>Professional &amp; Legal Expenses</v>
          </cell>
          <cell r="F176" t="str">
            <v>Total Charges</v>
          </cell>
          <cell r="G176" t="str">
            <v>7061140</v>
          </cell>
          <cell r="H176">
            <v>0</v>
          </cell>
          <cell r="I176">
            <v>0</v>
          </cell>
          <cell r="J176">
            <v>0</v>
          </cell>
          <cell r="K176" t="str">
            <v>7</v>
          </cell>
          <cell r="L176">
            <v>0</v>
          </cell>
          <cell r="M176">
            <v>0</v>
          </cell>
          <cell r="N176">
            <v>512057.63</v>
          </cell>
          <cell r="O176">
            <v>229886.02</v>
          </cell>
          <cell r="P176">
            <v>255116.66</v>
          </cell>
          <cell r="Q176">
            <v>25854.95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</row>
        <row r="177">
          <cell r="A177">
            <v>39082</v>
          </cell>
          <cell r="B177" t="str">
            <v>Professional Services</v>
          </cell>
          <cell r="C177">
            <v>0</v>
          </cell>
          <cell r="D177" t="str">
            <v>OAC</v>
          </cell>
          <cell r="E177" t="str">
            <v>Professional &amp; Legal Expenses</v>
          </cell>
          <cell r="F177" t="str">
            <v>Total Charges</v>
          </cell>
          <cell r="G177" t="str">
            <v>7061150</v>
          </cell>
          <cell r="H177">
            <v>0</v>
          </cell>
          <cell r="I177">
            <v>0</v>
          </cell>
          <cell r="J177">
            <v>0</v>
          </cell>
          <cell r="K177" t="str">
            <v>7</v>
          </cell>
          <cell r="L177">
            <v>0</v>
          </cell>
          <cell r="M177">
            <v>0</v>
          </cell>
          <cell r="N177">
            <v>1082245</v>
          </cell>
          <cell r="O177">
            <v>420058.14</v>
          </cell>
          <cell r="P177">
            <v>465064.36</v>
          </cell>
          <cell r="Q177">
            <v>197122.5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</row>
        <row r="178">
          <cell r="A178">
            <v>39082</v>
          </cell>
          <cell r="B178" t="str">
            <v>Professional Services</v>
          </cell>
          <cell r="C178">
            <v>0</v>
          </cell>
          <cell r="D178" t="str">
            <v>OAD</v>
          </cell>
          <cell r="E178" t="str">
            <v>Teleprinter Services</v>
          </cell>
          <cell r="F178" t="str">
            <v>Total Charges</v>
          </cell>
          <cell r="G178" t="str">
            <v>7061130</v>
          </cell>
          <cell r="H178">
            <v>0</v>
          </cell>
          <cell r="I178">
            <v>0</v>
          </cell>
          <cell r="J178">
            <v>0</v>
          </cell>
          <cell r="K178" t="str">
            <v>7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</row>
        <row r="179">
          <cell r="A179">
            <v>39082</v>
          </cell>
          <cell r="B179" t="str">
            <v>Professional Services</v>
          </cell>
          <cell r="C179">
            <v>0</v>
          </cell>
          <cell r="D179" t="str">
            <v>OAD</v>
          </cell>
          <cell r="E179" t="str">
            <v>Teleprinter Services</v>
          </cell>
          <cell r="F179" t="str">
            <v>Total Charges</v>
          </cell>
          <cell r="G179" t="str">
            <v>7062325</v>
          </cell>
          <cell r="H179">
            <v>0</v>
          </cell>
          <cell r="I179">
            <v>0</v>
          </cell>
          <cell r="J179">
            <v>0</v>
          </cell>
          <cell r="K179" t="str">
            <v>7</v>
          </cell>
          <cell r="L179">
            <v>0</v>
          </cell>
          <cell r="M179">
            <v>0</v>
          </cell>
          <cell r="N179">
            <v>11087</v>
          </cell>
          <cell r="O179">
            <v>0</v>
          </cell>
          <cell r="P179">
            <v>0</v>
          </cell>
          <cell r="Q179">
            <v>11087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</row>
        <row r="180">
          <cell r="A180">
            <v>39082</v>
          </cell>
          <cell r="B180" t="str">
            <v>Special</v>
          </cell>
          <cell r="C180">
            <v>0</v>
          </cell>
          <cell r="D180" t="str">
            <v>IAA</v>
          </cell>
          <cell r="E180" t="str">
            <v>Special Credits</v>
          </cell>
          <cell r="F180" t="str">
            <v>Special</v>
          </cell>
          <cell r="G180" t="str">
            <v>5012600</v>
          </cell>
          <cell r="H180">
            <v>0</v>
          </cell>
          <cell r="I180">
            <v>0</v>
          </cell>
          <cell r="J180">
            <v>0</v>
          </cell>
          <cell r="K180" t="str">
            <v>5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</row>
        <row r="181">
          <cell r="A181">
            <v>39082</v>
          </cell>
          <cell r="B181" t="str">
            <v>Special</v>
          </cell>
          <cell r="C181">
            <v>0</v>
          </cell>
          <cell r="D181" t="str">
            <v>IAA</v>
          </cell>
          <cell r="E181" t="str">
            <v>Special Credits</v>
          </cell>
          <cell r="F181" t="str">
            <v>Special</v>
          </cell>
          <cell r="G181" t="str">
            <v>5051000</v>
          </cell>
          <cell r="H181">
            <v>0</v>
          </cell>
          <cell r="I181">
            <v>0</v>
          </cell>
          <cell r="J181">
            <v>0</v>
          </cell>
          <cell r="K181" t="str">
            <v>5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</row>
        <row r="182">
          <cell r="A182">
            <v>39082</v>
          </cell>
          <cell r="B182" t="str">
            <v>Special</v>
          </cell>
          <cell r="C182">
            <v>0</v>
          </cell>
          <cell r="D182" t="str">
            <v>IAA</v>
          </cell>
          <cell r="E182" t="str">
            <v>Special Credits</v>
          </cell>
          <cell r="F182" t="str">
            <v>Special</v>
          </cell>
          <cell r="G182" t="str">
            <v>5052100</v>
          </cell>
          <cell r="H182">
            <v>0</v>
          </cell>
          <cell r="I182">
            <v>0</v>
          </cell>
          <cell r="J182">
            <v>0</v>
          </cell>
          <cell r="K182" t="str">
            <v>5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</row>
        <row r="183">
          <cell r="A183">
            <v>39082</v>
          </cell>
          <cell r="B183" t="str">
            <v>Special</v>
          </cell>
          <cell r="C183">
            <v>0</v>
          </cell>
          <cell r="D183" t="str">
            <v>IAA</v>
          </cell>
          <cell r="E183" t="str">
            <v>Special Credits</v>
          </cell>
          <cell r="F183" t="str">
            <v>Special</v>
          </cell>
          <cell r="G183" t="str">
            <v>5053000</v>
          </cell>
          <cell r="H183">
            <v>0</v>
          </cell>
          <cell r="I183">
            <v>0</v>
          </cell>
          <cell r="J183">
            <v>0</v>
          </cell>
          <cell r="K183" t="str">
            <v>5</v>
          </cell>
          <cell r="L183">
            <v>0</v>
          </cell>
          <cell r="M183">
            <v>0</v>
          </cell>
          <cell r="N183">
            <v>-15999880</v>
          </cell>
          <cell r="O183">
            <v>0</v>
          </cell>
          <cell r="P183">
            <v>-15999880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</row>
        <row r="184">
          <cell r="A184">
            <v>39082</v>
          </cell>
          <cell r="B184" t="str">
            <v>Special</v>
          </cell>
          <cell r="C184">
            <v>0</v>
          </cell>
          <cell r="D184" t="str">
            <v>IAC</v>
          </cell>
          <cell r="E184" t="str">
            <v>Profit of Sale on Fixed Assets</v>
          </cell>
          <cell r="F184" t="str">
            <v>Special</v>
          </cell>
          <cell r="G184" t="str">
            <v>5041200</v>
          </cell>
          <cell r="H184">
            <v>0</v>
          </cell>
          <cell r="I184">
            <v>0</v>
          </cell>
          <cell r="J184">
            <v>0</v>
          </cell>
          <cell r="K184" t="str">
            <v>5</v>
          </cell>
          <cell r="L184">
            <v>0</v>
          </cell>
          <cell r="M184">
            <v>0</v>
          </cell>
          <cell r="N184">
            <v>-585213</v>
          </cell>
          <cell r="O184">
            <v>0</v>
          </cell>
          <cell r="P184">
            <v>-433660</v>
          </cell>
          <cell r="Q184">
            <v>-151553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</row>
        <row r="185">
          <cell r="A185">
            <v>39082</v>
          </cell>
          <cell r="B185" t="str">
            <v>Special</v>
          </cell>
          <cell r="C185">
            <v>0</v>
          </cell>
          <cell r="D185" t="str">
            <v>QAA</v>
          </cell>
          <cell r="E185" t="str">
            <v>Special Debits (Note 2.00)</v>
          </cell>
          <cell r="F185" t="str">
            <v>Total Charges</v>
          </cell>
          <cell r="G185" t="str">
            <v>7081100</v>
          </cell>
          <cell r="H185">
            <v>0</v>
          </cell>
          <cell r="I185">
            <v>0</v>
          </cell>
          <cell r="J185">
            <v>0</v>
          </cell>
          <cell r="K185" t="str">
            <v>7</v>
          </cell>
          <cell r="L185">
            <v>0</v>
          </cell>
          <cell r="M185">
            <v>0</v>
          </cell>
          <cell r="N185">
            <v>2208.34</v>
          </cell>
          <cell r="O185">
            <v>0</v>
          </cell>
          <cell r="P185">
            <v>2208.34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</row>
        <row r="186">
          <cell r="A186">
            <v>39082</v>
          </cell>
          <cell r="B186" t="str">
            <v>Special</v>
          </cell>
          <cell r="C186">
            <v>0</v>
          </cell>
          <cell r="D186" t="str">
            <v>QAA</v>
          </cell>
          <cell r="E186" t="str">
            <v>Special Debits (Note 2.00)</v>
          </cell>
          <cell r="F186" t="str">
            <v>Total Charges</v>
          </cell>
          <cell r="G186" t="str">
            <v>7084000</v>
          </cell>
          <cell r="H186">
            <v>0</v>
          </cell>
          <cell r="I186">
            <v>0</v>
          </cell>
          <cell r="J186">
            <v>0</v>
          </cell>
          <cell r="K186" t="str">
            <v>7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</row>
        <row r="187">
          <cell r="A187">
            <v>39082</v>
          </cell>
          <cell r="B187" t="str">
            <v>Special</v>
          </cell>
          <cell r="C187">
            <v>0</v>
          </cell>
          <cell r="D187" t="str">
            <v>QAB</v>
          </cell>
          <cell r="E187" t="str">
            <v>Profit &amp; Loss Debts</v>
          </cell>
          <cell r="F187" t="str">
            <v>Total Charges</v>
          </cell>
          <cell r="G187" t="str">
            <v>7082000</v>
          </cell>
          <cell r="H187">
            <v>0</v>
          </cell>
          <cell r="I187">
            <v>0</v>
          </cell>
          <cell r="J187">
            <v>0</v>
          </cell>
          <cell r="K187" t="str">
            <v>7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</row>
        <row r="188">
          <cell r="A188">
            <v>39082</v>
          </cell>
          <cell r="B188" t="str">
            <v>Staff Emoluments</v>
          </cell>
          <cell r="C188">
            <v>0</v>
          </cell>
          <cell r="D188" t="str">
            <v>KAC</v>
          </cell>
          <cell r="E188" t="str">
            <v>Salaries</v>
          </cell>
          <cell r="F188" t="str">
            <v>Total Charges</v>
          </cell>
          <cell r="G188" t="str">
            <v>7021100</v>
          </cell>
          <cell r="H188">
            <v>0</v>
          </cell>
          <cell r="I188">
            <v>0</v>
          </cell>
          <cell r="J188">
            <v>0</v>
          </cell>
          <cell r="K188" t="str">
            <v>7</v>
          </cell>
          <cell r="L188">
            <v>0</v>
          </cell>
          <cell r="M188">
            <v>0</v>
          </cell>
          <cell r="N188">
            <v>96496330.969999999</v>
          </cell>
          <cell r="O188">
            <v>37565544</v>
          </cell>
          <cell r="P188">
            <v>35556488.969999999</v>
          </cell>
          <cell r="Q188">
            <v>14021134</v>
          </cell>
          <cell r="R188">
            <v>0</v>
          </cell>
          <cell r="S188">
            <v>4422621</v>
          </cell>
          <cell r="T188">
            <v>0</v>
          </cell>
          <cell r="U188">
            <v>767566</v>
          </cell>
        </row>
        <row r="189">
          <cell r="A189">
            <v>39082</v>
          </cell>
          <cell r="B189" t="str">
            <v>Staff Emoluments</v>
          </cell>
          <cell r="C189">
            <v>0</v>
          </cell>
          <cell r="D189" t="str">
            <v>KAC</v>
          </cell>
          <cell r="E189" t="str">
            <v>Salaries</v>
          </cell>
          <cell r="F189" t="str">
            <v>Total Charges</v>
          </cell>
          <cell r="G189" t="str">
            <v>7021105</v>
          </cell>
          <cell r="H189">
            <v>0</v>
          </cell>
          <cell r="I189">
            <v>0</v>
          </cell>
          <cell r="J189">
            <v>0</v>
          </cell>
          <cell r="K189" t="str">
            <v>7</v>
          </cell>
          <cell r="L189">
            <v>0</v>
          </cell>
          <cell r="M189">
            <v>0</v>
          </cell>
          <cell r="N189">
            <v>4428450</v>
          </cell>
          <cell r="O189">
            <v>4428450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</row>
        <row r="190">
          <cell r="A190">
            <v>39082</v>
          </cell>
          <cell r="B190" t="str">
            <v>Staff Emoluments</v>
          </cell>
          <cell r="C190">
            <v>0</v>
          </cell>
          <cell r="D190" t="str">
            <v>KAD</v>
          </cell>
          <cell r="E190" t="str">
            <v>Banks Contribution - E.P.F.</v>
          </cell>
          <cell r="F190" t="str">
            <v>Total Charges</v>
          </cell>
          <cell r="G190" t="str">
            <v>7021150</v>
          </cell>
          <cell r="H190">
            <v>0</v>
          </cell>
          <cell r="I190">
            <v>0</v>
          </cell>
          <cell r="J190">
            <v>0</v>
          </cell>
          <cell r="K190" t="str">
            <v>7</v>
          </cell>
          <cell r="L190">
            <v>0</v>
          </cell>
          <cell r="M190">
            <v>0</v>
          </cell>
          <cell r="N190">
            <v>3227662.64</v>
          </cell>
          <cell r="O190">
            <v>1457834</v>
          </cell>
          <cell r="P190">
            <v>852720.04</v>
          </cell>
          <cell r="Q190">
            <v>618662.69999999995</v>
          </cell>
          <cell r="R190">
            <v>0</v>
          </cell>
          <cell r="S190">
            <v>190963.9</v>
          </cell>
          <cell r="T190">
            <v>0</v>
          </cell>
          <cell r="U190">
            <v>19442</v>
          </cell>
        </row>
        <row r="191">
          <cell r="A191">
            <v>39082</v>
          </cell>
          <cell r="B191" t="str">
            <v>Staff Emoluments</v>
          </cell>
          <cell r="C191">
            <v>0</v>
          </cell>
          <cell r="D191" t="str">
            <v>KAF</v>
          </cell>
          <cell r="E191" t="str">
            <v>Bonus</v>
          </cell>
          <cell r="F191" t="str">
            <v>Total Charges</v>
          </cell>
          <cell r="G191" t="str">
            <v>7021110</v>
          </cell>
          <cell r="H191">
            <v>0</v>
          </cell>
          <cell r="I191">
            <v>0</v>
          </cell>
          <cell r="J191">
            <v>0</v>
          </cell>
          <cell r="K191" t="str">
            <v>7</v>
          </cell>
          <cell r="L191">
            <v>0</v>
          </cell>
          <cell r="M191">
            <v>0</v>
          </cell>
          <cell r="N191">
            <v>6848845.0099999998</v>
          </cell>
          <cell r="O191">
            <v>2601845</v>
          </cell>
          <cell r="P191">
            <v>2586756</v>
          </cell>
          <cell r="Q191">
            <v>1036918.01</v>
          </cell>
          <cell r="R191">
            <v>0</v>
          </cell>
          <cell r="S191">
            <v>304179</v>
          </cell>
          <cell r="T191">
            <v>0</v>
          </cell>
          <cell r="U191">
            <v>47947</v>
          </cell>
        </row>
        <row r="192">
          <cell r="A192">
            <v>39082</v>
          </cell>
          <cell r="B192" t="str">
            <v>Staff Emoluments</v>
          </cell>
          <cell r="C192">
            <v>0</v>
          </cell>
          <cell r="D192" t="str">
            <v>KAF</v>
          </cell>
          <cell r="E192" t="str">
            <v>Bonus</v>
          </cell>
          <cell r="F192" t="str">
            <v>Total Charges</v>
          </cell>
          <cell r="G192" t="str">
            <v>7021112</v>
          </cell>
          <cell r="H192">
            <v>0</v>
          </cell>
          <cell r="I192">
            <v>0</v>
          </cell>
          <cell r="J192">
            <v>0</v>
          </cell>
          <cell r="K192" t="str">
            <v>7</v>
          </cell>
          <cell r="L192">
            <v>0</v>
          </cell>
          <cell r="M192">
            <v>0</v>
          </cell>
          <cell r="N192">
            <v>787406</v>
          </cell>
          <cell r="O192">
            <v>787406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</row>
        <row r="193">
          <cell r="A193">
            <v>39082</v>
          </cell>
          <cell r="B193" t="str">
            <v>Staff Emoluments</v>
          </cell>
          <cell r="C193">
            <v>0</v>
          </cell>
          <cell r="D193" t="str">
            <v>KAH</v>
          </cell>
          <cell r="E193" t="str">
            <v>Performance Bonus</v>
          </cell>
          <cell r="F193" t="str">
            <v>Total Charges</v>
          </cell>
          <cell r="G193" t="str">
            <v>7021115</v>
          </cell>
          <cell r="H193">
            <v>0</v>
          </cell>
          <cell r="I193">
            <v>0</v>
          </cell>
          <cell r="J193">
            <v>0</v>
          </cell>
          <cell r="K193" t="str">
            <v>7</v>
          </cell>
          <cell r="L193">
            <v>0</v>
          </cell>
          <cell r="M193">
            <v>0</v>
          </cell>
          <cell r="N193">
            <v>18921380.599999998</v>
          </cell>
          <cell r="O193">
            <v>7382983.2999999998</v>
          </cell>
          <cell r="P193">
            <v>8174017.2199999997</v>
          </cell>
          <cell r="Q193">
            <v>1955558.81</v>
          </cell>
          <cell r="R193">
            <v>0</v>
          </cell>
          <cell r="S193">
            <v>624256.31999999995</v>
          </cell>
          <cell r="T193">
            <v>0</v>
          </cell>
          <cell r="U193">
            <v>144136.45000000001</v>
          </cell>
        </row>
        <row r="194">
          <cell r="A194">
            <v>39082</v>
          </cell>
          <cell r="B194" t="str">
            <v>Staff Emoluments</v>
          </cell>
          <cell r="C194">
            <v>0</v>
          </cell>
          <cell r="D194" t="str">
            <v>KAI</v>
          </cell>
          <cell r="E194" t="str">
            <v>Overtime Payments</v>
          </cell>
          <cell r="F194" t="str">
            <v>Total Charges</v>
          </cell>
          <cell r="G194" t="str">
            <v>7021130</v>
          </cell>
          <cell r="H194">
            <v>0</v>
          </cell>
          <cell r="I194">
            <v>0</v>
          </cell>
          <cell r="J194">
            <v>0</v>
          </cell>
          <cell r="K194" t="str">
            <v>7</v>
          </cell>
          <cell r="L194">
            <v>0</v>
          </cell>
          <cell r="M194">
            <v>0</v>
          </cell>
          <cell r="N194">
            <v>537072</v>
          </cell>
          <cell r="O194">
            <v>339196</v>
          </cell>
          <cell r="P194">
            <v>192365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</row>
        <row r="195">
          <cell r="A195">
            <v>39082</v>
          </cell>
          <cell r="B195" t="str">
            <v>Staff Emoluments</v>
          </cell>
          <cell r="C195">
            <v>0</v>
          </cell>
          <cell r="D195" t="str">
            <v>KAK</v>
          </cell>
          <cell r="E195" t="str">
            <v>Gratuity</v>
          </cell>
          <cell r="F195" t="str">
            <v>Total Charges</v>
          </cell>
          <cell r="G195" t="str">
            <v>7021180</v>
          </cell>
          <cell r="H195">
            <v>0</v>
          </cell>
          <cell r="I195">
            <v>0</v>
          </cell>
          <cell r="J195">
            <v>0</v>
          </cell>
          <cell r="K195" t="str">
            <v>7</v>
          </cell>
          <cell r="L195">
            <v>0</v>
          </cell>
          <cell r="M195">
            <v>0</v>
          </cell>
          <cell r="N195">
            <v>3367161.82</v>
          </cell>
          <cell r="O195">
            <v>3367161.82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</row>
        <row r="196">
          <cell r="A196">
            <v>39082</v>
          </cell>
          <cell r="B196" t="str">
            <v>Staff Emoluments</v>
          </cell>
          <cell r="C196">
            <v>0</v>
          </cell>
          <cell r="D196" t="str">
            <v>KAL</v>
          </cell>
          <cell r="E196" t="str">
            <v>Medical Expenses</v>
          </cell>
          <cell r="F196" t="str">
            <v>Total Charges</v>
          </cell>
          <cell r="G196" t="str">
            <v>7021160</v>
          </cell>
          <cell r="H196">
            <v>0</v>
          </cell>
          <cell r="I196">
            <v>0</v>
          </cell>
          <cell r="J196">
            <v>0</v>
          </cell>
          <cell r="K196" t="str">
            <v>7</v>
          </cell>
          <cell r="L196">
            <v>0</v>
          </cell>
          <cell r="M196">
            <v>0</v>
          </cell>
          <cell r="N196">
            <v>370876.83</v>
          </cell>
          <cell r="O196">
            <v>159132.94</v>
          </cell>
          <cell r="P196">
            <v>187367.89</v>
          </cell>
          <cell r="Q196">
            <v>4388</v>
          </cell>
          <cell r="R196">
            <v>0</v>
          </cell>
          <cell r="S196">
            <v>3494</v>
          </cell>
          <cell r="T196">
            <v>0</v>
          </cell>
          <cell r="U196">
            <v>0</v>
          </cell>
        </row>
        <row r="197">
          <cell r="A197">
            <v>39082</v>
          </cell>
          <cell r="B197" t="str">
            <v>Staff Emoluments</v>
          </cell>
          <cell r="C197">
            <v>0</v>
          </cell>
          <cell r="D197" t="str">
            <v>KAN</v>
          </cell>
          <cell r="E197" t="str">
            <v>Staff Welfare( School fees for H.O. Officials)</v>
          </cell>
          <cell r="F197" t="str">
            <v>Total Charges</v>
          </cell>
          <cell r="G197" t="str">
            <v>7021118</v>
          </cell>
          <cell r="H197">
            <v>0</v>
          </cell>
          <cell r="I197">
            <v>0</v>
          </cell>
          <cell r="J197">
            <v>0</v>
          </cell>
          <cell r="K197" t="str">
            <v>7</v>
          </cell>
          <cell r="L197">
            <v>0</v>
          </cell>
          <cell r="M197">
            <v>0</v>
          </cell>
          <cell r="N197">
            <v>3414597.31</v>
          </cell>
          <cell r="O197">
            <v>3414597.31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</row>
        <row r="198">
          <cell r="A198">
            <v>39082</v>
          </cell>
          <cell r="B198" t="str">
            <v>Staff Emoluments</v>
          </cell>
          <cell r="C198">
            <v>0</v>
          </cell>
          <cell r="D198" t="str">
            <v>KAO</v>
          </cell>
          <cell r="E198" t="str">
            <v>Staff Training &amp; Recruitment</v>
          </cell>
          <cell r="F198" t="str">
            <v>Total Charges</v>
          </cell>
          <cell r="G198" t="str">
            <v>7021205</v>
          </cell>
          <cell r="H198">
            <v>0</v>
          </cell>
          <cell r="I198">
            <v>0</v>
          </cell>
          <cell r="J198">
            <v>0</v>
          </cell>
          <cell r="K198" t="str">
            <v>7</v>
          </cell>
          <cell r="L198">
            <v>0</v>
          </cell>
          <cell r="M198">
            <v>0</v>
          </cell>
          <cell r="N198">
            <v>464820</v>
          </cell>
          <cell r="O198">
            <v>195397.29</v>
          </cell>
          <cell r="P198">
            <v>216332.71</v>
          </cell>
          <cell r="Q198">
            <v>26100</v>
          </cell>
          <cell r="R198">
            <v>0</v>
          </cell>
          <cell r="S198">
            <v>2700</v>
          </cell>
          <cell r="T198">
            <v>0</v>
          </cell>
          <cell r="U198">
            <v>0</v>
          </cell>
        </row>
        <row r="199">
          <cell r="A199">
            <v>39082</v>
          </cell>
          <cell r="B199" t="str">
            <v>Staff Emoluments</v>
          </cell>
          <cell r="C199">
            <v>0</v>
          </cell>
          <cell r="D199" t="str">
            <v>KAO</v>
          </cell>
          <cell r="E199" t="str">
            <v>Staff Training &amp; Recruitment</v>
          </cell>
          <cell r="F199" t="str">
            <v>Total Charges</v>
          </cell>
          <cell r="G199" t="str">
            <v>7062124</v>
          </cell>
          <cell r="H199">
            <v>0</v>
          </cell>
          <cell r="I199">
            <v>0</v>
          </cell>
          <cell r="J199">
            <v>0</v>
          </cell>
          <cell r="K199" t="str">
            <v>7</v>
          </cell>
          <cell r="L199">
            <v>0</v>
          </cell>
          <cell r="M199">
            <v>0</v>
          </cell>
          <cell r="N199">
            <v>1085111.68</v>
          </cell>
          <cell r="O199">
            <v>514968.25</v>
          </cell>
          <cell r="P199">
            <v>570143.43000000005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</row>
        <row r="200">
          <cell r="A200">
            <v>39082</v>
          </cell>
          <cell r="B200" t="str">
            <v>Staff Emoluments</v>
          </cell>
          <cell r="C200">
            <v>0</v>
          </cell>
          <cell r="D200" t="str">
            <v>KAR</v>
          </cell>
          <cell r="E200" t="str">
            <v>Other Social Expenses</v>
          </cell>
          <cell r="F200" t="str">
            <v>Total Charges</v>
          </cell>
          <cell r="G200" t="str">
            <v>7021116</v>
          </cell>
          <cell r="H200">
            <v>0</v>
          </cell>
          <cell r="I200">
            <v>0</v>
          </cell>
          <cell r="J200">
            <v>0</v>
          </cell>
          <cell r="K200" t="str">
            <v>7</v>
          </cell>
          <cell r="L200">
            <v>0</v>
          </cell>
          <cell r="M200">
            <v>0</v>
          </cell>
          <cell r="N200">
            <v>3864914.27</v>
          </cell>
          <cell r="O200">
            <v>1327637.2</v>
          </cell>
          <cell r="P200">
            <v>1485225.05</v>
          </cell>
          <cell r="Q200">
            <v>564798.89</v>
          </cell>
          <cell r="R200">
            <v>0</v>
          </cell>
          <cell r="S200">
            <v>105200.72</v>
          </cell>
          <cell r="T200">
            <v>0</v>
          </cell>
          <cell r="U200">
            <v>9128.41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"/>
      <sheetName val="SUM"/>
      <sheetName val="DBU"/>
      <sheetName val="DKA"/>
      <sheetName val="CTG"/>
      <sheetName val="DMD"/>
      <sheetName val="UTT"/>
      <sheetName val="SYL"/>
      <sheetName val="OBU"/>
      <sheetName val="BGD"/>
      <sheetName val="Summary"/>
      <sheetName val="BDT"/>
      <sheetName val="FC"/>
      <sheetName val="LOAN"/>
      <sheetName val="data"/>
      <sheetName val="Ld_Lcy"/>
      <sheetName val="Ld_Fcy"/>
      <sheetName val="Summary2005"/>
      <sheetName val="BDT2005"/>
      <sheetName val="FC2005"/>
      <sheetName val="LOAN2005"/>
      <sheetName val="Rpt_CM"/>
      <sheetName val="Consol C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1">
          <cell r="A1" t="str">
            <v>LM</v>
          </cell>
          <cell r="B1" t="str">
            <v>DES2</v>
          </cell>
          <cell r="C1" t="str">
            <v>LcyFcy</v>
          </cell>
          <cell r="D1" t="str">
            <v>CDE</v>
          </cell>
          <cell r="E1" t="str">
            <v>DES1</v>
          </cell>
          <cell r="F1" t="str">
            <v>DES3</v>
          </cell>
          <cell r="G1" t="str">
            <v>GMACT</v>
          </cell>
          <cell r="H1" t="str">
            <v>nm</v>
          </cell>
          <cell r="I1" t="str">
            <v>cur</v>
          </cell>
          <cell r="J1" t="str">
            <v>cur_ds</v>
          </cell>
          <cell r="K1" t="str">
            <v>AC</v>
          </cell>
          <cell r="L1" t="str">
            <v>ITM</v>
          </cell>
          <cell r="M1" t="str">
            <v>RPT</v>
          </cell>
          <cell r="N1" t="str">
            <v>BGD</v>
          </cell>
          <cell r="O1" t="str">
            <v>8801</v>
          </cell>
          <cell r="P1" t="str">
            <v>8802</v>
          </cell>
          <cell r="Q1" t="str">
            <v>8803</v>
          </cell>
          <cell r="R1" t="str">
            <v>8804</v>
          </cell>
          <cell r="S1" t="str">
            <v>8805</v>
          </cell>
          <cell r="T1" t="str">
            <v>8893</v>
          </cell>
          <cell r="U1" t="str">
            <v>8894</v>
          </cell>
        </row>
        <row r="2">
          <cell r="A2">
            <v>39082</v>
          </cell>
          <cell r="B2" t="str">
            <v>ASSETS</v>
          </cell>
          <cell r="C2">
            <v>0</v>
          </cell>
          <cell r="D2" t="str">
            <v>AAA</v>
          </cell>
          <cell r="E2" t="str">
            <v>Customer Overdraft</v>
          </cell>
          <cell r="F2" t="str">
            <v>CUSTOMER LOANS</v>
          </cell>
          <cell r="G2" t="str">
            <v>1311000</v>
          </cell>
          <cell r="H2">
            <v>0</v>
          </cell>
          <cell r="I2">
            <v>0</v>
          </cell>
          <cell r="J2">
            <v>0</v>
          </cell>
          <cell r="K2" t="str">
            <v>1</v>
          </cell>
          <cell r="L2" t="str">
            <v>A</v>
          </cell>
          <cell r="M2" t="str">
            <v>A</v>
          </cell>
          <cell r="N2">
            <v>1566330431.7799997</v>
          </cell>
          <cell r="O2">
            <v>0</v>
          </cell>
          <cell r="P2">
            <v>1177415520.8</v>
          </cell>
          <cell r="Q2">
            <v>311987074.81999999</v>
          </cell>
          <cell r="R2">
            <v>0</v>
          </cell>
          <cell r="S2">
            <v>18910090.600000001</v>
          </cell>
          <cell r="T2">
            <v>0</v>
          </cell>
          <cell r="U2">
            <v>0</v>
          </cell>
        </row>
        <row r="3">
          <cell r="A3">
            <v>39082</v>
          </cell>
          <cell r="B3" t="str">
            <v>ASSETS</v>
          </cell>
          <cell r="C3">
            <v>0</v>
          </cell>
          <cell r="D3" t="str">
            <v>AAA</v>
          </cell>
          <cell r="E3" t="str">
            <v>Customer Overdraft</v>
          </cell>
          <cell r="F3" t="str">
            <v>CUSTOMER LOANS</v>
          </cell>
          <cell r="G3" t="str">
            <v>1311005</v>
          </cell>
          <cell r="H3">
            <v>0</v>
          </cell>
          <cell r="I3">
            <v>0</v>
          </cell>
          <cell r="J3">
            <v>0</v>
          </cell>
          <cell r="K3" t="str">
            <v>1</v>
          </cell>
          <cell r="L3" t="str">
            <v>A</v>
          </cell>
          <cell r="M3" t="str">
            <v>A</v>
          </cell>
          <cell r="N3">
            <v>871259.79</v>
          </cell>
          <cell r="O3">
            <v>0</v>
          </cell>
          <cell r="P3">
            <v>871259.79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</row>
        <row r="4">
          <cell r="A4">
            <v>39082</v>
          </cell>
          <cell r="B4" t="str">
            <v>ASSETS</v>
          </cell>
          <cell r="C4">
            <v>0</v>
          </cell>
          <cell r="D4" t="str">
            <v>AAA</v>
          </cell>
          <cell r="E4" t="str">
            <v>Customer Overdraft</v>
          </cell>
          <cell r="F4" t="str">
            <v>CUSTOMER LOANS</v>
          </cell>
          <cell r="G4" t="str">
            <v>1312000</v>
          </cell>
          <cell r="H4">
            <v>0</v>
          </cell>
          <cell r="I4">
            <v>0</v>
          </cell>
          <cell r="J4">
            <v>0</v>
          </cell>
          <cell r="K4" t="str">
            <v>1</v>
          </cell>
          <cell r="L4" t="str">
            <v>A</v>
          </cell>
          <cell r="M4" t="str">
            <v>A</v>
          </cell>
          <cell r="N4">
            <v>143813611.08999997</v>
          </cell>
          <cell r="O4">
            <v>0</v>
          </cell>
          <cell r="P4">
            <v>75125637.280000001</v>
          </cell>
          <cell r="Q4">
            <v>54150078.32</v>
          </cell>
          <cell r="R4">
            <v>0</v>
          </cell>
          <cell r="S4">
            <v>9754380.6899999995</v>
          </cell>
          <cell r="T4">
            <v>0</v>
          </cell>
          <cell r="U4">
            <v>0</v>
          </cell>
        </row>
        <row r="5">
          <cell r="A5">
            <v>39082</v>
          </cell>
          <cell r="B5" t="str">
            <v>ASSETS</v>
          </cell>
          <cell r="C5">
            <v>0</v>
          </cell>
          <cell r="D5" t="str">
            <v>AAA</v>
          </cell>
          <cell r="E5" t="str">
            <v>Customer Overdraft</v>
          </cell>
          <cell r="F5" t="str">
            <v>CUSTOMER LOANS</v>
          </cell>
          <cell r="G5" t="str">
            <v>1312005</v>
          </cell>
          <cell r="H5">
            <v>0</v>
          </cell>
          <cell r="I5">
            <v>0</v>
          </cell>
          <cell r="J5">
            <v>0</v>
          </cell>
          <cell r="K5" t="str">
            <v>1</v>
          </cell>
          <cell r="L5" t="str">
            <v>A</v>
          </cell>
          <cell r="M5" t="str">
            <v>A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</row>
        <row r="6">
          <cell r="A6">
            <v>39082</v>
          </cell>
          <cell r="B6" t="str">
            <v>ASSETS</v>
          </cell>
          <cell r="C6">
            <v>0</v>
          </cell>
          <cell r="D6" t="str">
            <v>AAB</v>
          </cell>
          <cell r="E6" t="str">
            <v>Term Loan</v>
          </cell>
          <cell r="F6" t="str">
            <v>CUSTOMER LOANS</v>
          </cell>
          <cell r="G6" t="str">
            <v>1320315</v>
          </cell>
          <cell r="H6">
            <v>0</v>
          </cell>
          <cell r="I6">
            <v>0</v>
          </cell>
          <cell r="J6">
            <v>0</v>
          </cell>
          <cell r="K6" t="str">
            <v>1</v>
          </cell>
          <cell r="L6" t="str">
            <v>A</v>
          </cell>
          <cell r="M6" t="str">
            <v>A</v>
          </cell>
          <cell r="N6">
            <v>12074892.16</v>
          </cell>
          <cell r="O6">
            <v>0</v>
          </cell>
          <cell r="P6">
            <v>0</v>
          </cell>
          <cell r="Q6">
            <v>5510902.04</v>
          </cell>
          <cell r="R6">
            <v>0</v>
          </cell>
          <cell r="S6">
            <v>5015603.03</v>
          </cell>
          <cell r="T6">
            <v>0</v>
          </cell>
          <cell r="U6">
            <v>0</v>
          </cell>
        </row>
        <row r="7">
          <cell r="A7">
            <v>39082</v>
          </cell>
          <cell r="B7" t="str">
            <v>ASSETS</v>
          </cell>
          <cell r="C7">
            <v>0</v>
          </cell>
          <cell r="D7" t="str">
            <v>AAB</v>
          </cell>
          <cell r="E7" t="str">
            <v>Term Loan</v>
          </cell>
          <cell r="F7" t="str">
            <v>CUSTOMER LOANS</v>
          </cell>
          <cell r="G7" t="str">
            <v>1320500</v>
          </cell>
          <cell r="H7">
            <v>0</v>
          </cell>
          <cell r="I7">
            <v>0</v>
          </cell>
          <cell r="J7">
            <v>0</v>
          </cell>
          <cell r="K7" t="str">
            <v>1</v>
          </cell>
          <cell r="L7" t="str">
            <v>A</v>
          </cell>
          <cell r="M7" t="str">
            <v>A</v>
          </cell>
          <cell r="N7">
            <v>1481621.26</v>
          </cell>
          <cell r="O7">
            <v>0</v>
          </cell>
          <cell r="P7">
            <v>1481621.26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</row>
        <row r="8">
          <cell r="A8">
            <v>39082</v>
          </cell>
          <cell r="B8" t="str">
            <v>ASSETS</v>
          </cell>
          <cell r="C8">
            <v>0</v>
          </cell>
          <cell r="D8" t="str">
            <v>AAB</v>
          </cell>
          <cell r="E8" t="str">
            <v>Term Loan</v>
          </cell>
          <cell r="F8" t="str">
            <v>CUSTOMER LOANS</v>
          </cell>
          <cell r="G8" t="str">
            <v>1320900</v>
          </cell>
          <cell r="H8">
            <v>0</v>
          </cell>
          <cell r="I8">
            <v>0</v>
          </cell>
          <cell r="J8">
            <v>0</v>
          </cell>
          <cell r="K8" t="str">
            <v>1</v>
          </cell>
          <cell r="L8" t="str">
            <v>A</v>
          </cell>
          <cell r="M8" t="str">
            <v>A</v>
          </cell>
          <cell r="N8">
            <v>1499106311.6699998</v>
          </cell>
          <cell r="O8">
            <v>0</v>
          </cell>
          <cell r="P8">
            <v>1209420914.8699999</v>
          </cell>
          <cell r="Q8">
            <v>172490988.27000001</v>
          </cell>
          <cell r="R8">
            <v>0</v>
          </cell>
          <cell r="S8">
            <v>109225797.69</v>
          </cell>
          <cell r="T8">
            <v>0</v>
          </cell>
          <cell r="U8">
            <v>0</v>
          </cell>
        </row>
        <row r="9">
          <cell r="A9">
            <v>39082</v>
          </cell>
          <cell r="B9" t="str">
            <v>ASSETS</v>
          </cell>
          <cell r="C9">
            <v>0</v>
          </cell>
          <cell r="D9" t="str">
            <v>AAB</v>
          </cell>
          <cell r="E9" t="str">
            <v>Term Loan</v>
          </cell>
          <cell r="F9" t="str">
            <v>CUSTOMER LOANS</v>
          </cell>
          <cell r="G9" t="str">
            <v>1320910</v>
          </cell>
          <cell r="H9">
            <v>0</v>
          </cell>
          <cell r="I9">
            <v>0</v>
          </cell>
          <cell r="J9">
            <v>0</v>
          </cell>
          <cell r="K9" t="str">
            <v>1</v>
          </cell>
          <cell r="L9" t="str">
            <v>A</v>
          </cell>
          <cell r="M9" t="str">
            <v>A</v>
          </cell>
          <cell r="N9">
            <v>15219993.91</v>
          </cell>
          <cell r="O9">
            <v>0</v>
          </cell>
          <cell r="P9">
            <v>0</v>
          </cell>
          <cell r="Q9">
            <v>156821.66</v>
          </cell>
          <cell r="R9">
            <v>0</v>
          </cell>
          <cell r="S9">
            <v>13812009.029999999</v>
          </cell>
          <cell r="T9">
            <v>0</v>
          </cell>
          <cell r="U9">
            <v>0</v>
          </cell>
        </row>
        <row r="10">
          <cell r="A10">
            <v>39082</v>
          </cell>
          <cell r="B10" t="str">
            <v>ASSETS</v>
          </cell>
          <cell r="C10">
            <v>0</v>
          </cell>
          <cell r="D10" t="str">
            <v>AAB</v>
          </cell>
          <cell r="E10" t="str">
            <v>Term Loan</v>
          </cell>
          <cell r="F10" t="str">
            <v>CUSTOMER LOANS</v>
          </cell>
          <cell r="G10" t="str">
            <v>1320925</v>
          </cell>
          <cell r="H10">
            <v>0</v>
          </cell>
          <cell r="I10">
            <v>0</v>
          </cell>
          <cell r="J10">
            <v>0</v>
          </cell>
          <cell r="K10" t="str">
            <v>1</v>
          </cell>
          <cell r="L10" t="str">
            <v>A</v>
          </cell>
          <cell r="M10" t="str">
            <v>A</v>
          </cell>
          <cell r="N10">
            <v>1393870295.55</v>
          </cell>
          <cell r="O10">
            <v>0</v>
          </cell>
          <cell r="P10">
            <v>1170281015.75</v>
          </cell>
          <cell r="Q10">
            <v>213589279.80000001</v>
          </cell>
          <cell r="R10">
            <v>0</v>
          </cell>
          <cell r="S10">
            <v>10000000</v>
          </cell>
          <cell r="T10">
            <v>0</v>
          </cell>
          <cell r="U10">
            <v>0</v>
          </cell>
        </row>
        <row r="11">
          <cell r="A11">
            <v>39082</v>
          </cell>
          <cell r="B11" t="str">
            <v>ASSETS</v>
          </cell>
          <cell r="C11">
            <v>0</v>
          </cell>
          <cell r="D11" t="str">
            <v>AAB</v>
          </cell>
          <cell r="E11" t="str">
            <v>Term Loan</v>
          </cell>
          <cell r="F11" t="str">
            <v>CUSTOMER LOANS</v>
          </cell>
          <cell r="G11" t="str">
            <v>1320940</v>
          </cell>
          <cell r="H11">
            <v>0</v>
          </cell>
          <cell r="I11">
            <v>0</v>
          </cell>
          <cell r="J11">
            <v>0</v>
          </cell>
          <cell r="K11" t="str">
            <v>1</v>
          </cell>
          <cell r="L11" t="str">
            <v>A</v>
          </cell>
          <cell r="M11" t="str">
            <v>A</v>
          </cell>
          <cell r="N11">
            <v>106451612.90000001</v>
          </cell>
          <cell r="O11">
            <v>0</v>
          </cell>
          <cell r="P11">
            <v>106451612.90000001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</row>
        <row r="12">
          <cell r="A12">
            <v>39082</v>
          </cell>
          <cell r="B12" t="str">
            <v>ASSETS</v>
          </cell>
          <cell r="C12">
            <v>0</v>
          </cell>
          <cell r="D12" t="str">
            <v>AAB</v>
          </cell>
          <cell r="E12" t="str">
            <v>Term Loan</v>
          </cell>
          <cell r="F12" t="str">
            <v>CUSTOMER LOANS</v>
          </cell>
          <cell r="G12" t="str">
            <v>1321215</v>
          </cell>
          <cell r="H12">
            <v>0</v>
          </cell>
          <cell r="I12">
            <v>0</v>
          </cell>
          <cell r="J12">
            <v>0</v>
          </cell>
          <cell r="K12" t="str">
            <v>1</v>
          </cell>
          <cell r="L12" t="str">
            <v>A</v>
          </cell>
          <cell r="M12" t="str">
            <v>A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</row>
        <row r="13">
          <cell r="A13">
            <v>39082</v>
          </cell>
          <cell r="B13" t="str">
            <v>ASSETS</v>
          </cell>
          <cell r="C13">
            <v>0</v>
          </cell>
          <cell r="D13" t="str">
            <v>AAB</v>
          </cell>
          <cell r="E13" t="str">
            <v>Term Loan</v>
          </cell>
          <cell r="F13" t="str">
            <v>CUSTOMER LOANS</v>
          </cell>
          <cell r="G13" t="str">
            <v>1321225</v>
          </cell>
          <cell r="H13">
            <v>0</v>
          </cell>
          <cell r="I13">
            <v>0</v>
          </cell>
          <cell r="J13">
            <v>0</v>
          </cell>
          <cell r="K13" t="str">
            <v>1</v>
          </cell>
          <cell r="L13" t="str">
            <v>A</v>
          </cell>
          <cell r="M13" t="str">
            <v>A</v>
          </cell>
          <cell r="N13">
            <v>26007086.199999999</v>
          </cell>
          <cell r="O13">
            <v>0</v>
          </cell>
          <cell r="P13">
            <v>26007086.199999999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</row>
        <row r="14">
          <cell r="A14">
            <v>39082</v>
          </cell>
          <cell r="B14" t="str">
            <v>ASSETS</v>
          </cell>
          <cell r="C14">
            <v>0</v>
          </cell>
          <cell r="D14" t="str">
            <v>AAB</v>
          </cell>
          <cell r="E14" t="str">
            <v>Term Loan</v>
          </cell>
          <cell r="F14" t="str">
            <v>CUSTOMER LOANS</v>
          </cell>
          <cell r="G14" t="str">
            <v>1321230</v>
          </cell>
          <cell r="H14">
            <v>0</v>
          </cell>
          <cell r="I14">
            <v>0</v>
          </cell>
          <cell r="J14">
            <v>0</v>
          </cell>
          <cell r="K14" t="str">
            <v>1</v>
          </cell>
          <cell r="L14" t="str">
            <v>A</v>
          </cell>
          <cell r="M14" t="str">
            <v>A</v>
          </cell>
          <cell r="N14">
            <v>12645510.289999999</v>
          </cell>
          <cell r="O14">
            <v>0</v>
          </cell>
          <cell r="P14">
            <v>12645510.289999999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</row>
        <row r="15">
          <cell r="A15">
            <v>39082</v>
          </cell>
          <cell r="B15" t="str">
            <v>ASSETS</v>
          </cell>
          <cell r="C15">
            <v>0</v>
          </cell>
          <cell r="D15" t="str">
            <v>AAB</v>
          </cell>
          <cell r="E15" t="str">
            <v>Term Loan</v>
          </cell>
          <cell r="F15" t="str">
            <v>CUSTOMER LOANS</v>
          </cell>
          <cell r="G15" t="str">
            <v>1321240</v>
          </cell>
          <cell r="H15">
            <v>0</v>
          </cell>
          <cell r="I15">
            <v>0</v>
          </cell>
          <cell r="J15">
            <v>0</v>
          </cell>
          <cell r="K15" t="str">
            <v>1</v>
          </cell>
          <cell r="L15" t="str">
            <v>A</v>
          </cell>
          <cell r="M15" t="str">
            <v>A</v>
          </cell>
          <cell r="N15">
            <v>3298184.89</v>
          </cell>
          <cell r="O15">
            <v>0</v>
          </cell>
          <cell r="P15">
            <v>3298184.89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</row>
        <row r="16">
          <cell r="A16">
            <v>39082</v>
          </cell>
          <cell r="B16" t="str">
            <v>ASSETS</v>
          </cell>
          <cell r="C16">
            <v>0</v>
          </cell>
          <cell r="D16" t="str">
            <v>AAC</v>
          </cell>
          <cell r="E16" t="str">
            <v>Packing Credits</v>
          </cell>
          <cell r="F16" t="str">
            <v>CUSTOMER LOANS</v>
          </cell>
          <cell r="G16" t="str">
            <v>1320400</v>
          </cell>
          <cell r="H16">
            <v>0</v>
          </cell>
          <cell r="I16">
            <v>0</v>
          </cell>
          <cell r="J16">
            <v>0</v>
          </cell>
          <cell r="K16" t="str">
            <v>1</v>
          </cell>
          <cell r="L16" t="str">
            <v>A</v>
          </cell>
          <cell r="M16" t="str">
            <v>A</v>
          </cell>
          <cell r="N16">
            <v>120790322.58</v>
          </cell>
          <cell r="O16">
            <v>0</v>
          </cell>
          <cell r="P16">
            <v>0</v>
          </cell>
          <cell r="Q16">
            <v>120790322.58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</row>
        <row r="17">
          <cell r="A17">
            <v>39082</v>
          </cell>
          <cell r="B17" t="str">
            <v>ASSETS</v>
          </cell>
          <cell r="C17">
            <v>0</v>
          </cell>
          <cell r="D17" t="str">
            <v>AAD</v>
          </cell>
          <cell r="E17" t="str">
            <v>Trust Receipts</v>
          </cell>
          <cell r="F17" t="str">
            <v>CUSTOMER LOANS</v>
          </cell>
          <cell r="G17" t="str">
            <v>1320100</v>
          </cell>
          <cell r="H17">
            <v>0</v>
          </cell>
          <cell r="I17">
            <v>0</v>
          </cell>
          <cell r="J17">
            <v>0</v>
          </cell>
          <cell r="K17" t="str">
            <v>1</v>
          </cell>
          <cell r="L17" t="str">
            <v>A</v>
          </cell>
          <cell r="M17" t="str">
            <v>A</v>
          </cell>
          <cell r="N17">
            <v>1206760964.8099999</v>
          </cell>
          <cell r="O17">
            <v>0</v>
          </cell>
          <cell r="P17">
            <v>831378629.02999997</v>
          </cell>
          <cell r="Q17">
            <v>375382335.77999997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</row>
        <row r="18">
          <cell r="A18">
            <v>39082</v>
          </cell>
          <cell r="B18" t="str">
            <v>ASSETS</v>
          </cell>
          <cell r="C18">
            <v>0</v>
          </cell>
          <cell r="D18" t="str">
            <v>AAE</v>
          </cell>
          <cell r="E18" t="str">
            <v>Import Loans</v>
          </cell>
          <cell r="F18" t="str">
            <v>CUSTOMER LOANS</v>
          </cell>
          <cell r="G18" t="str">
            <v>1320000</v>
          </cell>
          <cell r="H18">
            <v>0</v>
          </cell>
          <cell r="I18">
            <v>0</v>
          </cell>
          <cell r="J18">
            <v>0</v>
          </cell>
          <cell r="K18" t="str">
            <v>1</v>
          </cell>
          <cell r="L18" t="str">
            <v>A</v>
          </cell>
          <cell r="M18" t="str">
            <v>A</v>
          </cell>
          <cell r="N18">
            <v>44032259.770000003</v>
          </cell>
          <cell r="O18">
            <v>0</v>
          </cell>
          <cell r="P18">
            <v>39856806.450000003</v>
          </cell>
          <cell r="Q18">
            <v>4175453.32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</row>
        <row r="19">
          <cell r="A19">
            <v>39082</v>
          </cell>
          <cell r="B19" t="str">
            <v>ASSETS</v>
          </cell>
          <cell r="C19">
            <v>0</v>
          </cell>
          <cell r="D19" t="str">
            <v>AAF</v>
          </cell>
          <cell r="E19" t="str">
            <v>FB-PUR Discount</v>
          </cell>
          <cell r="F19" t="str">
            <v>CUSTOMER LOANS</v>
          </cell>
          <cell r="G19" t="str">
            <v>1040000</v>
          </cell>
          <cell r="H19">
            <v>0</v>
          </cell>
          <cell r="I19">
            <v>0</v>
          </cell>
          <cell r="J19">
            <v>0</v>
          </cell>
          <cell r="K19" t="str">
            <v>1</v>
          </cell>
          <cell r="L19" t="str">
            <v>A</v>
          </cell>
          <cell r="M19" t="str">
            <v>A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</row>
        <row r="20">
          <cell r="A20">
            <v>39082</v>
          </cell>
          <cell r="B20" t="str">
            <v>ASSETS</v>
          </cell>
          <cell r="C20">
            <v>0</v>
          </cell>
          <cell r="D20" t="str">
            <v>AAF</v>
          </cell>
          <cell r="E20" t="str">
            <v>FB-PUR Discount</v>
          </cell>
          <cell r="F20" t="str">
            <v>CUSTOMER LOANS</v>
          </cell>
          <cell r="G20" t="str">
            <v>1341000</v>
          </cell>
          <cell r="H20">
            <v>0</v>
          </cell>
          <cell r="I20">
            <v>0</v>
          </cell>
          <cell r="J20">
            <v>0</v>
          </cell>
          <cell r="K20" t="str">
            <v>1</v>
          </cell>
          <cell r="L20" t="str">
            <v>A</v>
          </cell>
          <cell r="M20" t="str">
            <v>A</v>
          </cell>
          <cell r="N20">
            <v>12584960.02</v>
          </cell>
          <cell r="O20">
            <v>0</v>
          </cell>
          <cell r="P20">
            <v>12584960.02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</row>
        <row r="21">
          <cell r="A21">
            <v>39082</v>
          </cell>
          <cell r="B21" t="str">
            <v>ASSETS</v>
          </cell>
          <cell r="C21">
            <v>0</v>
          </cell>
          <cell r="D21" t="str">
            <v>BAA</v>
          </cell>
          <cell r="E21" t="str">
            <v>Doubtful Debts</v>
          </cell>
          <cell r="F21" t="str">
            <v>Doubtful Debts</v>
          </cell>
          <cell r="G21" t="str">
            <v>1352120</v>
          </cell>
          <cell r="H21">
            <v>0</v>
          </cell>
          <cell r="I21">
            <v>0</v>
          </cell>
          <cell r="J21">
            <v>0</v>
          </cell>
          <cell r="K21" t="str">
            <v>1</v>
          </cell>
          <cell r="L21" t="str">
            <v>A</v>
          </cell>
          <cell r="M21" t="str">
            <v>B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</row>
        <row r="22">
          <cell r="A22">
            <v>39082</v>
          </cell>
          <cell r="B22" t="str">
            <v>ASSETS</v>
          </cell>
          <cell r="C22">
            <v>0</v>
          </cell>
          <cell r="D22" t="str">
            <v>BAA</v>
          </cell>
          <cell r="E22" t="str">
            <v>Doubtful Debts</v>
          </cell>
          <cell r="F22" t="str">
            <v>Doubtful Debts</v>
          </cell>
          <cell r="G22" t="str">
            <v>1353905</v>
          </cell>
          <cell r="H22">
            <v>0</v>
          </cell>
          <cell r="I22">
            <v>0</v>
          </cell>
          <cell r="J22">
            <v>0</v>
          </cell>
          <cell r="K22" t="str">
            <v>1</v>
          </cell>
          <cell r="L22" t="str">
            <v>A</v>
          </cell>
          <cell r="M22" t="str">
            <v>B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</row>
        <row r="23">
          <cell r="A23">
            <v>39082</v>
          </cell>
          <cell r="B23" t="str">
            <v>Borrowings</v>
          </cell>
          <cell r="C23">
            <v>0</v>
          </cell>
          <cell r="D23" t="str">
            <v>DAB</v>
          </cell>
          <cell r="E23" t="str">
            <v>Deposits at Call (inter bank borrowing)</v>
          </cell>
          <cell r="F23" t="str">
            <v>Total Interest Paid</v>
          </cell>
          <cell r="G23" t="str">
            <v>7012100</v>
          </cell>
          <cell r="H23">
            <v>0</v>
          </cell>
          <cell r="I23">
            <v>0</v>
          </cell>
          <cell r="J23">
            <v>0</v>
          </cell>
          <cell r="K23" t="str">
            <v>7</v>
          </cell>
          <cell r="L23">
            <v>0</v>
          </cell>
          <cell r="M23">
            <v>0</v>
          </cell>
          <cell r="N23">
            <v>16106635.369999999</v>
          </cell>
          <cell r="O23">
            <v>0</v>
          </cell>
          <cell r="P23">
            <v>16106635.369999999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</row>
        <row r="24">
          <cell r="A24">
            <v>39082</v>
          </cell>
          <cell r="B24" t="str">
            <v>Borrowings</v>
          </cell>
          <cell r="C24">
            <v>0</v>
          </cell>
          <cell r="D24" t="str">
            <v>DAB</v>
          </cell>
          <cell r="E24" t="str">
            <v>Deposits at Call (inter bank borrowing)</v>
          </cell>
          <cell r="F24" t="str">
            <v>Total Interest Paid</v>
          </cell>
          <cell r="G24" t="str">
            <v>7612115</v>
          </cell>
          <cell r="H24">
            <v>0</v>
          </cell>
          <cell r="I24">
            <v>0</v>
          </cell>
          <cell r="J24">
            <v>0</v>
          </cell>
          <cell r="K24" t="str">
            <v>7</v>
          </cell>
          <cell r="L24">
            <v>0</v>
          </cell>
          <cell r="M24">
            <v>0</v>
          </cell>
          <cell r="N24">
            <v>12698423.16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12698423.16</v>
          </cell>
        </row>
        <row r="25">
          <cell r="A25">
            <v>39082</v>
          </cell>
          <cell r="B25" t="str">
            <v>Borrowings</v>
          </cell>
          <cell r="C25">
            <v>0</v>
          </cell>
          <cell r="D25" t="str">
            <v>DAF</v>
          </cell>
          <cell r="E25" t="str">
            <v>Agents</v>
          </cell>
          <cell r="F25" t="str">
            <v>Total Interest Paid</v>
          </cell>
          <cell r="G25" t="str">
            <v>7012200</v>
          </cell>
          <cell r="H25">
            <v>0</v>
          </cell>
          <cell r="I25">
            <v>0</v>
          </cell>
          <cell r="J25">
            <v>0</v>
          </cell>
          <cell r="K25" t="str">
            <v>7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</row>
        <row r="26">
          <cell r="A26">
            <v>39082</v>
          </cell>
          <cell r="B26" t="str">
            <v>Borrowings</v>
          </cell>
          <cell r="C26">
            <v>0</v>
          </cell>
          <cell r="D26" t="str">
            <v>DAG</v>
          </cell>
          <cell r="E26" t="str">
            <v>Interest Paid Treasury Bills (Repo)</v>
          </cell>
          <cell r="F26" t="str">
            <v>Total Interest Paid</v>
          </cell>
          <cell r="G26" t="str">
            <v>7011245</v>
          </cell>
          <cell r="H26">
            <v>0</v>
          </cell>
          <cell r="I26">
            <v>0</v>
          </cell>
          <cell r="J26">
            <v>0</v>
          </cell>
          <cell r="K26" t="str">
            <v>7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</row>
        <row r="27">
          <cell r="A27">
            <v>39082</v>
          </cell>
          <cell r="B27" t="str">
            <v>Commission Income</v>
          </cell>
          <cell r="C27">
            <v>0</v>
          </cell>
          <cell r="D27" t="str">
            <v>EAA</v>
          </cell>
          <cell r="E27" t="str">
            <v>Letters of Credit</v>
          </cell>
          <cell r="F27" t="str">
            <v>Commission Income</v>
          </cell>
          <cell r="G27" t="str">
            <v>5031000</v>
          </cell>
          <cell r="H27">
            <v>0</v>
          </cell>
          <cell r="I27">
            <v>0</v>
          </cell>
          <cell r="J27">
            <v>0</v>
          </cell>
          <cell r="K27" t="str">
            <v>5</v>
          </cell>
          <cell r="L27">
            <v>0</v>
          </cell>
          <cell r="M27">
            <v>0</v>
          </cell>
          <cell r="N27">
            <v>-36696165.100000001</v>
          </cell>
          <cell r="O27">
            <v>0</v>
          </cell>
          <cell r="P27">
            <v>-25084337.789999999</v>
          </cell>
          <cell r="Q27">
            <v>-11261570.539999999</v>
          </cell>
          <cell r="R27">
            <v>0</v>
          </cell>
          <cell r="S27">
            <v>-350256.77</v>
          </cell>
          <cell r="T27">
            <v>0</v>
          </cell>
          <cell r="U27">
            <v>0</v>
          </cell>
        </row>
        <row r="28">
          <cell r="A28">
            <v>39082</v>
          </cell>
          <cell r="B28" t="str">
            <v>Commission Income</v>
          </cell>
          <cell r="C28">
            <v>0</v>
          </cell>
          <cell r="D28" t="str">
            <v>EAA</v>
          </cell>
          <cell r="E28" t="str">
            <v>Letters of Credit</v>
          </cell>
          <cell r="F28" t="str">
            <v>Commission Income</v>
          </cell>
          <cell r="G28" t="str">
            <v>5031040</v>
          </cell>
          <cell r="H28">
            <v>0</v>
          </cell>
          <cell r="I28">
            <v>0</v>
          </cell>
          <cell r="J28">
            <v>0</v>
          </cell>
          <cell r="K28" t="str">
            <v>5</v>
          </cell>
          <cell r="L28">
            <v>0</v>
          </cell>
          <cell r="M28">
            <v>0</v>
          </cell>
          <cell r="N28">
            <v>-12696963.73</v>
          </cell>
          <cell r="O28">
            <v>0</v>
          </cell>
          <cell r="P28">
            <v>-7104078.4199999999</v>
          </cell>
          <cell r="Q28">
            <v>-5592885.3099999996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</row>
        <row r="29">
          <cell r="A29">
            <v>39082</v>
          </cell>
          <cell r="B29" t="str">
            <v>Commission Income</v>
          </cell>
          <cell r="C29">
            <v>0</v>
          </cell>
          <cell r="D29" t="str">
            <v>EAA</v>
          </cell>
          <cell r="E29" t="str">
            <v>Letters of Credit</v>
          </cell>
          <cell r="F29" t="str">
            <v>Commission Income</v>
          </cell>
          <cell r="G29" t="str">
            <v>5041520</v>
          </cell>
          <cell r="H29">
            <v>0</v>
          </cell>
          <cell r="I29">
            <v>0</v>
          </cell>
          <cell r="J29">
            <v>0</v>
          </cell>
          <cell r="K29" t="str">
            <v>5</v>
          </cell>
          <cell r="L29">
            <v>0</v>
          </cell>
          <cell r="M29">
            <v>0</v>
          </cell>
          <cell r="N29">
            <v>-1362211.22</v>
          </cell>
          <cell r="O29">
            <v>0</v>
          </cell>
          <cell r="P29">
            <v>-1273055.83</v>
          </cell>
          <cell r="Q29">
            <v>-68078.509999999995</v>
          </cell>
          <cell r="R29">
            <v>0</v>
          </cell>
          <cell r="S29">
            <v>-21076.880000000001</v>
          </cell>
          <cell r="T29">
            <v>0</v>
          </cell>
          <cell r="U29">
            <v>0</v>
          </cell>
        </row>
        <row r="30">
          <cell r="A30">
            <v>39082</v>
          </cell>
          <cell r="B30" t="str">
            <v>Commission Income</v>
          </cell>
          <cell r="C30">
            <v>0</v>
          </cell>
          <cell r="D30" t="str">
            <v>EAB</v>
          </cell>
          <cell r="E30" t="str">
            <v>Letters of Guarantee</v>
          </cell>
          <cell r="F30" t="str">
            <v>Commission Income</v>
          </cell>
          <cell r="G30" t="str">
            <v>5031100</v>
          </cell>
          <cell r="H30">
            <v>0</v>
          </cell>
          <cell r="I30">
            <v>0</v>
          </cell>
          <cell r="J30">
            <v>0</v>
          </cell>
          <cell r="K30" t="str">
            <v>5</v>
          </cell>
          <cell r="L30">
            <v>0</v>
          </cell>
          <cell r="M30">
            <v>0</v>
          </cell>
          <cell r="N30">
            <v>-14054985.74</v>
          </cell>
          <cell r="O30">
            <v>0</v>
          </cell>
          <cell r="P30">
            <v>-12405373.85</v>
          </cell>
          <cell r="Q30">
            <v>-1649611.89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</row>
        <row r="31">
          <cell r="A31">
            <v>39082</v>
          </cell>
          <cell r="B31" t="str">
            <v>Commission Income</v>
          </cell>
          <cell r="C31">
            <v>0</v>
          </cell>
          <cell r="D31" t="str">
            <v>EAC</v>
          </cell>
          <cell r="E31" t="str">
            <v>Local Bills Purchased</v>
          </cell>
          <cell r="F31" t="str">
            <v>Commission Income</v>
          </cell>
          <cell r="G31" t="str">
            <v>5031200</v>
          </cell>
          <cell r="H31">
            <v>0</v>
          </cell>
          <cell r="I31">
            <v>0</v>
          </cell>
          <cell r="J31">
            <v>0</v>
          </cell>
          <cell r="K31" t="str">
            <v>5</v>
          </cell>
          <cell r="L31">
            <v>0</v>
          </cell>
          <cell r="M31">
            <v>0</v>
          </cell>
          <cell r="N31">
            <v>-661158.18000000005</v>
          </cell>
          <cell r="O31">
            <v>0</v>
          </cell>
          <cell r="P31">
            <v>0</v>
          </cell>
          <cell r="Q31">
            <v>-661158.18000000005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</row>
        <row r="32">
          <cell r="A32">
            <v>39082</v>
          </cell>
          <cell r="B32" t="str">
            <v>Commission Income</v>
          </cell>
          <cell r="C32">
            <v>0</v>
          </cell>
          <cell r="D32" t="str">
            <v>EAD</v>
          </cell>
          <cell r="E32" t="str">
            <v>Travellers Cheques</v>
          </cell>
          <cell r="F32" t="str">
            <v>Commission Income</v>
          </cell>
          <cell r="G32" t="str">
            <v>5031300</v>
          </cell>
          <cell r="H32">
            <v>0</v>
          </cell>
          <cell r="I32">
            <v>0</v>
          </cell>
          <cell r="J32">
            <v>0</v>
          </cell>
          <cell r="K32" t="str">
            <v>5</v>
          </cell>
          <cell r="L32">
            <v>0</v>
          </cell>
          <cell r="M32">
            <v>0</v>
          </cell>
          <cell r="N32">
            <v>-428221.25</v>
          </cell>
          <cell r="O32">
            <v>0</v>
          </cell>
          <cell r="P32">
            <v>-15423.31</v>
          </cell>
          <cell r="Q32">
            <v>-8900</v>
          </cell>
          <cell r="R32">
            <v>-398364.77</v>
          </cell>
          <cell r="S32">
            <v>-5533.17</v>
          </cell>
          <cell r="T32">
            <v>0</v>
          </cell>
          <cell r="U32">
            <v>0</v>
          </cell>
        </row>
        <row r="33">
          <cell r="A33">
            <v>39082</v>
          </cell>
          <cell r="B33" t="str">
            <v>Commission Income</v>
          </cell>
          <cell r="C33">
            <v>0</v>
          </cell>
          <cell r="D33" t="str">
            <v>EAE</v>
          </cell>
          <cell r="E33" t="str">
            <v>Current Accounts</v>
          </cell>
          <cell r="F33" t="str">
            <v>Commission Income</v>
          </cell>
          <cell r="G33" t="str">
            <v>5031400</v>
          </cell>
          <cell r="H33">
            <v>0</v>
          </cell>
          <cell r="I33">
            <v>0</v>
          </cell>
          <cell r="J33">
            <v>0</v>
          </cell>
          <cell r="K33" t="str">
            <v>5</v>
          </cell>
          <cell r="L33">
            <v>0</v>
          </cell>
          <cell r="M33">
            <v>0</v>
          </cell>
          <cell r="N33">
            <v>-3232398.81</v>
          </cell>
          <cell r="O33">
            <v>0</v>
          </cell>
          <cell r="P33">
            <v>-1806575.67</v>
          </cell>
          <cell r="Q33">
            <v>-365923.41</v>
          </cell>
          <cell r="R33">
            <v>-202452.59</v>
          </cell>
          <cell r="S33">
            <v>-181995.31</v>
          </cell>
          <cell r="T33">
            <v>-692.96</v>
          </cell>
          <cell r="U33">
            <v>-13555.83</v>
          </cell>
        </row>
        <row r="34">
          <cell r="A34">
            <v>39082</v>
          </cell>
          <cell r="B34" t="str">
            <v>Commission Income</v>
          </cell>
          <cell r="C34">
            <v>0</v>
          </cell>
          <cell r="D34" t="str">
            <v>EAF</v>
          </cell>
          <cell r="E34" t="str">
            <v>Foreign Cheques Purchased</v>
          </cell>
          <cell r="F34" t="str">
            <v>Commission Income</v>
          </cell>
          <cell r="G34" t="str">
            <v>5031500</v>
          </cell>
          <cell r="H34">
            <v>0</v>
          </cell>
          <cell r="I34">
            <v>0</v>
          </cell>
          <cell r="J34">
            <v>0</v>
          </cell>
          <cell r="K34" t="str">
            <v>5</v>
          </cell>
          <cell r="L34">
            <v>0</v>
          </cell>
          <cell r="M34">
            <v>0</v>
          </cell>
          <cell r="N34">
            <v>-11994398.75</v>
          </cell>
          <cell r="O34">
            <v>0</v>
          </cell>
          <cell r="P34">
            <v>-6989595.8600000003</v>
          </cell>
          <cell r="Q34">
            <v>-4997048.7300000004</v>
          </cell>
          <cell r="R34">
            <v>0</v>
          </cell>
          <cell r="S34">
            <v>-7754.16</v>
          </cell>
          <cell r="T34">
            <v>0</v>
          </cell>
          <cell r="U34">
            <v>0</v>
          </cell>
        </row>
        <row r="35">
          <cell r="A35">
            <v>39082</v>
          </cell>
          <cell r="B35" t="str">
            <v>Commission Income</v>
          </cell>
          <cell r="C35">
            <v>0</v>
          </cell>
          <cell r="D35" t="str">
            <v>EAF</v>
          </cell>
          <cell r="E35" t="str">
            <v>Foreign Cheques Purchased</v>
          </cell>
          <cell r="F35" t="str">
            <v>Commission Income</v>
          </cell>
          <cell r="G35" t="str">
            <v>5031700</v>
          </cell>
          <cell r="H35">
            <v>0</v>
          </cell>
          <cell r="I35">
            <v>0</v>
          </cell>
          <cell r="J35">
            <v>0</v>
          </cell>
          <cell r="K35" t="str">
            <v>5</v>
          </cell>
          <cell r="L35">
            <v>0</v>
          </cell>
          <cell r="M35">
            <v>0</v>
          </cell>
          <cell r="N35">
            <v>-1228000</v>
          </cell>
          <cell r="O35">
            <v>0</v>
          </cell>
          <cell r="P35">
            <v>-1149000</v>
          </cell>
          <cell r="Q35">
            <v>-79000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</row>
        <row r="36">
          <cell r="A36">
            <v>39082</v>
          </cell>
          <cell r="B36" t="str">
            <v>Commission Income</v>
          </cell>
          <cell r="C36">
            <v>0</v>
          </cell>
          <cell r="D36" t="str">
            <v>EAG</v>
          </cell>
          <cell r="E36" t="str">
            <v>Savings Deposits</v>
          </cell>
          <cell r="F36" t="str">
            <v>Commission Income</v>
          </cell>
          <cell r="G36" t="str">
            <v>5031600</v>
          </cell>
          <cell r="H36">
            <v>0</v>
          </cell>
          <cell r="I36">
            <v>0</v>
          </cell>
          <cell r="J36">
            <v>0</v>
          </cell>
          <cell r="K36" t="str">
            <v>5</v>
          </cell>
          <cell r="L36">
            <v>0</v>
          </cell>
          <cell r="M36">
            <v>0</v>
          </cell>
          <cell r="N36">
            <v>-2439422.56</v>
          </cell>
          <cell r="O36">
            <v>0</v>
          </cell>
          <cell r="P36">
            <v>-1159253.6000000001</v>
          </cell>
          <cell r="Q36">
            <v>-551028.5</v>
          </cell>
          <cell r="R36">
            <v>-31482.71</v>
          </cell>
          <cell r="S36">
            <v>-286386.92</v>
          </cell>
          <cell r="T36">
            <v>-692.96</v>
          </cell>
          <cell r="U36">
            <v>-29135.7</v>
          </cell>
        </row>
        <row r="37">
          <cell r="A37">
            <v>39082</v>
          </cell>
          <cell r="B37" t="str">
            <v>Commission Income</v>
          </cell>
          <cell r="C37">
            <v>0</v>
          </cell>
          <cell r="D37" t="str">
            <v>EAH</v>
          </cell>
          <cell r="E37" t="str">
            <v>Sundries (Misc com Paid)</v>
          </cell>
          <cell r="F37" t="str">
            <v>Commission Income</v>
          </cell>
          <cell r="G37" t="str">
            <v>5031050</v>
          </cell>
          <cell r="H37">
            <v>0</v>
          </cell>
          <cell r="I37">
            <v>0</v>
          </cell>
          <cell r="J37">
            <v>0</v>
          </cell>
          <cell r="K37" t="str">
            <v>5</v>
          </cell>
          <cell r="L37">
            <v>0</v>
          </cell>
          <cell r="M37">
            <v>0</v>
          </cell>
          <cell r="N37">
            <v>-92494.79</v>
          </cell>
          <cell r="O37">
            <v>0</v>
          </cell>
          <cell r="P37">
            <v>-92494.79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</row>
        <row r="38">
          <cell r="A38">
            <v>39082</v>
          </cell>
          <cell r="B38" t="str">
            <v>Commission Income</v>
          </cell>
          <cell r="C38">
            <v>0</v>
          </cell>
          <cell r="D38" t="str">
            <v>EAH</v>
          </cell>
          <cell r="E38" t="str">
            <v>Sundries (Misc com Paid)</v>
          </cell>
          <cell r="F38" t="str">
            <v>Commission Income</v>
          </cell>
          <cell r="G38" t="str">
            <v>5031106</v>
          </cell>
          <cell r="H38">
            <v>0</v>
          </cell>
          <cell r="I38">
            <v>0</v>
          </cell>
          <cell r="J38">
            <v>0</v>
          </cell>
          <cell r="K38" t="str">
            <v>5</v>
          </cell>
          <cell r="L38">
            <v>0</v>
          </cell>
          <cell r="M38">
            <v>0</v>
          </cell>
          <cell r="N38">
            <v>-1279517.68</v>
          </cell>
          <cell r="O38">
            <v>0</v>
          </cell>
          <cell r="P38">
            <v>-1208117.68</v>
          </cell>
          <cell r="Q38">
            <v>-70800</v>
          </cell>
          <cell r="R38">
            <v>0</v>
          </cell>
          <cell r="S38">
            <v>-600</v>
          </cell>
          <cell r="T38">
            <v>0</v>
          </cell>
          <cell r="U38">
            <v>0</v>
          </cell>
        </row>
        <row r="39">
          <cell r="A39">
            <v>39082</v>
          </cell>
          <cell r="B39" t="str">
            <v>Commission Income</v>
          </cell>
          <cell r="C39">
            <v>0</v>
          </cell>
          <cell r="D39" t="str">
            <v>EAH</v>
          </cell>
          <cell r="E39" t="str">
            <v>Sundries (Misc com Paid)</v>
          </cell>
          <cell r="F39" t="str">
            <v>Commission Income</v>
          </cell>
          <cell r="G39" t="str">
            <v>5031860</v>
          </cell>
          <cell r="H39">
            <v>0</v>
          </cell>
          <cell r="I39">
            <v>0</v>
          </cell>
          <cell r="J39">
            <v>0</v>
          </cell>
          <cell r="K39" t="str">
            <v>5</v>
          </cell>
          <cell r="L39">
            <v>0</v>
          </cell>
          <cell r="M39">
            <v>0</v>
          </cell>
          <cell r="N39">
            <v>-1904976.85</v>
          </cell>
          <cell r="O39">
            <v>0</v>
          </cell>
          <cell r="P39">
            <v>-118483.08</v>
          </cell>
          <cell r="Q39">
            <v>-1775713.98</v>
          </cell>
          <cell r="R39">
            <v>-1998.38</v>
          </cell>
          <cell r="S39">
            <v>-3695.05</v>
          </cell>
          <cell r="T39">
            <v>0</v>
          </cell>
          <cell r="U39">
            <v>-592.53</v>
          </cell>
        </row>
        <row r="40">
          <cell r="A40">
            <v>39082</v>
          </cell>
          <cell r="B40" t="str">
            <v>Commission Income</v>
          </cell>
          <cell r="C40">
            <v>0</v>
          </cell>
          <cell r="D40" t="str">
            <v>EAH</v>
          </cell>
          <cell r="E40" t="str">
            <v>Sundries (Misc com Paid)</v>
          </cell>
          <cell r="F40" t="str">
            <v>Commission Income</v>
          </cell>
          <cell r="G40" t="str">
            <v>5031865</v>
          </cell>
          <cell r="H40">
            <v>0</v>
          </cell>
          <cell r="I40">
            <v>0</v>
          </cell>
          <cell r="J40">
            <v>0</v>
          </cell>
          <cell r="K40" t="str">
            <v>5</v>
          </cell>
          <cell r="L40">
            <v>0</v>
          </cell>
          <cell r="M40">
            <v>0</v>
          </cell>
          <cell r="N40">
            <v>-124491.7</v>
          </cell>
          <cell r="O40">
            <v>0</v>
          </cell>
          <cell r="P40">
            <v>-32400</v>
          </cell>
          <cell r="Q40">
            <v>-1700</v>
          </cell>
          <cell r="R40">
            <v>-72691.7</v>
          </cell>
          <cell r="S40">
            <v>-17700</v>
          </cell>
          <cell r="T40">
            <v>0</v>
          </cell>
          <cell r="U40">
            <v>0</v>
          </cell>
        </row>
        <row r="41">
          <cell r="A41">
            <v>39082</v>
          </cell>
          <cell r="B41" t="str">
            <v>Commission Income</v>
          </cell>
          <cell r="C41">
            <v>0</v>
          </cell>
          <cell r="D41" t="str">
            <v>EAH</v>
          </cell>
          <cell r="E41" t="str">
            <v>Sundries (Misc com Paid)</v>
          </cell>
          <cell r="F41" t="str">
            <v>Commission Income</v>
          </cell>
          <cell r="G41" t="str">
            <v>5031880</v>
          </cell>
          <cell r="H41">
            <v>0</v>
          </cell>
          <cell r="I41">
            <v>0</v>
          </cell>
          <cell r="J41">
            <v>0</v>
          </cell>
          <cell r="K41" t="str">
            <v>5</v>
          </cell>
          <cell r="L41">
            <v>0</v>
          </cell>
          <cell r="M41">
            <v>0</v>
          </cell>
          <cell r="N41">
            <v>-18330</v>
          </cell>
          <cell r="O41">
            <v>0</v>
          </cell>
          <cell r="P41">
            <v>-12075</v>
          </cell>
          <cell r="Q41">
            <v>-4485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</row>
        <row r="42">
          <cell r="A42">
            <v>39082</v>
          </cell>
          <cell r="B42" t="str">
            <v>Commission Income</v>
          </cell>
          <cell r="C42">
            <v>0</v>
          </cell>
          <cell r="D42" t="str">
            <v>EAH</v>
          </cell>
          <cell r="E42" t="str">
            <v>Sundries (Misc com Paid)</v>
          </cell>
          <cell r="F42" t="str">
            <v>Commission Income</v>
          </cell>
          <cell r="G42" t="str">
            <v>5031900</v>
          </cell>
          <cell r="H42">
            <v>0</v>
          </cell>
          <cell r="I42">
            <v>0</v>
          </cell>
          <cell r="J42">
            <v>0</v>
          </cell>
          <cell r="K42" t="str">
            <v>5</v>
          </cell>
          <cell r="L42">
            <v>0</v>
          </cell>
          <cell r="M42">
            <v>0</v>
          </cell>
          <cell r="N42">
            <v>-2860996.31</v>
          </cell>
          <cell r="O42">
            <v>0</v>
          </cell>
          <cell r="P42">
            <v>-1260092.24</v>
          </cell>
          <cell r="Q42">
            <v>-665145.37</v>
          </cell>
          <cell r="R42">
            <v>-796675.47</v>
          </cell>
          <cell r="S42">
            <v>-113191.08</v>
          </cell>
          <cell r="T42">
            <v>0</v>
          </cell>
          <cell r="U42">
            <v>-17717.150000000001</v>
          </cell>
        </row>
        <row r="43">
          <cell r="A43">
            <v>39082</v>
          </cell>
          <cell r="B43" t="str">
            <v>Commission Income</v>
          </cell>
          <cell r="C43">
            <v>0</v>
          </cell>
          <cell r="D43" t="str">
            <v>EAH</v>
          </cell>
          <cell r="E43" t="str">
            <v>Sundries (Misc com Paid)</v>
          </cell>
          <cell r="F43" t="str">
            <v>Commission Income</v>
          </cell>
          <cell r="G43" t="str">
            <v>5031910</v>
          </cell>
          <cell r="H43">
            <v>0</v>
          </cell>
          <cell r="I43">
            <v>0</v>
          </cell>
          <cell r="J43">
            <v>0</v>
          </cell>
          <cell r="K43" t="str">
            <v>5</v>
          </cell>
          <cell r="L43">
            <v>0</v>
          </cell>
          <cell r="M43">
            <v>0</v>
          </cell>
          <cell r="N43">
            <v>-2047630.37</v>
          </cell>
          <cell r="O43">
            <v>0</v>
          </cell>
          <cell r="P43">
            <v>-579251.05000000005</v>
          </cell>
          <cell r="Q43">
            <v>-587649.57999999996</v>
          </cell>
          <cell r="R43">
            <v>-816929.74</v>
          </cell>
          <cell r="S43">
            <v>-41500</v>
          </cell>
          <cell r="T43">
            <v>0</v>
          </cell>
          <cell r="U43">
            <v>0</v>
          </cell>
        </row>
        <row r="44">
          <cell r="A44">
            <v>39082</v>
          </cell>
          <cell r="B44" t="str">
            <v>Commission Income</v>
          </cell>
          <cell r="C44">
            <v>0</v>
          </cell>
          <cell r="D44" t="str">
            <v>EAJ</v>
          </cell>
          <cell r="E44" t="str">
            <v>ATM Cards</v>
          </cell>
          <cell r="F44" t="str">
            <v>Commission Income</v>
          </cell>
          <cell r="G44" t="str">
            <v>5031150</v>
          </cell>
          <cell r="H44">
            <v>0</v>
          </cell>
          <cell r="I44">
            <v>0</v>
          </cell>
          <cell r="J44">
            <v>0</v>
          </cell>
          <cell r="K44" t="str">
            <v>5</v>
          </cell>
          <cell r="L44">
            <v>0</v>
          </cell>
          <cell r="M44">
            <v>0</v>
          </cell>
          <cell r="N44">
            <v>-13173.12</v>
          </cell>
          <cell r="O44">
            <v>-13173.12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</row>
        <row r="45">
          <cell r="A45">
            <v>39082</v>
          </cell>
          <cell r="B45" t="str">
            <v>Commission Income</v>
          </cell>
          <cell r="C45">
            <v>0</v>
          </cell>
          <cell r="D45" t="str">
            <v>EAJ</v>
          </cell>
          <cell r="E45" t="str">
            <v>ATM Cards</v>
          </cell>
          <cell r="F45" t="str">
            <v>Commission Income</v>
          </cell>
          <cell r="G45" t="str">
            <v>5031885</v>
          </cell>
          <cell r="H45">
            <v>0</v>
          </cell>
          <cell r="I45">
            <v>0</v>
          </cell>
          <cell r="J45">
            <v>0</v>
          </cell>
          <cell r="K45" t="str">
            <v>5</v>
          </cell>
          <cell r="L45">
            <v>0</v>
          </cell>
          <cell r="M45">
            <v>0</v>
          </cell>
          <cell r="N45">
            <v>-363173.58</v>
          </cell>
          <cell r="O45">
            <v>0</v>
          </cell>
          <cell r="P45">
            <v>-25373.58</v>
          </cell>
          <cell r="Q45">
            <v>-68700</v>
          </cell>
          <cell r="R45">
            <v>-53400</v>
          </cell>
          <cell r="S45">
            <v>-43500</v>
          </cell>
          <cell r="T45">
            <v>0</v>
          </cell>
          <cell r="U45">
            <v>0</v>
          </cell>
        </row>
        <row r="46">
          <cell r="A46">
            <v>39082</v>
          </cell>
          <cell r="B46" t="str">
            <v>Commission Income</v>
          </cell>
          <cell r="C46">
            <v>0</v>
          </cell>
          <cell r="D46" t="str">
            <v>EAL</v>
          </cell>
          <cell r="E46" t="str">
            <v>Shipping Guarantee</v>
          </cell>
          <cell r="F46" t="str">
            <v>Commission Income</v>
          </cell>
          <cell r="G46" t="str">
            <v>5031101</v>
          </cell>
          <cell r="H46">
            <v>0</v>
          </cell>
          <cell r="I46">
            <v>0</v>
          </cell>
          <cell r="J46">
            <v>0</v>
          </cell>
          <cell r="K46" t="str">
            <v>5</v>
          </cell>
          <cell r="L46">
            <v>0</v>
          </cell>
          <cell r="M46">
            <v>0</v>
          </cell>
          <cell r="N46">
            <v>-979000</v>
          </cell>
          <cell r="O46">
            <v>0</v>
          </cell>
          <cell r="P46">
            <v>-840400</v>
          </cell>
          <cell r="Q46">
            <v>-112200</v>
          </cell>
          <cell r="R46">
            <v>0</v>
          </cell>
          <cell r="S46">
            <v>-26400</v>
          </cell>
          <cell r="T46">
            <v>0</v>
          </cell>
          <cell r="U46">
            <v>0</v>
          </cell>
        </row>
        <row r="47">
          <cell r="A47">
            <v>39082</v>
          </cell>
          <cell r="B47" t="str">
            <v>Commission Income</v>
          </cell>
          <cell r="C47">
            <v>0</v>
          </cell>
          <cell r="D47" t="str">
            <v>EAM</v>
          </cell>
          <cell r="E47" t="str">
            <v>On Export Bills Discounted</v>
          </cell>
          <cell r="F47" t="str">
            <v>Commission Income</v>
          </cell>
          <cell r="G47" t="str">
            <v>5031058</v>
          </cell>
          <cell r="H47">
            <v>0</v>
          </cell>
          <cell r="I47">
            <v>0</v>
          </cell>
          <cell r="J47">
            <v>0</v>
          </cell>
          <cell r="K47" t="str">
            <v>5</v>
          </cell>
          <cell r="L47">
            <v>0</v>
          </cell>
          <cell r="M47">
            <v>0</v>
          </cell>
          <cell r="N47">
            <v>-2384153.0699999998</v>
          </cell>
          <cell r="O47">
            <v>0</v>
          </cell>
          <cell r="P47">
            <v>-1797265</v>
          </cell>
          <cell r="Q47">
            <v>-579488.06999999995</v>
          </cell>
          <cell r="R47">
            <v>0</v>
          </cell>
          <cell r="S47">
            <v>-7400</v>
          </cell>
          <cell r="T47">
            <v>0</v>
          </cell>
          <cell r="U47">
            <v>0</v>
          </cell>
        </row>
        <row r="48">
          <cell r="A48">
            <v>39082</v>
          </cell>
          <cell r="B48" t="str">
            <v>Commission Income</v>
          </cell>
          <cell r="C48">
            <v>0</v>
          </cell>
          <cell r="D48" t="str">
            <v>EAO</v>
          </cell>
          <cell r="E48" t="str">
            <v>Recovery of  S.W.I.F.T, Telex, postal etc</v>
          </cell>
          <cell r="F48" t="str">
            <v>Commission Income</v>
          </cell>
          <cell r="G48" t="str">
            <v>5011130</v>
          </cell>
          <cell r="H48">
            <v>0</v>
          </cell>
          <cell r="I48">
            <v>0</v>
          </cell>
          <cell r="J48">
            <v>0</v>
          </cell>
          <cell r="K48" t="str">
            <v>5</v>
          </cell>
          <cell r="L48">
            <v>0</v>
          </cell>
          <cell r="M48">
            <v>0</v>
          </cell>
          <cell r="N48">
            <v>-839500</v>
          </cell>
          <cell r="O48">
            <v>0</v>
          </cell>
          <cell r="P48">
            <v>-565000</v>
          </cell>
          <cell r="Q48">
            <v>-274500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</row>
        <row r="49">
          <cell r="A49">
            <v>39082</v>
          </cell>
          <cell r="B49" t="str">
            <v>Commission Income</v>
          </cell>
          <cell r="C49">
            <v>0</v>
          </cell>
          <cell r="D49" t="str">
            <v>EAO</v>
          </cell>
          <cell r="E49" t="str">
            <v>Recovery of  S.W.I.F.T, Telex, postal etc</v>
          </cell>
          <cell r="F49" t="str">
            <v>Commission Income</v>
          </cell>
          <cell r="G49" t="str">
            <v>5031105</v>
          </cell>
          <cell r="H49">
            <v>0</v>
          </cell>
          <cell r="I49">
            <v>0</v>
          </cell>
          <cell r="J49">
            <v>0</v>
          </cell>
          <cell r="K49" t="str">
            <v>5</v>
          </cell>
          <cell r="L49">
            <v>0</v>
          </cell>
          <cell r="M49">
            <v>0</v>
          </cell>
          <cell r="N49">
            <v>-10937916.640000001</v>
          </cell>
          <cell r="O49">
            <v>0</v>
          </cell>
          <cell r="P49">
            <v>-7548333.8300000001</v>
          </cell>
          <cell r="Q49">
            <v>-3209932.81</v>
          </cell>
          <cell r="R49">
            <v>0</v>
          </cell>
          <cell r="S49">
            <v>-179650</v>
          </cell>
          <cell r="T49">
            <v>0</v>
          </cell>
          <cell r="U49">
            <v>0</v>
          </cell>
        </row>
        <row r="50">
          <cell r="A50">
            <v>39082</v>
          </cell>
          <cell r="B50" t="str">
            <v>Commission Income</v>
          </cell>
          <cell r="C50">
            <v>0</v>
          </cell>
          <cell r="D50" t="str">
            <v>EAP</v>
          </cell>
          <cell r="E50" t="str">
            <v>COMM Foreign CUR Repatriation</v>
          </cell>
          <cell r="F50" t="str">
            <v>Commission Income</v>
          </cell>
          <cell r="G50" t="str">
            <v>5031915</v>
          </cell>
          <cell r="H50">
            <v>0</v>
          </cell>
          <cell r="I50">
            <v>0</v>
          </cell>
          <cell r="J50">
            <v>0</v>
          </cell>
          <cell r="K50" t="str">
            <v>5</v>
          </cell>
          <cell r="L50">
            <v>0</v>
          </cell>
          <cell r="M50">
            <v>0</v>
          </cell>
          <cell r="N50">
            <v>-8963955.9199999999</v>
          </cell>
          <cell r="O50">
            <v>0</v>
          </cell>
          <cell r="P50">
            <v>-8963955.9199999999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</row>
        <row r="51">
          <cell r="A51">
            <v>39082</v>
          </cell>
          <cell r="B51" t="str">
            <v>Commission Income</v>
          </cell>
          <cell r="C51">
            <v>0</v>
          </cell>
          <cell r="D51" t="str">
            <v>EAQ</v>
          </cell>
          <cell r="E51" t="str">
            <v>Commission Internet Banking</v>
          </cell>
          <cell r="F51" t="str">
            <v>Commission Income</v>
          </cell>
          <cell r="G51" t="str">
            <v>5031877</v>
          </cell>
          <cell r="H51">
            <v>0</v>
          </cell>
          <cell r="I51">
            <v>0</v>
          </cell>
          <cell r="J51">
            <v>0</v>
          </cell>
          <cell r="K51" t="str">
            <v>5</v>
          </cell>
          <cell r="L51">
            <v>0</v>
          </cell>
          <cell r="M51">
            <v>0</v>
          </cell>
          <cell r="N51">
            <v>-276089.05</v>
          </cell>
          <cell r="O51">
            <v>0</v>
          </cell>
          <cell r="P51">
            <v>-276089.05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</row>
        <row r="52">
          <cell r="A52">
            <v>39082</v>
          </cell>
          <cell r="B52" t="str">
            <v>Commission Income</v>
          </cell>
          <cell r="C52">
            <v>0</v>
          </cell>
          <cell r="D52" t="str">
            <v>EAQ</v>
          </cell>
          <cell r="E52" t="str">
            <v>Commission Internet Banking</v>
          </cell>
          <cell r="F52" t="str">
            <v>Commission Income</v>
          </cell>
          <cell r="G52" t="str">
            <v>5031878</v>
          </cell>
          <cell r="H52">
            <v>0</v>
          </cell>
          <cell r="I52">
            <v>0</v>
          </cell>
          <cell r="J52">
            <v>0</v>
          </cell>
          <cell r="K52" t="str">
            <v>5</v>
          </cell>
          <cell r="L52">
            <v>0</v>
          </cell>
          <cell r="M52">
            <v>0</v>
          </cell>
          <cell r="N52">
            <v>-717.42</v>
          </cell>
          <cell r="O52">
            <v>0</v>
          </cell>
          <cell r="P52">
            <v>-717.42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</row>
        <row r="53">
          <cell r="A53">
            <v>39082</v>
          </cell>
          <cell r="B53" t="str">
            <v>Customer Advances</v>
          </cell>
          <cell r="C53">
            <v>0</v>
          </cell>
          <cell r="D53" t="str">
            <v>AAA</v>
          </cell>
          <cell r="E53" t="str">
            <v>Import Bills Receivable</v>
          </cell>
          <cell r="F53" t="str">
            <v>Total Interest Income</v>
          </cell>
          <cell r="G53" t="str">
            <v>5012700</v>
          </cell>
          <cell r="H53">
            <v>0</v>
          </cell>
          <cell r="I53">
            <v>0</v>
          </cell>
          <cell r="J53">
            <v>0</v>
          </cell>
          <cell r="K53" t="str">
            <v>5</v>
          </cell>
          <cell r="L53">
            <v>0</v>
          </cell>
          <cell r="M53">
            <v>0</v>
          </cell>
          <cell r="N53">
            <v>-1905760.03</v>
          </cell>
          <cell r="O53">
            <v>0</v>
          </cell>
          <cell r="P53">
            <v>-1400674.12</v>
          </cell>
          <cell r="Q53">
            <v>-505085.91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</row>
        <row r="54">
          <cell r="A54">
            <v>39082</v>
          </cell>
          <cell r="B54" t="str">
            <v>Customer Advances</v>
          </cell>
          <cell r="C54">
            <v>0</v>
          </cell>
          <cell r="D54" t="str">
            <v>AAB</v>
          </cell>
          <cell r="E54" t="str">
            <v>Import Loans</v>
          </cell>
          <cell r="F54" t="str">
            <v>Total Interest Income</v>
          </cell>
          <cell r="G54" t="str">
            <v>5011200</v>
          </cell>
          <cell r="H54">
            <v>0</v>
          </cell>
          <cell r="I54">
            <v>0</v>
          </cell>
          <cell r="J54">
            <v>0</v>
          </cell>
          <cell r="K54" t="str">
            <v>5</v>
          </cell>
          <cell r="L54">
            <v>0</v>
          </cell>
          <cell r="M54">
            <v>0</v>
          </cell>
          <cell r="N54">
            <v>-11447509.850000001</v>
          </cell>
          <cell r="O54">
            <v>0</v>
          </cell>
          <cell r="P54">
            <v>-7108249.6100000003</v>
          </cell>
          <cell r="Q54">
            <v>-4336562.9400000004</v>
          </cell>
          <cell r="R54">
            <v>0</v>
          </cell>
          <cell r="S54">
            <v>0</v>
          </cell>
          <cell r="T54">
            <v>0</v>
          </cell>
          <cell r="U54">
            <v>-2697.3</v>
          </cell>
        </row>
        <row r="55">
          <cell r="A55">
            <v>39082</v>
          </cell>
          <cell r="B55" t="str">
            <v>Customer Advances</v>
          </cell>
          <cell r="C55">
            <v>0</v>
          </cell>
          <cell r="D55" t="str">
            <v>AAC</v>
          </cell>
          <cell r="E55" t="str">
            <v>Trust Receipts</v>
          </cell>
          <cell r="F55" t="str">
            <v>Total Interest Income</v>
          </cell>
          <cell r="G55" t="str">
            <v>5011300</v>
          </cell>
          <cell r="H55">
            <v>0</v>
          </cell>
          <cell r="I55">
            <v>0</v>
          </cell>
          <cell r="J55">
            <v>0</v>
          </cell>
          <cell r="K55" t="str">
            <v>5</v>
          </cell>
          <cell r="L55">
            <v>0</v>
          </cell>
          <cell r="M55">
            <v>0</v>
          </cell>
          <cell r="N55">
            <v>-108119873.36</v>
          </cell>
          <cell r="O55">
            <v>0</v>
          </cell>
          <cell r="P55">
            <v>-68537579.200000003</v>
          </cell>
          <cell r="Q55">
            <v>-39582294.159999996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</row>
        <row r="56">
          <cell r="A56">
            <v>39082</v>
          </cell>
          <cell r="B56" t="str">
            <v>Customer Advances</v>
          </cell>
          <cell r="C56">
            <v>0</v>
          </cell>
          <cell r="D56" t="str">
            <v>AAD</v>
          </cell>
          <cell r="E56" t="str">
            <v>Preshipment Loans</v>
          </cell>
          <cell r="F56" t="str">
            <v>Total Interest Income</v>
          </cell>
          <cell r="G56" t="str">
            <v>5011600</v>
          </cell>
          <cell r="H56">
            <v>0</v>
          </cell>
          <cell r="I56">
            <v>0</v>
          </cell>
          <cell r="J56">
            <v>0</v>
          </cell>
          <cell r="K56" t="str">
            <v>5</v>
          </cell>
          <cell r="L56">
            <v>0</v>
          </cell>
          <cell r="M56">
            <v>0</v>
          </cell>
          <cell r="N56">
            <v>-9063543.7000000011</v>
          </cell>
          <cell r="O56">
            <v>0</v>
          </cell>
          <cell r="P56">
            <v>-504680.55</v>
          </cell>
          <cell r="Q56">
            <v>-8558863.1500000004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</row>
        <row r="57">
          <cell r="A57">
            <v>39082</v>
          </cell>
          <cell r="B57" t="str">
            <v>Customer Advances</v>
          </cell>
          <cell r="C57">
            <v>0</v>
          </cell>
          <cell r="D57" t="str">
            <v>AAE</v>
          </cell>
          <cell r="E57" t="str">
            <v>Fixed Loans</v>
          </cell>
          <cell r="F57" t="str">
            <v>Total Interest Income</v>
          </cell>
          <cell r="G57" t="str">
            <v>5011900</v>
          </cell>
          <cell r="H57">
            <v>0</v>
          </cell>
          <cell r="I57">
            <v>0</v>
          </cell>
          <cell r="J57">
            <v>0</v>
          </cell>
          <cell r="K57" t="str">
            <v>5</v>
          </cell>
          <cell r="L57">
            <v>0</v>
          </cell>
          <cell r="M57">
            <v>0</v>
          </cell>
          <cell r="N57">
            <v>-1465312.5</v>
          </cell>
          <cell r="O57">
            <v>0</v>
          </cell>
          <cell r="P57">
            <v>-1465312.5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</row>
        <row r="58">
          <cell r="A58">
            <v>39082</v>
          </cell>
          <cell r="B58" t="str">
            <v>Customer Advances</v>
          </cell>
          <cell r="C58">
            <v>0</v>
          </cell>
          <cell r="D58" t="str">
            <v>AAE</v>
          </cell>
          <cell r="E58" t="str">
            <v>Fixed Loans</v>
          </cell>
          <cell r="F58" t="str">
            <v>Total Interest Income</v>
          </cell>
          <cell r="G58" t="str">
            <v>5012100</v>
          </cell>
          <cell r="H58">
            <v>0</v>
          </cell>
          <cell r="I58">
            <v>0</v>
          </cell>
          <cell r="J58">
            <v>0</v>
          </cell>
          <cell r="K58" t="str">
            <v>5</v>
          </cell>
          <cell r="L58">
            <v>0</v>
          </cell>
          <cell r="M58">
            <v>0</v>
          </cell>
          <cell r="N58">
            <v>-160861995.69</v>
          </cell>
          <cell r="O58">
            <v>0</v>
          </cell>
          <cell r="P58">
            <v>-129288238.31999999</v>
          </cell>
          <cell r="Q58">
            <v>-13205987.98</v>
          </cell>
          <cell r="R58">
            <v>0</v>
          </cell>
          <cell r="S58">
            <v>-8362386.0499999998</v>
          </cell>
          <cell r="T58">
            <v>0</v>
          </cell>
          <cell r="U58">
            <v>-9885385.0600000005</v>
          </cell>
        </row>
        <row r="59">
          <cell r="A59">
            <v>39082</v>
          </cell>
          <cell r="B59" t="str">
            <v>Customer Advances</v>
          </cell>
          <cell r="C59">
            <v>0</v>
          </cell>
          <cell r="D59" t="str">
            <v>AAE</v>
          </cell>
          <cell r="E59" t="str">
            <v>Fixed Loans</v>
          </cell>
          <cell r="F59" t="str">
            <v>Total Interest Income</v>
          </cell>
          <cell r="G59" t="str">
            <v>5012110</v>
          </cell>
          <cell r="H59">
            <v>0</v>
          </cell>
          <cell r="I59">
            <v>0</v>
          </cell>
          <cell r="J59">
            <v>0</v>
          </cell>
          <cell r="K59" t="str">
            <v>5</v>
          </cell>
          <cell r="L59">
            <v>0</v>
          </cell>
          <cell r="M59">
            <v>0</v>
          </cell>
          <cell r="N59">
            <v>-146181637.85000002</v>
          </cell>
          <cell r="O59">
            <v>0</v>
          </cell>
          <cell r="P59">
            <v>-120408313.43000001</v>
          </cell>
          <cell r="Q59">
            <v>-25477768.870000001</v>
          </cell>
          <cell r="R59">
            <v>0</v>
          </cell>
          <cell r="S59">
            <v>-295555.55</v>
          </cell>
          <cell r="T59">
            <v>0</v>
          </cell>
          <cell r="U59">
            <v>0</v>
          </cell>
        </row>
        <row r="60">
          <cell r="A60">
            <v>39082</v>
          </cell>
          <cell r="B60" t="str">
            <v>Customer Advances</v>
          </cell>
          <cell r="C60">
            <v>0</v>
          </cell>
          <cell r="D60" t="str">
            <v>AAH</v>
          </cell>
          <cell r="E60" t="str">
            <v>Housing Loan --- Public</v>
          </cell>
          <cell r="F60" t="str">
            <v>Total Interest Income</v>
          </cell>
          <cell r="G60" t="str">
            <v>5012107</v>
          </cell>
          <cell r="H60">
            <v>0</v>
          </cell>
          <cell r="I60">
            <v>0</v>
          </cell>
          <cell r="J60">
            <v>0</v>
          </cell>
          <cell r="K60" t="str">
            <v>5</v>
          </cell>
          <cell r="L60">
            <v>0</v>
          </cell>
          <cell r="M60">
            <v>0</v>
          </cell>
          <cell r="N60">
            <v>-1085756.96</v>
          </cell>
          <cell r="O60">
            <v>0</v>
          </cell>
          <cell r="P60">
            <v>0</v>
          </cell>
          <cell r="Q60">
            <v>-612759.69999999995</v>
          </cell>
          <cell r="R60">
            <v>0</v>
          </cell>
          <cell r="S60">
            <v>-454997.26</v>
          </cell>
          <cell r="T60">
            <v>0</v>
          </cell>
          <cell r="U60">
            <v>0</v>
          </cell>
        </row>
        <row r="61">
          <cell r="A61">
            <v>39082</v>
          </cell>
          <cell r="B61" t="str">
            <v>Customer Advances</v>
          </cell>
          <cell r="C61">
            <v>0</v>
          </cell>
          <cell r="D61" t="str">
            <v>AAJ</v>
          </cell>
          <cell r="E61" t="str">
            <v>SME Loans</v>
          </cell>
          <cell r="F61" t="str">
            <v>Total Interest Income</v>
          </cell>
          <cell r="G61" t="str">
            <v>5012105</v>
          </cell>
          <cell r="H61">
            <v>0</v>
          </cell>
          <cell r="I61">
            <v>0</v>
          </cell>
          <cell r="J61">
            <v>0</v>
          </cell>
          <cell r="K61" t="str">
            <v>5</v>
          </cell>
          <cell r="L61">
            <v>0</v>
          </cell>
          <cell r="M61">
            <v>0</v>
          </cell>
          <cell r="N61">
            <v>-271141.49</v>
          </cell>
          <cell r="O61">
            <v>0</v>
          </cell>
          <cell r="P61">
            <v>-271141.49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</row>
        <row r="62">
          <cell r="A62">
            <v>39082</v>
          </cell>
          <cell r="B62" t="str">
            <v>Customer Advances</v>
          </cell>
          <cell r="C62">
            <v>0</v>
          </cell>
          <cell r="D62" t="str">
            <v>AAK</v>
          </cell>
          <cell r="E62" t="str">
            <v>Personal Loans</v>
          </cell>
          <cell r="F62" t="str">
            <v>Total Interest Income</v>
          </cell>
          <cell r="G62" t="str">
            <v>5012415</v>
          </cell>
          <cell r="H62">
            <v>0</v>
          </cell>
          <cell r="I62">
            <v>0</v>
          </cell>
          <cell r="J62">
            <v>0</v>
          </cell>
          <cell r="K62" t="str">
            <v>5</v>
          </cell>
          <cell r="L62">
            <v>0</v>
          </cell>
          <cell r="M62">
            <v>0</v>
          </cell>
          <cell r="N62">
            <v>-1038276.59</v>
          </cell>
          <cell r="O62">
            <v>0</v>
          </cell>
          <cell r="P62">
            <v>-42000</v>
          </cell>
          <cell r="Q62">
            <v>-19817.29</v>
          </cell>
          <cell r="R62">
            <v>0</v>
          </cell>
          <cell r="S62">
            <v>-911071.52</v>
          </cell>
          <cell r="T62">
            <v>0</v>
          </cell>
          <cell r="U62">
            <v>0</v>
          </cell>
        </row>
        <row r="63">
          <cell r="A63">
            <v>39082</v>
          </cell>
          <cell r="B63" t="str">
            <v>Customer Advances</v>
          </cell>
          <cell r="C63">
            <v>0</v>
          </cell>
          <cell r="D63" t="str">
            <v>AAL</v>
          </cell>
          <cell r="E63" t="str">
            <v>Overdrafts</v>
          </cell>
          <cell r="F63" t="str">
            <v>Total Interest Income</v>
          </cell>
          <cell r="G63" t="str">
            <v>5011100</v>
          </cell>
          <cell r="H63">
            <v>0</v>
          </cell>
          <cell r="I63">
            <v>0</v>
          </cell>
          <cell r="J63">
            <v>0</v>
          </cell>
          <cell r="K63" t="str">
            <v>5</v>
          </cell>
          <cell r="L63">
            <v>0</v>
          </cell>
          <cell r="M63">
            <v>0</v>
          </cell>
          <cell r="N63">
            <v>-199049352.92000002</v>
          </cell>
          <cell r="O63">
            <v>0</v>
          </cell>
          <cell r="P63">
            <v>-161116756.37</v>
          </cell>
          <cell r="Q63">
            <v>-35074756.420000002</v>
          </cell>
          <cell r="R63">
            <v>0</v>
          </cell>
          <cell r="S63">
            <v>-1691934</v>
          </cell>
          <cell r="T63">
            <v>0</v>
          </cell>
          <cell r="U63">
            <v>0</v>
          </cell>
        </row>
        <row r="64">
          <cell r="A64">
            <v>39082</v>
          </cell>
          <cell r="B64" t="str">
            <v>Customer Advances</v>
          </cell>
          <cell r="C64">
            <v>0</v>
          </cell>
          <cell r="D64" t="str">
            <v>AAL</v>
          </cell>
          <cell r="E64" t="str">
            <v>Overdrafts</v>
          </cell>
          <cell r="F64" t="str">
            <v>Total Interest Income</v>
          </cell>
          <cell r="G64" t="str">
            <v>5011110</v>
          </cell>
          <cell r="H64">
            <v>0</v>
          </cell>
          <cell r="I64">
            <v>0</v>
          </cell>
          <cell r="J64">
            <v>0</v>
          </cell>
          <cell r="K64" t="str">
            <v>5</v>
          </cell>
          <cell r="L64">
            <v>0</v>
          </cell>
          <cell r="M64">
            <v>0</v>
          </cell>
          <cell r="N64">
            <v>-26237614.210000001</v>
          </cell>
          <cell r="O64">
            <v>0</v>
          </cell>
          <cell r="P64">
            <v>-21990320.550000001</v>
          </cell>
          <cell r="Q64">
            <v>-3694705.57</v>
          </cell>
          <cell r="R64">
            <v>0</v>
          </cell>
          <cell r="S64">
            <v>-393146.99</v>
          </cell>
          <cell r="T64">
            <v>0</v>
          </cell>
          <cell r="U64">
            <v>0</v>
          </cell>
        </row>
        <row r="65">
          <cell r="A65">
            <v>39082</v>
          </cell>
          <cell r="B65" t="str">
            <v>Customer Advances</v>
          </cell>
          <cell r="C65">
            <v>0</v>
          </cell>
          <cell r="D65" t="str">
            <v>AAO</v>
          </cell>
          <cell r="E65" t="str">
            <v>Export Bills Purchased</v>
          </cell>
          <cell r="F65" t="str">
            <v>Total Interest Income</v>
          </cell>
          <cell r="G65" t="str">
            <v>5012800</v>
          </cell>
          <cell r="H65">
            <v>0</v>
          </cell>
          <cell r="I65">
            <v>0</v>
          </cell>
          <cell r="J65">
            <v>0</v>
          </cell>
          <cell r="K65" t="str">
            <v>5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</row>
        <row r="66">
          <cell r="A66">
            <v>39082</v>
          </cell>
          <cell r="B66" t="str">
            <v>Customer Advances</v>
          </cell>
          <cell r="C66">
            <v>0</v>
          </cell>
          <cell r="D66" t="str">
            <v>AAP</v>
          </cell>
          <cell r="E66" t="str">
            <v>Staff Loans</v>
          </cell>
          <cell r="F66" t="str">
            <v>Total Interest Income</v>
          </cell>
          <cell r="G66" t="str">
            <v>5012310</v>
          </cell>
          <cell r="H66">
            <v>0</v>
          </cell>
          <cell r="I66">
            <v>0</v>
          </cell>
          <cell r="J66">
            <v>0</v>
          </cell>
          <cell r="K66" t="str">
            <v>5</v>
          </cell>
          <cell r="L66">
            <v>0</v>
          </cell>
          <cell r="M66">
            <v>0</v>
          </cell>
          <cell r="N66">
            <v>-634492.4</v>
          </cell>
          <cell r="O66">
            <v>0</v>
          </cell>
          <cell r="P66">
            <v>-634492.4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</row>
        <row r="67">
          <cell r="A67">
            <v>39082</v>
          </cell>
          <cell r="B67" t="str">
            <v>Customer Advances</v>
          </cell>
          <cell r="C67">
            <v>0</v>
          </cell>
          <cell r="D67" t="str">
            <v>AAP</v>
          </cell>
          <cell r="E67" t="str">
            <v>Staff Loans</v>
          </cell>
          <cell r="F67" t="str">
            <v>Total Interest Income</v>
          </cell>
          <cell r="G67" t="str">
            <v>5012335</v>
          </cell>
          <cell r="H67">
            <v>0</v>
          </cell>
          <cell r="I67">
            <v>0</v>
          </cell>
          <cell r="J67">
            <v>0</v>
          </cell>
          <cell r="K67" t="str">
            <v>5</v>
          </cell>
          <cell r="L67">
            <v>0</v>
          </cell>
          <cell r="M67">
            <v>0</v>
          </cell>
          <cell r="N67">
            <v>-337918.1</v>
          </cell>
          <cell r="O67">
            <v>0</v>
          </cell>
          <cell r="P67">
            <v>-337918.1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</row>
        <row r="68">
          <cell r="A68">
            <v>39082</v>
          </cell>
          <cell r="B68" t="str">
            <v>Customer Advances</v>
          </cell>
          <cell r="C68">
            <v>0</v>
          </cell>
          <cell r="D68" t="str">
            <v>AAP</v>
          </cell>
          <cell r="E68" t="str">
            <v>Staff Loans</v>
          </cell>
          <cell r="F68" t="str">
            <v>Total Interest Income</v>
          </cell>
          <cell r="G68" t="str">
            <v>5015300</v>
          </cell>
          <cell r="H68">
            <v>0</v>
          </cell>
          <cell r="I68">
            <v>0</v>
          </cell>
          <cell r="J68">
            <v>0</v>
          </cell>
          <cell r="K68" t="str">
            <v>5</v>
          </cell>
          <cell r="L68">
            <v>0</v>
          </cell>
          <cell r="M68">
            <v>0</v>
          </cell>
          <cell r="N68">
            <v>-975005.04</v>
          </cell>
          <cell r="O68">
            <v>0</v>
          </cell>
          <cell r="P68">
            <v>-975005.04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</row>
        <row r="69">
          <cell r="A69">
            <v>39082</v>
          </cell>
          <cell r="B69" t="str">
            <v>Depreciation on Fixed Assets</v>
          </cell>
          <cell r="C69">
            <v>0</v>
          </cell>
          <cell r="D69" t="str">
            <v>NAB</v>
          </cell>
          <cell r="E69" t="str">
            <v>Office Furniture and Equipment</v>
          </cell>
          <cell r="F69" t="str">
            <v>Total Charges</v>
          </cell>
          <cell r="G69" t="str">
            <v>7051120</v>
          </cell>
          <cell r="H69">
            <v>0</v>
          </cell>
          <cell r="I69">
            <v>0</v>
          </cell>
          <cell r="J69">
            <v>0</v>
          </cell>
          <cell r="K69" t="str">
            <v>7</v>
          </cell>
          <cell r="L69">
            <v>0</v>
          </cell>
          <cell r="M69">
            <v>0</v>
          </cell>
          <cell r="N69">
            <v>2662979.2599999998</v>
          </cell>
          <cell r="O69">
            <v>278217.03999999998</v>
          </cell>
          <cell r="P69">
            <v>561440.06999999995</v>
          </cell>
          <cell r="Q69">
            <v>289409.86</v>
          </cell>
          <cell r="R69">
            <v>0</v>
          </cell>
          <cell r="S69">
            <v>601920.44999999995</v>
          </cell>
          <cell r="T69">
            <v>0</v>
          </cell>
          <cell r="U69">
            <v>12000</v>
          </cell>
        </row>
        <row r="70">
          <cell r="A70">
            <v>39082</v>
          </cell>
          <cell r="B70" t="str">
            <v>Depreciation on Fixed Assets</v>
          </cell>
          <cell r="C70">
            <v>0</v>
          </cell>
          <cell r="D70" t="str">
            <v>NAB</v>
          </cell>
          <cell r="E70" t="str">
            <v>Office Furniture and Equipment</v>
          </cell>
          <cell r="F70" t="str">
            <v>Total Charges</v>
          </cell>
          <cell r="G70" t="str">
            <v>7051130</v>
          </cell>
          <cell r="H70">
            <v>0</v>
          </cell>
          <cell r="I70">
            <v>0</v>
          </cell>
          <cell r="J70">
            <v>0</v>
          </cell>
          <cell r="K70" t="str">
            <v>7</v>
          </cell>
          <cell r="L70">
            <v>0</v>
          </cell>
          <cell r="M70">
            <v>0</v>
          </cell>
          <cell r="N70">
            <v>2327812.7400000002</v>
          </cell>
          <cell r="O70">
            <v>59585.97</v>
          </cell>
          <cell r="P70">
            <v>218664.07</v>
          </cell>
          <cell r="Q70">
            <v>335354.2</v>
          </cell>
          <cell r="R70">
            <v>0</v>
          </cell>
          <cell r="S70">
            <v>608342.16</v>
          </cell>
          <cell r="T70">
            <v>0</v>
          </cell>
          <cell r="U70">
            <v>12000</v>
          </cell>
        </row>
        <row r="71">
          <cell r="A71">
            <v>39082</v>
          </cell>
          <cell r="B71" t="str">
            <v>Depreciation on Fixed Assets</v>
          </cell>
          <cell r="C71">
            <v>0</v>
          </cell>
          <cell r="D71" t="str">
            <v>NAC</v>
          </cell>
          <cell r="E71" t="str">
            <v>House Furniture &amp; Equipment</v>
          </cell>
          <cell r="F71" t="str">
            <v>Total Charges</v>
          </cell>
          <cell r="G71" t="str">
            <v>7051140</v>
          </cell>
          <cell r="H71">
            <v>0</v>
          </cell>
          <cell r="I71">
            <v>0</v>
          </cell>
          <cell r="J71">
            <v>0</v>
          </cell>
          <cell r="K71" t="str">
            <v>7</v>
          </cell>
          <cell r="L71">
            <v>0</v>
          </cell>
          <cell r="M71">
            <v>0</v>
          </cell>
          <cell r="N71">
            <v>48430.44</v>
          </cell>
          <cell r="O71">
            <v>29248.34</v>
          </cell>
          <cell r="P71">
            <v>0</v>
          </cell>
          <cell r="Q71">
            <v>19182.099999999999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</row>
        <row r="72">
          <cell r="A72">
            <v>39082</v>
          </cell>
          <cell r="B72" t="str">
            <v>Depreciation on Fixed Assets</v>
          </cell>
          <cell r="C72">
            <v>0</v>
          </cell>
          <cell r="D72" t="str">
            <v>NAC</v>
          </cell>
          <cell r="E72" t="str">
            <v>House Furniture &amp; Equipment</v>
          </cell>
          <cell r="F72" t="str">
            <v>Total Charges</v>
          </cell>
          <cell r="G72" t="str">
            <v>7051145</v>
          </cell>
          <cell r="H72">
            <v>0</v>
          </cell>
          <cell r="I72">
            <v>0</v>
          </cell>
          <cell r="J72">
            <v>0</v>
          </cell>
          <cell r="K72" t="str">
            <v>7</v>
          </cell>
          <cell r="L72">
            <v>0</v>
          </cell>
          <cell r="M72">
            <v>0</v>
          </cell>
          <cell r="N72">
            <v>17052.96</v>
          </cell>
          <cell r="O72">
            <v>17052.96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</row>
        <row r="73">
          <cell r="A73">
            <v>39082</v>
          </cell>
          <cell r="B73" t="str">
            <v>Depreciation on Fixed Assets</v>
          </cell>
          <cell r="C73">
            <v>0</v>
          </cell>
          <cell r="D73" t="str">
            <v>NAE</v>
          </cell>
          <cell r="E73" t="str">
            <v>Computer Equipment</v>
          </cell>
          <cell r="F73" t="str">
            <v>Total Charges</v>
          </cell>
          <cell r="G73" t="str">
            <v>7051160</v>
          </cell>
          <cell r="H73">
            <v>0</v>
          </cell>
          <cell r="I73">
            <v>0</v>
          </cell>
          <cell r="J73">
            <v>0</v>
          </cell>
          <cell r="K73" t="str">
            <v>7</v>
          </cell>
          <cell r="L73">
            <v>0</v>
          </cell>
          <cell r="M73">
            <v>0</v>
          </cell>
          <cell r="N73">
            <v>2941442.05</v>
          </cell>
          <cell r="O73">
            <v>253893.94</v>
          </cell>
          <cell r="P73">
            <v>281746.86</v>
          </cell>
          <cell r="Q73">
            <v>498345.67</v>
          </cell>
          <cell r="R73">
            <v>0</v>
          </cell>
          <cell r="S73">
            <v>832437.45</v>
          </cell>
          <cell r="T73">
            <v>0</v>
          </cell>
          <cell r="U73">
            <v>24000</v>
          </cell>
        </row>
        <row r="74">
          <cell r="A74">
            <v>39082</v>
          </cell>
          <cell r="B74" t="str">
            <v>Depreciation on Fixed Assets</v>
          </cell>
          <cell r="C74">
            <v>0</v>
          </cell>
          <cell r="D74" t="str">
            <v>NAF</v>
          </cell>
          <cell r="E74" t="str">
            <v>Bank Vehicles</v>
          </cell>
          <cell r="F74" t="str">
            <v>Total Charges</v>
          </cell>
          <cell r="G74" t="str">
            <v>7051200</v>
          </cell>
          <cell r="H74">
            <v>0</v>
          </cell>
          <cell r="I74">
            <v>0</v>
          </cell>
          <cell r="J74">
            <v>0</v>
          </cell>
          <cell r="K74" t="str">
            <v>7</v>
          </cell>
          <cell r="L74">
            <v>0</v>
          </cell>
          <cell r="M74">
            <v>0</v>
          </cell>
          <cell r="N74">
            <v>274400.02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</row>
        <row r="75">
          <cell r="A75">
            <v>39082</v>
          </cell>
          <cell r="B75" t="str">
            <v>Establishment Charges</v>
          </cell>
          <cell r="C75">
            <v>0</v>
          </cell>
          <cell r="D75" t="str">
            <v>LAA</v>
          </cell>
          <cell r="E75" t="str">
            <v>Lease Rent</v>
          </cell>
          <cell r="F75" t="str">
            <v>Total Charges</v>
          </cell>
          <cell r="G75" t="str">
            <v>7041131</v>
          </cell>
          <cell r="H75">
            <v>0</v>
          </cell>
          <cell r="I75">
            <v>0</v>
          </cell>
          <cell r="J75">
            <v>0</v>
          </cell>
          <cell r="K75" t="str">
            <v>7</v>
          </cell>
          <cell r="L75">
            <v>0</v>
          </cell>
          <cell r="M75">
            <v>0</v>
          </cell>
          <cell r="N75">
            <v>3282920.03</v>
          </cell>
          <cell r="O75">
            <v>2897908.04</v>
          </cell>
          <cell r="P75">
            <v>0</v>
          </cell>
          <cell r="Q75">
            <v>385011.99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</row>
        <row r="76">
          <cell r="A76">
            <v>39082</v>
          </cell>
          <cell r="B76" t="str">
            <v>Establishment Charges</v>
          </cell>
          <cell r="C76">
            <v>0</v>
          </cell>
          <cell r="D76" t="str">
            <v>LAA</v>
          </cell>
          <cell r="E76" t="str">
            <v>Lease Rent</v>
          </cell>
          <cell r="F76" t="str">
            <v>Total Charges</v>
          </cell>
          <cell r="G76" t="str">
            <v>7062245</v>
          </cell>
          <cell r="H76">
            <v>0</v>
          </cell>
          <cell r="I76">
            <v>0</v>
          </cell>
          <cell r="J76">
            <v>0</v>
          </cell>
          <cell r="K76" t="str">
            <v>7</v>
          </cell>
          <cell r="L76">
            <v>0</v>
          </cell>
          <cell r="M76">
            <v>0</v>
          </cell>
          <cell r="N76">
            <v>1495456.03</v>
          </cell>
          <cell r="O76">
            <v>976235.2</v>
          </cell>
          <cell r="P76">
            <v>52298.32</v>
          </cell>
          <cell r="Q76">
            <v>466922.51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</row>
        <row r="77">
          <cell r="A77">
            <v>39082</v>
          </cell>
          <cell r="B77" t="str">
            <v>Establishment Charges</v>
          </cell>
          <cell r="C77">
            <v>0</v>
          </cell>
          <cell r="D77" t="str">
            <v>LAA</v>
          </cell>
          <cell r="E77" t="str">
            <v>Lease Rent</v>
          </cell>
          <cell r="F77" t="str">
            <v>Total Charges</v>
          </cell>
          <cell r="G77" t="str">
            <v>7062255</v>
          </cell>
          <cell r="H77">
            <v>0</v>
          </cell>
          <cell r="I77">
            <v>0</v>
          </cell>
          <cell r="J77">
            <v>0</v>
          </cell>
          <cell r="K77" t="str">
            <v>7</v>
          </cell>
          <cell r="L77">
            <v>0</v>
          </cell>
          <cell r="M77">
            <v>0</v>
          </cell>
          <cell r="N77">
            <v>5666026.9199999999</v>
          </cell>
          <cell r="O77">
            <v>2498726.66</v>
          </cell>
          <cell r="P77">
            <v>2766447.38</v>
          </cell>
          <cell r="Q77">
            <v>400852.88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</row>
        <row r="78">
          <cell r="A78">
            <v>39082</v>
          </cell>
          <cell r="B78" t="str">
            <v>Establishment Charges</v>
          </cell>
          <cell r="C78">
            <v>0</v>
          </cell>
          <cell r="D78" t="str">
            <v>LAB</v>
          </cell>
          <cell r="E78" t="str">
            <v>Electricity</v>
          </cell>
          <cell r="F78" t="str">
            <v>Total Charges</v>
          </cell>
          <cell r="G78" t="str">
            <v>7031110</v>
          </cell>
          <cell r="H78">
            <v>0</v>
          </cell>
          <cell r="I78">
            <v>0</v>
          </cell>
          <cell r="J78">
            <v>0</v>
          </cell>
          <cell r="K78" t="str">
            <v>7</v>
          </cell>
          <cell r="L78">
            <v>0</v>
          </cell>
          <cell r="M78">
            <v>0</v>
          </cell>
          <cell r="N78">
            <v>3278604</v>
          </cell>
          <cell r="O78">
            <v>627444.44999999995</v>
          </cell>
          <cell r="P78">
            <v>1245239.55</v>
          </cell>
          <cell r="Q78">
            <v>595022</v>
          </cell>
          <cell r="R78">
            <v>0</v>
          </cell>
          <cell r="S78">
            <v>304577</v>
          </cell>
          <cell r="T78">
            <v>0</v>
          </cell>
          <cell r="U78">
            <v>0</v>
          </cell>
        </row>
        <row r="79">
          <cell r="A79">
            <v>39082</v>
          </cell>
          <cell r="B79" t="str">
            <v>Establishment Charges</v>
          </cell>
          <cell r="C79">
            <v>0</v>
          </cell>
          <cell r="D79" t="str">
            <v>LAB</v>
          </cell>
          <cell r="E79" t="str">
            <v>Electricity</v>
          </cell>
          <cell r="F79" t="str">
            <v>Total Charges</v>
          </cell>
          <cell r="G79" t="str">
            <v>7031115</v>
          </cell>
          <cell r="H79">
            <v>0</v>
          </cell>
          <cell r="I79">
            <v>0</v>
          </cell>
          <cell r="J79">
            <v>0</v>
          </cell>
          <cell r="K79" t="str">
            <v>7</v>
          </cell>
          <cell r="L79">
            <v>0</v>
          </cell>
          <cell r="M79">
            <v>0</v>
          </cell>
          <cell r="N79">
            <v>442571</v>
          </cell>
          <cell r="O79">
            <v>418847</v>
          </cell>
          <cell r="P79">
            <v>0</v>
          </cell>
          <cell r="Q79">
            <v>23724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</row>
        <row r="80">
          <cell r="A80">
            <v>39082</v>
          </cell>
          <cell r="B80" t="str">
            <v>Establishment Charges</v>
          </cell>
          <cell r="C80">
            <v>0</v>
          </cell>
          <cell r="D80" t="str">
            <v>LAC</v>
          </cell>
          <cell r="E80" t="str">
            <v>Rent, Rates &amp; Taxes</v>
          </cell>
          <cell r="F80" t="str">
            <v>Total Charges</v>
          </cell>
          <cell r="G80" t="str">
            <v>7031100</v>
          </cell>
          <cell r="H80">
            <v>0</v>
          </cell>
          <cell r="I80">
            <v>0</v>
          </cell>
          <cell r="J80">
            <v>0</v>
          </cell>
          <cell r="K80" t="str">
            <v>7</v>
          </cell>
          <cell r="L80">
            <v>0</v>
          </cell>
          <cell r="M80">
            <v>0</v>
          </cell>
          <cell r="N80">
            <v>16963252.310000002</v>
          </cell>
          <cell r="O80">
            <v>2947275.15</v>
          </cell>
          <cell r="P80">
            <v>5947580.8499999996</v>
          </cell>
          <cell r="Q80">
            <v>2438400</v>
          </cell>
          <cell r="R80">
            <v>0</v>
          </cell>
          <cell r="S80">
            <v>3101697</v>
          </cell>
          <cell r="T80">
            <v>23899.31</v>
          </cell>
          <cell r="U80">
            <v>420000</v>
          </cell>
        </row>
        <row r="81">
          <cell r="A81">
            <v>39082</v>
          </cell>
          <cell r="B81" t="str">
            <v>Establishment Charges</v>
          </cell>
          <cell r="C81">
            <v>0</v>
          </cell>
          <cell r="D81" t="str">
            <v>LAC</v>
          </cell>
          <cell r="E81" t="str">
            <v>Rent, Rates &amp; Taxes</v>
          </cell>
          <cell r="F81" t="str">
            <v>Total Charges</v>
          </cell>
          <cell r="G81" t="str">
            <v>7031105</v>
          </cell>
          <cell r="H81">
            <v>0</v>
          </cell>
          <cell r="I81">
            <v>0</v>
          </cell>
          <cell r="J81">
            <v>0</v>
          </cell>
          <cell r="K81" t="str">
            <v>7</v>
          </cell>
          <cell r="L81">
            <v>0</v>
          </cell>
          <cell r="M81">
            <v>0</v>
          </cell>
          <cell r="N81">
            <v>1045500</v>
          </cell>
          <cell r="O81">
            <v>1023000</v>
          </cell>
          <cell r="P81">
            <v>0</v>
          </cell>
          <cell r="Q81">
            <v>22500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</row>
        <row r="82">
          <cell r="A82">
            <v>39082</v>
          </cell>
          <cell r="B82" t="str">
            <v>Establishment Charges</v>
          </cell>
          <cell r="C82">
            <v>0</v>
          </cell>
          <cell r="D82" t="str">
            <v>LAD</v>
          </cell>
          <cell r="E82" t="str">
            <v>Telephones</v>
          </cell>
          <cell r="F82" t="str">
            <v>Total Charges</v>
          </cell>
          <cell r="G82" t="str">
            <v>7031120</v>
          </cell>
          <cell r="H82">
            <v>0</v>
          </cell>
          <cell r="I82">
            <v>0</v>
          </cell>
          <cell r="J82">
            <v>0</v>
          </cell>
          <cell r="K82" t="str">
            <v>7</v>
          </cell>
          <cell r="L82">
            <v>0</v>
          </cell>
          <cell r="M82">
            <v>0</v>
          </cell>
          <cell r="N82">
            <v>1814069.11</v>
          </cell>
          <cell r="O82">
            <v>855846.67</v>
          </cell>
          <cell r="P82">
            <v>283343.44</v>
          </cell>
          <cell r="Q82">
            <v>346099.99</v>
          </cell>
          <cell r="R82">
            <v>0</v>
          </cell>
          <cell r="S82">
            <v>90145.22</v>
          </cell>
          <cell r="T82">
            <v>10000</v>
          </cell>
          <cell r="U82">
            <v>11070</v>
          </cell>
        </row>
        <row r="83">
          <cell r="A83">
            <v>39082</v>
          </cell>
          <cell r="B83" t="str">
            <v>Establishment Charges</v>
          </cell>
          <cell r="C83">
            <v>0</v>
          </cell>
          <cell r="D83" t="str">
            <v>LAD</v>
          </cell>
          <cell r="E83" t="str">
            <v>Telephones</v>
          </cell>
          <cell r="F83" t="str">
            <v>Total Charges</v>
          </cell>
          <cell r="G83" t="str">
            <v>7031121</v>
          </cell>
          <cell r="H83">
            <v>0</v>
          </cell>
          <cell r="I83">
            <v>0</v>
          </cell>
          <cell r="J83">
            <v>0</v>
          </cell>
          <cell r="K83" t="str">
            <v>7</v>
          </cell>
          <cell r="L83">
            <v>0</v>
          </cell>
          <cell r="M83">
            <v>0</v>
          </cell>
          <cell r="N83">
            <v>179483.58</v>
          </cell>
          <cell r="O83">
            <v>167272.07999999999</v>
          </cell>
          <cell r="P83">
            <v>1121.5</v>
          </cell>
          <cell r="Q83">
            <v>11090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</row>
        <row r="84">
          <cell r="A84">
            <v>39082</v>
          </cell>
          <cell r="B84" t="str">
            <v>Establishment Charges</v>
          </cell>
          <cell r="C84">
            <v>0</v>
          </cell>
          <cell r="D84" t="str">
            <v>LAE</v>
          </cell>
          <cell r="E84" t="str">
            <v>Security Services</v>
          </cell>
          <cell r="F84" t="str">
            <v>Total Charges</v>
          </cell>
          <cell r="G84" t="str">
            <v>7031130</v>
          </cell>
          <cell r="H84">
            <v>0</v>
          </cell>
          <cell r="I84">
            <v>0</v>
          </cell>
          <cell r="J84">
            <v>0</v>
          </cell>
          <cell r="K84" t="str">
            <v>7</v>
          </cell>
          <cell r="L84">
            <v>0</v>
          </cell>
          <cell r="M84">
            <v>0</v>
          </cell>
          <cell r="N84">
            <v>2545442.0699999998</v>
          </cell>
          <cell r="O84">
            <v>585001.63</v>
          </cell>
          <cell r="P84">
            <v>647680.37</v>
          </cell>
          <cell r="Q84">
            <v>606395.91</v>
          </cell>
          <cell r="R84">
            <v>0</v>
          </cell>
          <cell r="S84">
            <v>456201.72</v>
          </cell>
          <cell r="T84">
            <v>0</v>
          </cell>
          <cell r="U84">
            <v>0</v>
          </cell>
        </row>
        <row r="85">
          <cell r="A85">
            <v>39082</v>
          </cell>
          <cell r="B85" t="str">
            <v>Establishment Charges</v>
          </cell>
          <cell r="C85">
            <v>0</v>
          </cell>
          <cell r="D85" t="str">
            <v>LAF</v>
          </cell>
          <cell r="E85" t="str">
            <v>Insurance</v>
          </cell>
          <cell r="F85" t="str">
            <v>Total Charges</v>
          </cell>
          <cell r="G85" t="str">
            <v>7031140</v>
          </cell>
          <cell r="H85">
            <v>0</v>
          </cell>
          <cell r="I85">
            <v>0</v>
          </cell>
          <cell r="J85">
            <v>0</v>
          </cell>
          <cell r="K85" t="str">
            <v>7</v>
          </cell>
          <cell r="L85">
            <v>0</v>
          </cell>
          <cell r="M85">
            <v>0</v>
          </cell>
          <cell r="N85">
            <v>5622506.4600000009</v>
          </cell>
          <cell r="O85">
            <v>1928697.12</v>
          </cell>
          <cell r="P85">
            <v>2135343.23</v>
          </cell>
          <cell r="Q85">
            <v>1198886.6299999999</v>
          </cell>
          <cell r="R85">
            <v>0</v>
          </cell>
          <cell r="S85">
            <v>272673.48</v>
          </cell>
          <cell r="T85">
            <v>0</v>
          </cell>
          <cell r="U85">
            <v>8450</v>
          </cell>
        </row>
        <row r="86">
          <cell r="A86">
            <v>39082</v>
          </cell>
          <cell r="B86" t="str">
            <v>Establishment Charges</v>
          </cell>
          <cell r="C86">
            <v>0</v>
          </cell>
          <cell r="D86" t="str">
            <v>LAG</v>
          </cell>
          <cell r="E86" t="str">
            <v>Water</v>
          </cell>
          <cell r="F86" t="str">
            <v>Total Charges</v>
          </cell>
          <cell r="G86" t="str">
            <v>7031125</v>
          </cell>
          <cell r="H86">
            <v>0</v>
          </cell>
          <cell r="I86">
            <v>0</v>
          </cell>
          <cell r="J86">
            <v>0</v>
          </cell>
          <cell r="K86" t="str">
            <v>7</v>
          </cell>
          <cell r="L86">
            <v>0</v>
          </cell>
          <cell r="M86">
            <v>0</v>
          </cell>
          <cell r="N86">
            <v>199805.06</v>
          </cell>
          <cell r="O86">
            <v>81869.63</v>
          </cell>
          <cell r="P86">
            <v>90641.37</v>
          </cell>
          <cell r="Q86">
            <v>15294.06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</row>
        <row r="87">
          <cell r="A87">
            <v>39082</v>
          </cell>
          <cell r="B87" t="str">
            <v>Establishment Charges</v>
          </cell>
          <cell r="C87">
            <v>0</v>
          </cell>
          <cell r="D87" t="str">
            <v>LAG</v>
          </cell>
          <cell r="E87" t="str">
            <v>Water</v>
          </cell>
          <cell r="F87" t="str">
            <v>Total Charges</v>
          </cell>
          <cell r="G87" t="str">
            <v>7031126</v>
          </cell>
          <cell r="H87">
            <v>0</v>
          </cell>
          <cell r="I87">
            <v>0</v>
          </cell>
          <cell r="J87">
            <v>0</v>
          </cell>
          <cell r="K87" t="str">
            <v>7</v>
          </cell>
          <cell r="L87">
            <v>0</v>
          </cell>
          <cell r="M87">
            <v>0</v>
          </cell>
          <cell r="N87">
            <v>19029</v>
          </cell>
          <cell r="O87">
            <v>19029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</row>
        <row r="88">
          <cell r="A88">
            <v>39082</v>
          </cell>
          <cell r="B88" t="str">
            <v>Exchange Profit</v>
          </cell>
          <cell r="C88">
            <v>0</v>
          </cell>
          <cell r="D88" t="str">
            <v>FAA</v>
          </cell>
          <cell r="E88" t="str">
            <v>Exchange Profit</v>
          </cell>
          <cell r="F88" t="str">
            <v>Exchange Profit</v>
          </cell>
          <cell r="G88" t="str">
            <v>5020000</v>
          </cell>
          <cell r="H88">
            <v>0</v>
          </cell>
          <cell r="I88">
            <v>0</v>
          </cell>
          <cell r="J88">
            <v>0</v>
          </cell>
          <cell r="K88" t="str">
            <v>5</v>
          </cell>
          <cell r="L88">
            <v>0</v>
          </cell>
          <cell r="M88">
            <v>0</v>
          </cell>
          <cell r="N88">
            <v>-245658068.91999999</v>
          </cell>
          <cell r="O88">
            <v>-92191.1</v>
          </cell>
          <cell r="P88">
            <v>-237381045.53999999</v>
          </cell>
          <cell r="Q88">
            <v>-8184832.2800000003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</row>
        <row r="89">
          <cell r="A89">
            <v>39082</v>
          </cell>
          <cell r="B89" t="str">
            <v>Exchange Profit</v>
          </cell>
          <cell r="C89">
            <v>0</v>
          </cell>
          <cell r="D89" t="str">
            <v>FAA</v>
          </cell>
          <cell r="E89" t="str">
            <v>Exchange Profit</v>
          </cell>
          <cell r="F89" t="str">
            <v>Exchange Profit</v>
          </cell>
          <cell r="G89" t="str">
            <v>5620000</v>
          </cell>
          <cell r="H89">
            <v>0</v>
          </cell>
          <cell r="I89">
            <v>0</v>
          </cell>
          <cell r="J89">
            <v>0</v>
          </cell>
          <cell r="K89" t="str">
            <v>5</v>
          </cell>
          <cell r="L89">
            <v>0</v>
          </cell>
          <cell r="M89">
            <v>0</v>
          </cell>
          <cell r="N89">
            <v>11972.88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11972.88</v>
          </cell>
        </row>
        <row r="90">
          <cell r="A90">
            <v>39082</v>
          </cell>
          <cell r="B90" t="str">
            <v>Investment Income</v>
          </cell>
          <cell r="C90">
            <v>0</v>
          </cell>
          <cell r="D90" t="str">
            <v>GAB</v>
          </cell>
          <cell r="E90" t="str">
            <v>Interest from IDLC. Bonds</v>
          </cell>
          <cell r="F90" t="str">
            <v>Investment Income</v>
          </cell>
          <cell r="G90" t="str">
            <v>5041410</v>
          </cell>
          <cell r="H90">
            <v>0</v>
          </cell>
          <cell r="I90">
            <v>0</v>
          </cell>
          <cell r="J90">
            <v>0</v>
          </cell>
          <cell r="K90" t="str">
            <v>5</v>
          </cell>
          <cell r="L90">
            <v>0</v>
          </cell>
          <cell r="M90">
            <v>0</v>
          </cell>
          <cell r="N90">
            <v>-2851547.5</v>
          </cell>
          <cell r="O90">
            <v>0</v>
          </cell>
          <cell r="P90">
            <v>-2851547.5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</row>
        <row r="91">
          <cell r="A91">
            <v>39082</v>
          </cell>
          <cell r="B91" t="str">
            <v>Less : Interest Paid on Deposits</v>
          </cell>
          <cell r="C91">
            <v>0</v>
          </cell>
          <cell r="D91" t="str">
            <v>CAB</v>
          </cell>
          <cell r="E91" t="str">
            <v>Fixed Deposits</v>
          </cell>
          <cell r="F91" t="str">
            <v>Total Interest Paid</v>
          </cell>
          <cell r="G91" t="str">
            <v>7011123</v>
          </cell>
          <cell r="H91">
            <v>0</v>
          </cell>
          <cell r="I91">
            <v>0</v>
          </cell>
          <cell r="J91">
            <v>0</v>
          </cell>
          <cell r="K91" t="str">
            <v>7</v>
          </cell>
          <cell r="L91">
            <v>0</v>
          </cell>
          <cell r="M91">
            <v>0</v>
          </cell>
          <cell r="N91">
            <v>94920630.569999993</v>
          </cell>
          <cell r="O91">
            <v>0</v>
          </cell>
          <cell r="P91">
            <v>70138803.480000004</v>
          </cell>
          <cell r="Q91">
            <v>18392622.449999999</v>
          </cell>
          <cell r="R91">
            <v>0</v>
          </cell>
          <cell r="S91">
            <v>5682784.1900000004</v>
          </cell>
          <cell r="T91">
            <v>0</v>
          </cell>
          <cell r="U91">
            <v>0</v>
          </cell>
        </row>
        <row r="92">
          <cell r="A92">
            <v>39082</v>
          </cell>
          <cell r="B92" t="str">
            <v>Less : Interest Paid on Deposits</v>
          </cell>
          <cell r="C92">
            <v>0</v>
          </cell>
          <cell r="D92" t="str">
            <v>CAB</v>
          </cell>
          <cell r="E92" t="str">
            <v>Fixed Deposits</v>
          </cell>
          <cell r="F92" t="str">
            <v>Total Interest Paid</v>
          </cell>
          <cell r="G92" t="str">
            <v>7011126</v>
          </cell>
          <cell r="H92">
            <v>0</v>
          </cell>
          <cell r="I92">
            <v>0</v>
          </cell>
          <cell r="J92">
            <v>0</v>
          </cell>
          <cell r="K92" t="str">
            <v>7</v>
          </cell>
          <cell r="L92">
            <v>0</v>
          </cell>
          <cell r="M92">
            <v>0</v>
          </cell>
          <cell r="N92">
            <v>49918371.849999994</v>
          </cell>
          <cell r="O92">
            <v>0</v>
          </cell>
          <cell r="P92">
            <v>30322811.420000002</v>
          </cell>
          <cell r="Q92">
            <v>11719953.27</v>
          </cell>
          <cell r="R92">
            <v>0</v>
          </cell>
          <cell r="S92">
            <v>2202540.33</v>
          </cell>
          <cell r="T92">
            <v>0</v>
          </cell>
          <cell r="U92">
            <v>0</v>
          </cell>
        </row>
        <row r="93">
          <cell r="A93">
            <v>39082</v>
          </cell>
          <cell r="B93" t="str">
            <v>Less : Interest Paid on Deposits</v>
          </cell>
          <cell r="C93">
            <v>0</v>
          </cell>
          <cell r="D93" t="str">
            <v>CAB</v>
          </cell>
          <cell r="E93" t="str">
            <v>Fixed Deposits</v>
          </cell>
          <cell r="F93" t="str">
            <v>Total Interest Paid</v>
          </cell>
          <cell r="G93" t="str">
            <v>7011128</v>
          </cell>
          <cell r="H93">
            <v>0</v>
          </cell>
          <cell r="I93">
            <v>0</v>
          </cell>
          <cell r="J93">
            <v>0</v>
          </cell>
          <cell r="K93" t="str">
            <v>7</v>
          </cell>
          <cell r="L93">
            <v>0</v>
          </cell>
          <cell r="M93">
            <v>0</v>
          </cell>
          <cell r="N93">
            <v>161322325.48000002</v>
          </cell>
          <cell r="O93">
            <v>0</v>
          </cell>
          <cell r="P93">
            <v>91249593.890000001</v>
          </cell>
          <cell r="Q93">
            <v>64721513.299999997</v>
          </cell>
          <cell r="R93">
            <v>0</v>
          </cell>
          <cell r="S93">
            <v>4658930.0199999996</v>
          </cell>
          <cell r="T93">
            <v>0</v>
          </cell>
          <cell r="U93">
            <v>0</v>
          </cell>
        </row>
        <row r="94">
          <cell r="A94">
            <v>39082</v>
          </cell>
          <cell r="B94" t="str">
            <v>Less : Interest Paid on Deposits</v>
          </cell>
          <cell r="C94">
            <v>0</v>
          </cell>
          <cell r="D94" t="str">
            <v>CAB</v>
          </cell>
          <cell r="E94" t="str">
            <v>Fixed Deposits</v>
          </cell>
          <cell r="F94" t="str">
            <v>Total Interest Paid</v>
          </cell>
          <cell r="G94" t="str">
            <v>7011129</v>
          </cell>
          <cell r="H94">
            <v>0</v>
          </cell>
          <cell r="I94">
            <v>0</v>
          </cell>
          <cell r="J94">
            <v>0</v>
          </cell>
          <cell r="K94" t="str">
            <v>7</v>
          </cell>
          <cell r="L94">
            <v>0</v>
          </cell>
          <cell r="M94">
            <v>0</v>
          </cell>
          <cell r="N94">
            <v>4089513.53</v>
          </cell>
          <cell r="O94">
            <v>0</v>
          </cell>
          <cell r="P94">
            <v>1885740.13</v>
          </cell>
          <cell r="Q94">
            <v>0</v>
          </cell>
          <cell r="R94">
            <v>0</v>
          </cell>
          <cell r="S94">
            <v>2064571.77</v>
          </cell>
          <cell r="T94">
            <v>0</v>
          </cell>
          <cell r="U94">
            <v>0</v>
          </cell>
        </row>
        <row r="95">
          <cell r="A95">
            <v>39082</v>
          </cell>
          <cell r="B95" t="str">
            <v>Less : Interest Paid on Deposits</v>
          </cell>
          <cell r="C95">
            <v>0</v>
          </cell>
          <cell r="D95" t="str">
            <v>CAC</v>
          </cell>
          <cell r="E95" t="str">
            <v>Notice Deposits (Short term deposits)</v>
          </cell>
          <cell r="F95" t="str">
            <v>Total Interest Paid</v>
          </cell>
          <cell r="G95" t="str">
            <v>7011140</v>
          </cell>
          <cell r="H95">
            <v>0</v>
          </cell>
          <cell r="I95">
            <v>0</v>
          </cell>
          <cell r="J95">
            <v>0</v>
          </cell>
          <cell r="K95" t="str">
            <v>7</v>
          </cell>
          <cell r="L95">
            <v>0</v>
          </cell>
          <cell r="M95">
            <v>0</v>
          </cell>
          <cell r="N95">
            <v>25982091.879999999</v>
          </cell>
          <cell r="O95">
            <v>0</v>
          </cell>
          <cell r="P95">
            <v>10217301.4</v>
          </cell>
          <cell r="Q95">
            <v>15659876.26</v>
          </cell>
          <cell r="R95">
            <v>0</v>
          </cell>
          <cell r="S95">
            <v>3277.89</v>
          </cell>
          <cell r="T95">
            <v>0</v>
          </cell>
          <cell r="U95">
            <v>0</v>
          </cell>
        </row>
        <row r="96">
          <cell r="A96">
            <v>39082</v>
          </cell>
          <cell r="B96" t="str">
            <v>Less : Interest Paid on Deposits</v>
          </cell>
          <cell r="C96">
            <v>0</v>
          </cell>
          <cell r="D96" t="str">
            <v>CAD</v>
          </cell>
          <cell r="E96" t="str">
            <v>Dream Planner Savings</v>
          </cell>
          <cell r="F96" t="str">
            <v>Total Interest Paid</v>
          </cell>
          <cell r="G96" t="str">
            <v>7011185</v>
          </cell>
          <cell r="H96">
            <v>0</v>
          </cell>
          <cell r="I96">
            <v>0</v>
          </cell>
          <cell r="J96">
            <v>0</v>
          </cell>
          <cell r="K96" t="str">
            <v>7</v>
          </cell>
          <cell r="L96">
            <v>0</v>
          </cell>
          <cell r="M96">
            <v>0</v>
          </cell>
          <cell r="N96">
            <v>580737.16</v>
          </cell>
          <cell r="O96">
            <v>0</v>
          </cell>
          <cell r="P96">
            <v>210704.33</v>
          </cell>
          <cell r="Q96">
            <v>209512.41</v>
          </cell>
          <cell r="R96">
            <v>0</v>
          </cell>
          <cell r="S96">
            <v>146201.20000000001</v>
          </cell>
          <cell r="T96">
            <v>0</v>
          </cell>
          <cell r="U96">
            <v>0</v>
          </cell>
        </row>
        <row r="97">
          <cell r="A97">
            <v>39082</v>
          </cell>
          <cell r="B97" t="str">
            <v>Less : Interest Paid on Deposits</v>
          </cell>
          <cell r="C97">
            <v>0</v>
          </cell>
          <cell r="D97" t="str">
            <v>CAE</v>
          </cell>
          <cell r="E97" t="str">
            <v>Lien Money Market</v>
          </cell>
          <cell r="F97" t="str">
            <v>Total Interest Paid</v>
          </cell>
          <cell r="G97" t="str">
            <v>7011230</v>
          </cell>
          <cell r="H97">
            <v>0</v>
          </cell>
          <cell r="I97">
            <v>0</v>
          </cell>
          <cell r="J97">
            <v>0</v>
          </cell>
          <cell r="K97" t="str">
            <v>7</v>
          </cell>
          <cell r="L97">
            <v>0</v>
          </cell>
          <cell r="M97">
            <v>0</v>
          </cell>
          <cell r="N97">
            <v>498773.34</v>
          </cell>
          <cell r="O97">
            <v>0</v>
          </cell>
          <cell r="P97">
            <v>498773.34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</row>
        <row r="98">
          <cell r="A98">
            <v>39082</v>
          </cell>
          <cell r="B98" t="str">
            <v>Less : Interest Paid on Deposits</v>
          </cell>
          <cell r="C98">
            <v>0</v>
          </cell>
          <cell r="D98" t="str">
            <v>CAF</v>
          </cell>
          <cell r="E98" t="str">
            <v>Shamriddhi Tier Savings</v>
          </cell>
          <cell r="F98" t="str">
            <v>Total Interest Paid</v>
          </cell>
          <cell r="G98" t="str">
            <v>7011188</v>
          </cell>
          <cell r="H98">
            <v>0</v>
          </cell>
          <cell r="I98">
            <v>0</v>
          </cell>
          <cell r="J98">
            <v>0</v>
          </cell>
          <cell r="K98" t="str">
            <v>7</v>
          </cell>
          <cell r="L98">
            <v>0</v>
          </cell>
          <cell r="M98">
            <v>0</v>
          </cell>
          <cell r="N98">
            <v>681957.12</v>
          </cell>
          <cell r="O98">
            <v>0</v>
          </cell>
          <cell r="P98">
            <v>442473.22</v>
          </cell>
          <cell r="Q98">
            <v>70109.84</v>
          </cell>
          <cell r="R98">
            <v>0</v>
          </cell>
          <cell r="S98">
            <v>156882.84</v>
          </cell>
          <cell r="T98">
            <v>0</v>
          </cell>
          <cell r="U98">
            <v>0</v>
          </cell>
        </row>
        <row r="99">
          <cell r="A99">
            <v>39082</v>
          </cell>
          <cell r="B99" t="str">
            <v>Less : Interest Paid on Deposits</v>
          </cell>
          <cell r="C99">
            <v>0</v>
          </cell>
          <cell r="D99" t="str">
            <v>CAG</v>
          </cell>
          <cell r="E99" t="str">
            <v>Savings Deposits</v>
          </cell>
          <cell r="F99" t="str">
            <v>Total Interest Paid</v>
          </cell>
          <cell r="G99" t="str">
            <v>7011170</v>
          </cell>
          <cell r="H99">
            <v>0</v>
          </cell>
          <cell r="I99">
            <v>0</v>
          </cell>
          <cell r="J99">
            <v>0</v>
          </cell>
          <cell r="K99" t="str">
            <v>7</v>
          </cell>
          <cell r="L99">
            <v>0</v>
          </cell>
          <cell r="M99">
            <v>0</v>
          </cell>
          <cell r="N99">
            <v>19744137.549999997</v>
          </cell>
          <cell r="O99">
            <v>0</v>
          </cell>
          <cell r="P99">
            <v>13472047.83</v>
          </cell>
          <cell r="Q99">
            <v>4095979</v>
          </cell>
          <cell r="R99">
            <v>0</v>
          </cell>
          <cell r="S99">
            <v>1608241.65</v>
          </cell>
          <cell r="T99">
            <v>0</v>
          </cell>
          <cell r="U99">
            <v>107700.17</v>
          </cell>
        </row>
        <row r="100">
          <cell r="A100">
            <v>39082</v>
          </cell>
          <cell r="B100" t="str">
            <v>Less : Interest Paid on Deposits</v>
          </cell>
          <cell r="C100">
            <v>0</v>
          </cell>
          <cell r="D100" t="str">
            <v>CAG</v>
          </cell>
          <cell r="E100" t="str">
            <v>Savings Deposits</v>
          </cell>
          <cell r="F100" t="str">
            <v>Total Interest Paid</v>
          </cell>
          <cell r="G100" t="str">
            <v>7011189</v>
          </cell>
          <cell r="H100">
            <v>0</v>
          </cell>
          <cell r="I100">
            <v>0</v>
          </cell>
          <cell r="J100">
            <v>0</v>
          </cell>
          <cell r="K100" t="str">
            <v>7</v>
          </cell>
          <cell r="L100">
            <v>0</v>
          </cell>
          <cell r="M100">
            <v>0</v>
          </cell>
          <cell r="N100">
            <v>3722.14</v>
          </cell>
          <cell r="O100">
            <v>0</v>
          </cell>
          <cell r="P100">
            <v>1206.43</v>
          </cell>
          <cell r="Q100">
            <v>446.43</v>
          </cell>
          <cell r="R100">
            <v>0</v>
          </cell>
          <cell r="S100">
            <v>1017.23</v>
          </cell>
          <cell r="T100">
            <v>0</v>
          </cell>
          <cell r="U100">
            <v>0</v>
          </cell>
        </row>
        <row r="101">
          <cell r="A101">
            <v>39082</v>
          </cell>
          <cell r="B101" t="str">
            <v>Less : Interest Paid on Deposits</v>
          </cell>
          <cell r="C101">
            <v>0</v>
          </cell>
          <cell r="D101" t="str">
            <v>CAI</v>
          </cell>
          <cell r="E101" t="str">
            <v>Fixed Deposit High 5</v>
          </cell>
          <cell r="F101" t="str">
            <v>Total Interest Paid</v>
          </cell>
          <cell r="G101" t="str">
            <v>7011130</v>
          </cell>
          <cell r="H101">
            <v>0</v>
          </cell>
          <cell r="I101">
            <v>0</v>
          </cell>
          <cell r="J101">
            <v>0</v>
          </cell>
          <cell r="K101" t="str">
            <v>7</v>
          </cell>
          <cell r="L101">
            <v>0</v>
          </cell>
          <cell r="M101">
            <v>0</v>
          </cell>
          <cell r="N101">
            <v>5110264.6100000003</v>
          </cell>
          <cell r="O101">
            <v>0</v>
          </cell>
          <cell r="P101">
            <v>2453240.75</v>
          </cell>
          <cell r="Q101">
            <v>948263.65</v>
          </cell>
          <cell r="R101">
            <v>0</v>
          </cell>
          <cell r="S101">
            <v>1112274.52</v>
          </cell>
          <cell r="T101">
            <v>0</v>
          </cell>
          <cell r="U101">
            <v>0</v>
          </cell>
        </row>
        <row r="102">
          <cell r="A102">
            <v>39082</v>
          </cell>
          <cell r="B102" t="str">
            <v>Less : Interest Paid on Deposits</v>
          </cell>
          <cell r="C102">
            <v>0</v>
          </cell>
          <cell r="D102" t="str">
            <v>CAK</v>
          </cell>
          <cell r="E102" t="str">
            <v>Foreign Currency Savings Plus</v>
          </cell>
          <cell r="F102" t="str">
            <v>Total Interest Paid</v>
          </cell>
          <cell r="G102" t="str">
            <v>7011195</v>
          </cell>
          <cell r="H102">
            <v>0</v>
          </cell>
          <cell r="I102">
            <v>0</v>
          </cell>
          <cell r="J102">
            <v>0</v>
          </cell>
          <cell r="K102" t="str">
            <v>7</v>
          </cell>
          <cell r="L102">
            <v>0</v>
          </cell>
          <cell r="M102">
            <v>0</v>
          </cell>
          <cell r="N102">
            <v>3633642.19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2329.9499999999998</v>
          </cell>
          <cell r="U102">
            <v>3631312.24</v>
          </cell>
        </row>
        <row r="103">
          <cell r="A103">
            <v>39082</v>
          </cell>
          <cell r="B103" t="str">
            <v>Less : Interest Paid on Deposits</v>
          </cell>
          <cell r="C103">
            <v>0</v>
          </cell>
          <cell r="D103" t="str">
            <v>CAL</v>
          </cell>
          <cell r="E103" t="str">
            <v>Foreign Currency Savings &amp; FD's</v>
          </cell>
          <cell r="F103" t="str">
            <v>Total Interest Paid</v>
          </cell>
          <cell r="G103" t="str">
            <v>7011172</v>
          </cell>
          <cell r="H103">
            <v>0</v>
          </cell>
          <cell r="I103">
            <v>0</v>
          </cell>
          <cell r="J103">
            <v>0</v>
          </cell>
          <cell r="K103" t="str">
            <v>7</v>
          </cell>
          <cell r="L103">
            <v>0</v>
          </cell>
          <cell r="M103">
            <v>0</v>
          </cell>
          <cell r="N103">
            <v>24344545.079999998</v>
          </cell>
          <cell r="O103">
            <v>0</v>
          </cell>
          <cell r="P103">
            <v>15819911.529999999</v>
          </cell>
          <cell r="Q103">
            <v>509249.44</v>
          </cell>
          <cell r="R103">
            <v>0</v>
          </cell>
          <cell r="S103">
            <v>56551.09</v>
          </cell>
          <cell r="T103">
            <v>2099132.81</v>
          </cell>
          <cell r="U103">
            <v>5859700.21</v>
          </cell>
        </row>
        <row r="104">
          <cell r="A104">
            <v>39082</v>
          </cell>
          <cell r="B104" t="str">
            <v>Less : Interest Paid on Deposits</v>
          </cell>
          <cell r="C104">
            <v>0</v>
          </cell>
          <cell r="D104" t="str">
            <v>CAM</v>
          </cell>
          <cell r="E104" t="str">
            <v>N.R.F.C. Deposits</v>
          </cell>
          <cell r="F104" t="str">
            <v>Total Interest Paid</v>
          </cell>
          <cell r="G104" t="str">
            <v>7011205</v>
          </cell>
          <cell r="H104">
            <v>0</v>
          </cell>
          <cell r="I104">
            <v>0</v>
          </cell>
          <cell r="J104">
            <v>0</v>
          </cell>
          <cell r="K104" t="str">
            <v>7</v>
          </cell>
          <cell r="L104">
            <v>0</v>
          </cell>
          <cell r="M104">
            <v>0</v>
          </cell>
          <cell r="N104">
            <v>4522467.88</v>
          </cell>
          <cell r="O104">
            <v>0</v>
          </cell>
          <cell r="P104">
            <v>2678169.84</v>
          </cell>
          <cell r="Q104">
            <v>1836967.17</v>
          </cell>
          <cell r="R104">
            <v>0</v>
          </cell>
          <cell r="S104">
            <v>7330.87</v>
          </cell>
          <cell r="T104">
            <v>0</v>
          </cell>
          <cell r="U104">
            <v>0</v>
          </cell>
        </row>
        <row r="105">
          <cell r="A105">
            <v>39082</v>
          </cell>
          <cell r="B105" t="str">
            <v>Less : Interest Paid on Deposits</v>
          </cell>
          <cell r="C105">
            <v>0</v>
          </cell>
          <cell r="D105" t="str">
            <v>CAN</v>
          </cell>
          <cell r="E105" t="str">
            <v>Money Market Accounts</v>
          </cell>
          <cell r="F105" t="str">
            <v>Total Interest Paid</v>
          </cell>
          <cell r="G105" t="str">
            <v>7011190</v>
          </cell>
          <cell r="H105">
            <v>0</v>
          </cell>
          <cell r="I105">
            <v>0</v>
          </cell>
          <cell r="J105">
            <v>0</v>
          </cell>
          <cell r="K105" t="str">
            <v>7</v>
          </cell>
          <cell r="L105">
            <v>0</v>
          </cell>
          <cell r="M105">
            <v>0</v>
          </cell>
          <cell r="N105">
            <v>30055401.199999999</v>
          </cell>
          <cell r="O105">
            <v>0</v>
          </cell>
          <cell r="P105">
            <v>13644216.710000001</v>
          </cell>
          <cell r="Q105">
            <v>3395534.37</v>
          </cell>
          <cell r="R105">
            <v>0</v>
          </cell>
          <cell r="S105">
            <v>12470260.59</v>
          </cell>
          <cell r="T105">
            <v>0</v>
          </cell>
          <cell r="U105">
            <v>0</v>
          </cell>
        </row>
        <row r="106">
          <cell r="A106">
            <v>39082</v>
          </cell>
          <cell r="B106" t="str">
            <v>Less : Interest Paid on Deposits</v>
          </cell>
          <cell r="C106">
            <v>0</v>
          </cell>
          <cell r="D106" t="str">
            <v>CAP</v>
          </cell>
          <cell r="E106" t="str">
            <v>Bonus Savings Deposits</v>
          </cell>
          <cell r="F106" t="str">
            <v>Total Interest Paid</v>
          </cell>
          <cell r="G106" t="str">
            <v>7011187</v>
          </cell>
          <cell r="H106">
            <v>0</v>
          </cell>
          <cell r="I106">
            <v>0</v>
          </cell>
          <cell r="J106">
            <v>0</v>
          </cell>
          <cell r="K106" t="str">
            <v>7</v>
          </cell>
          <cell r="L106">
            <v>0</v>
          </cell>
          <cell r="M106">
            <v>0</v>
          </cell>
          <cell r="N106">
            <v>6665416.5600000015</v>
          </cell>
          <cell r="O106">
            <v>0</v>
          </cell>
          <cell r="P106">
            <v>3366459.82</v>
          </cell>
          <cell r="Q106">
            <v>2880966.89</v>
          </cell>
          <cell r="R106">
            <v>0</v>
          </cell>
          <cell r="S106">
            <v>336730.21</v>
          </cell>
          <cell r="T106">
            <v>0</v>
          </cell>
          <cell r="U106">
            <v>0</v>
          </cell>
        </row>
        <row r="107">
          <cell r="A107">
            <v>39082</v>
          </cell>
          <cell r="B107" t="str">
            <v>LIABILITIES</v>
          </cell>
          <cell r="C107">
            <v>0</v>
          </cell>
          <cell r="D107" t="str">
            <v>JAA</v>
          </cell>
          <cell r="E107" t="str">
            <v>Current A/Cs</v>
          </cell>
          <cell r="F107" t="str">
            <v>CUSTOMER DEPOSITS</v>
          </cell>
          <cell r="G107" t="str">
            <v>2101000</v>
          </cell>
          <cell r="H107">
            <v>0</v>
          </cell>
          <cell r="I107">
            <v>0</v>
          </cell>
          <cell r="J107">
            <v>0</v>
          </cell>
          <cell r="K107" t="str">
            <v>2</v>
          </cell>
          <cell r="L107" t="str">
            <v>L</v>
          </cell>
          <cell r="M107" t="str">
            <v>J</v>
          </cell>
          <cell r="N107">
            <v>-738080132.04999995</v>
          </cell>
          <cell r="O107">
            <v>0</v>
          </cell>
          <cell r="P107">
            <v>-549479918.40999997</v>
          </cell>
          <cell r="Q107">
            <v>-137449478.43000001</v>
          </cell>
          <cell r="R107">
            <v>0</v>
          </cell>
          <cell r="S107">
            <v>-35704947.229999997</v>
          </cell>
          <cell r="T107">
            <v>0</v>
          </cell>
          <cell r="U107">
            <v>0</v>
          </cell>
        </row>
        <row r="108">
          <cell r="A108">
            <v>39082</v>
          </cell>
          <cell r="B108" t="str">
            <v>LIABILITIES</v>
          </cell>
          <cell r="C108">
            <v>0</v>
          </cell>
          <cell r="D108" t="str">
            <v>JAA</v>
          </cell>
          <cell r="E108" t="str">
            <v>Current A/Cs</v>
          </cell>
          <cell r="F108" t="str">
            <v>CUSTOMER DEPOSITS</v>
          </cell>
          <cell r="G108" t="str">
            <v>2101005</v>
          </cell>
          <cell r="H108">
            <v>0</v>
          </cell>
          <cell r="I108">
            <v>0</v>
          </cell>
          <cell r="J108">
            <v>0</v>
          </cell>
          <cell r="K108" t="str">
            <v>2</v>
          </cell>
          <cell r="L108" t="str">
            <v>L</v>
          </cell>
          <cell r="M108" t="str">
            <v>J</v>
          </cell>
          <cell r="N108">
            <v>-399103.19</v>
          </cell>
          <cell r="O108">
            <v>0</v>
          </cell>
          <cell r="P108">
            <v>-399103.19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</row>
        <row r="109">
          <cell r="A109">
            <v>39082</v>
          </cell>
          <cell r="B109" t="str">
            <v>LIABILITIES</v>
          </cell>
          <cell r="C109">
            <v>0</v>
          </cell>
          <cell r="D109" t="str">
            <v>JAA</v>
          </cell>
          <cell r="E109" t="str">
            <v>Current A/Cs</v>
          </cell>
          <cell r="F109" t="str">
            <v>CUSTOMER DEPOSITS</v>
          </cell>
          <cell r="G109" t="str">
            <v>2107010</v>
          </cell>
          <cell r="H109">
            <v>0</v>
          </cell>
          <cell r="I109">
            <v>0</v>
          </cell>
          <cell r="J109">
            <v>0</v>
          </cell>
          <cell r="K109" t="str">
            <v>2</v>
          </cell>
          <cell r="L109" t="str">
            <v>L</v>
          </cell>
          <cell r="M109" t="str">
            <v>J</v>
          </cell>
          <cell r="N109">
            <v>-29805192.609999999</v>
          </cell>
          <cell r="O109">
            <v>0</v>
          </cell>
          <cell r="P109">
            <v>-20289777.280000001</v>
          </cell>
          <cell r="Q109">
            <v>-9515415.3300000001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</row>
        <row r="110">
          <cell r="A110">
            <v>39082</v>
          </cell>
          <cell r="B110" t="str">
            <v>LIABILITIES</v>
          </cell>
          <cell r="C110">
            <v>0</v>
          </cell>
          <cell r="D110" t="str">
            <v>JAB</v>
          </cell>
          <cell r="E110" t="str">
            <v>Savings</v>
          </cell>
          <cell r="F110" t="str">
            <v>CUSTOMER DEPOSITS</v>
          </cell>
          <cell r="G110" t="str">
            <v>2107000</v>
          </cell>
          <cell r="H110">
            <v>0</v>
          </cell>
          <cell r="I110">
            <v>0</v>
          </cell>
          <cell r="J110">
            <v>0</v>
          </cell>
          <cell r="K110" t="str">
            <v>2</v>
          </cell>
          <cell r="L110" t="str">
            <v>L</v>
          </cell>
          <cell r="M110" t="str">
            <v>J</v>
          </cell>
          <cell r="N110">
            <v>-461479406.45999998</v>
          </cell>
          <cell r="O110">
            <v>0</v>
          </cell>
          <cell r="P110">
            <v>-290017807.63999999</v>
          </cell>
          <cell r="Q110">
            <v>-91375139.829999998</v>
          </cell>
          <cell r="R110">
            <v>0</v>
          </cell>
          <cell r="S110">
            <v>-49689702.979999997</v>
          </cell>
          <cell r="T110">
            <v>0</v>
          </cell>
          <cell r="U110">
            <v>0</v>
          </cell>
        </row>
        <row r="111">
          <cell r="A111">
            <v>39082</v>
          </cell>
          <cell r="B111" t="str">
            <v>LIABILITIES</v>
          </cell>
          <cell r="C111">
            <v>0</v>
          </cell>
          <cell r="D111" t="str">
            <v>JAB</v>
          </cell>
          <cell r="E111" t="str">
            <v>Savings</v>
          </cell>
          <cell r="F111" t="str">
            <v>CUSTOMER DEPOSITS</v>
          </cell>
          <cell r="G111" t="str">
            <v>2107005</v>
          </cell>
          <cell r="H111">
            <v>0</v>
          </cell>
          <cell r="I111">
            <v>0</v>
          </cell>
          <cell r="J111">
            <v>0</v>
          </cell>
          <cell r="K111" t="str">
            <v>2</v>
          </cell>
          <cell r="L111" t="str">
            <v>L</v>
          </cell>
          <cell r="M111" t="str">
            <v>J</v>
          </cell>
          <cell r="N111">
            <v>-17398227.970000003</v>
          </cell>
          <cell r="O111">
            <v>0</v>
          </cell>
          <cell r="P111">
            <v>-13751525.82</v>
          </cell>
          <cell r="Q111">
            <v>-3382279.37</v>
          </cell>
          <cell r="R111">
            <v>0</v>
          </cell>
          <cell r="S111">
            <v>-52328.82</v>
          </cell>
          <cell r="T111">
            <v>0</v>
          </cell>
          <cell r="U111">
            <v>0</v>
          </cell>
        </row>
        <row r="112">
          <cell r="A112">
            <v>39082</v>
          </cell>
          <cell r="B112" t="str">
            <v>LIABILITIES</v>
          </cell>
          <cell r="C112">
            <v>0</v>
          </cell>
          <cell r="D112" t="str">
            <v>JAB</v>
          </cell>
          <cell r="E112" t="str">
            <v>Savings</v>
          </cell>
          <cell r="F112" t="str">
            <v>CUSTOMER DEPOSITS</v>
          </cell>
          <cell r="G112" t="str">
            <v>2107215</v>
          </cell>
          <cell r="H112">
            <v>0</v>
          </cell>
          <cell r="I112">
            <v>0</v>
          </cell>
          <cell r="J112">
            <v>0</v>
          </cell>
          <cell r="K112" t="str">
            <v>2</v>
          </cell>
          <cell r="L112" t="str">
            <v>L</v>
          </cell>
          <cell r="M112" t="str">
            <v>J</v>
          </cell>
          <cell r="N112">
            <v>-280497.73</v>
          </cell>
          <cell r="O112">
            <v>0</v>
          </cell>
          <cell r="P112">
            <v>-91245.21</v>
          </cell>
          <cell r="Q112">
            <v>-33986.76</v>
          </cell>
          <cell r="R112">
            <v>0</v>
          </cell>
          <cell r="S112">
            <v>-77020.929999999993</v>
          </cell>
          <cell r="T112">
            <v>0</v>
          </cell>
          <cell r="U112">
            <v>0</v>
          </cell>
        </row>
        <row r="113">
          <cell r="A113">
            <v>39082</v>
          </cell>
          <cell r="B113" t="str">
            <v>LIABILITIES</v>
          </cell>
          <cell r="C113">
            <v>0</v>
          </cell>
          <cell r="D113" t="str">
            <v>JAB</v>
          </cell>
          <cell r="E113" t="str">
            <v>Savings</v>
          </cell>
          <cell r="F113" t="str">
            <v>CUSTOMER DEPOSITS</v>
          </cell>
          <cell r="G113" t="str">
            <v>2107312</v>
          </cell>
          <cell r="H113">
            <v>0</v>
          </cell>
          <cell r="I113">
            <v>0</v>
          </cell>
          <cell r="J113">
            <v>0</v>
          </cell>
          <cell r="K113" t="str">
            <v>2</v>
          </cell>
          <cell r="L113" t="str">
            <v>L</v>
          </cell>
          <cell r="M113" t="str">
            <v>J</v>
          </cell>
          <cell r="N113">
            <v>-97285667.249999985</v>
          </cell>
          <cell r="O113">
            <v>0</v>
          </cell>
          <cell r="P113">
            <v>-54444264.670000002</v>
          </cell>
          <cell r="Q113">
            <v>-35851663.119999997</v>
          </cell>
          <cell r="R113">
            <v>0</v>
          </cell>
          <cell r="S113">
            <v>-3714068.16</v>
          </cell>
          <cell r="T113">
            <v>0</v>
          </cell>
          <cell r="U113">
            <v>0</v>
          </cell>
        </row>
        <row r="114">
          <cell r="A114">
            <v>39082</v>
          </cell>
          <cell r="B114" t="str">
            <v>LIABILITIES</v>
          </cell>
          <cell r="C114">
            <v>0</v>
          </cell>
          <cell r="D114" t="str">
            <v>JAB</v>
          </cell>
          <cell r="E114" t="str">
            <v>Savings</v>
          </cell>
          <cell r="F114" t="str">
            <v>CUSTOMER DEPOSITS</v>
          </cell>
          <cell r="G114" t="str">
            <v>2107316</v>
          </cell>
          <cell r="H114">
            <v>0</v>
          </cell>
          <cell r="I114">
            <v>0</v>
          </cell>
          <cell r="J114">
            <v>0</v>
          </cell>
          <cell r="K114" t="str">
            <v>2</v>
          </cell>
          <cell r="L114" t="str">
            <v>L</v>
          </cell>
          <cell r="M114" t="str">
            <v>J</v>
          </cell>
          <cell r="N114">
            <v>-14616991.59</v>
          </cell>
          <cell r="O114">
            <v>0</v>
          </cell>
          <cell r="P114">
            <v>-8244482.6900000004</v>
          </cell>
          <cell r="Q114">
            <v>-2473503.4500000002</v>
          </cell>
          <cell r="R114">
            <v>0</v>
          </cell>
          <cell r="S114">
            <v>-3598375.43</v>
          </cell>
          <cell r="T114">
            <v>0</v>
          </cell>
          <cell r="U114">
            <v>0</v>
          </cell>
        </row>
        <row r="115">
          <cell r="A115">
            <v>39082</v>
          </cell>
          <cell r="B115" t="str">
            <v>LIABILITIES</v>
          </cell>
          <cell r="C115">
            <v>0</v>
          </cell>
          <cell r="D115" t="str">
            <v>JAC</v>
          </cell>
          <cell r="E115" t="str">
            <v>Notice Deposits</v>
          </cell>
          <cell r="F115" t="str">
            <v>CUSTOMER DEPOSITS</v>
          </cell>
          <cell r="G115" t="str">
            <v>2105000</v>
          </cell>
          <cell r="H115">
            <v>0</v>
          </cell>
          <cell r="I115">
            <v>0</v>
          </cell>
          <cell r="J115">
            <v>0</v>
          </cell>
          <cell r="K115" t="str">
            <v>2</v>
          </cell>
          <cell r="L115" t="str">
            <v>L</v>
          </cell>
          <cell r="M115" t="str">
            <v>J</v>
          </cell>
          <cell r="N115">
            <v>-452718852.88</v>
          </cell>
          <cell r="O115">
            <v>0</v>
          </cell>
          <cell r="P115">
            <v>-172685257.5</v>
          </cell>
          <cell r="Q115">
            <v>-270943328.80000001</v>
          </cell>
          <cell r="R115">
            <v>0</v>
          </cell>
          <cell r="S115">
            <v>2.95</v>
          </cell>
          <cell r="T115">
            <v>0</v>
          </cell>
          <cell r="U115">
            <v>0</v>
          </cell>
        </row>
        <row r="116">
          <cell r="A116">
            <v>39082</v>
          </cell>
          <cell r="B116" t="str">
            <v>LIABILITIES</v>
          </cell>
          <cell r="C116">
            <v>0</v>
          </cell>
          <cell r="D116" t="str">
            <v>JAC</v>
          </cell>
          <cell r="E116" t="str">
            <v>Notice Deposits</v>
          </cell>
          <cell r="F116" t="str">
            <v>CUSTOMER DEPOSITS</v>
          </cell>
          <cell r="G116" t="str">
            <v>2107314</v>
          </cell>
          <cell r="H116">
            <v>0</v>
          </cell>
          <cell r="I116">
            <v>0</v>
          </cell>
          <cell r="J116">
            <v>0</v>
          </cell>
          <cell r="K116" t="str">
            <v>2</v>
          </cell>
          <cell r="L116" t="str">
            <v>L</v>
          </cell>
          <cell r="M116" t="str">
            <v>J</v>
          </cell>
          <cell r="N116">
            <v>-16874550.399999999</v>
          </cell>
          <cell r="O116">
            <v>0</v>
          </cell>
          <cell r="P116">
            <v>-5879198.3799999999</v>
          </cell>
          <cell r="Q116">
            <v>-6029814.1900000004</v>
          </cell>
          <cell r="R116">
            <v>0</v>
          </cell>
          <cell r="S116">
            <v>-3851405.58</v>
          </cell>
          <cell r="T116">
            <v>0</v>
          </cell>
          <cell r="U116">
            <v>0</v>
          </cell>
        </row>
        <row r="117">
          <cell r="A117">
            <v>39082</v>
          </cell>
          <cell r="B117" t="str">
            <v>LIABILITIES</v>
          </cell>
          <cell r="C117">
            <v>0</v>
          </cell>
          <cell r="D117" t="str">
            <v>JAC</v>
          </cell>
          <cell r="E117" t="str">
            <v>Notice Deposits</v>
          </cell>
          <cell r="F117" t="str">
            <v>CUSTOMER DEPOSITS</v>
          </cell>
          <cell r="G117" t="str">
            <v>2107325</v>
          </cell>
          <cell r="H117">
            <v>0</v>
          </cell>
          <cell r="I117">
            <v>0</v>
          </cell>
          <cell r="J117">
            <v>0</v>
          </cell>
          <cell r="K117" t="str">
            <v>2</v>
          </cell>
          <cell r="L117" t="str">
            <v>L</v>
          </cell>
          <cell r="M117" t="str">
            <v>J</v>
          </cell>
          <cell r="N117">
            <v>-605649824.38000011</v>
          </cell>
          <cell r="O117">
            <v>0</v>
          </cell>
          <cell r="P117">
            <v>-218589405.34</v>
          </cell>
          <cell r="Q117">
            <v>-46674108.479999997</v>
          </cell>
          <cell r="R117">
            <v>0</v>
          </cell>
          <cell r="S117">
            <v>-310881531.38999999</v>
          </cell>
          <cell r="T117">
            <v>0</v>
          </cell>
          <cell r="U117">
            <v>0</v>
          </cell>
        </row>
        <row r="118">
          <cell r="A118">
            <v>39082</v>
          </cell>
          <cell r="B118" t="str">
            <v>LIABILITIES</v>
          </cell>
          <cell r="C118">
            <v>0</v>
          </cell>
          <cell r="D118" t="str">
            <v>JAD</v>
          </cell>
          <cell r="E118" t="str">
            <v>Term Deposits</v>
          </cell>
          <cell r="F118" t="str">
            <v>CUSTOMER DEPOSITS</v>
          </cell>
          <cell r="G118" t="str">
            <v>2103103</v>
          </cell>
          <cell r="H118">
            <v>0</v>
          </cell>
          <cell r="I118">
            <v>0</v>
          </cell>
          <cell r="J118">
            <v>0</v>
          </cell>
          <cell r="K118" t="str">
            <v>2</v>
          </cell>
          <cell r="L118" t="str">
            <v>L</v>
          </cell>
          <cell r="M118" t="str">
            <v>J</v>
          </cell>
          <cell r="N118">
            <v>-940575489.01999986</v>
          </cell>
          <cell r="O118">
            <v>0</v>
          </cell>
          <cell r="P118">
            <v>-638227002.88999999</v>
          </cell>
          <cell r="Q118">
            <v>-173829077.09999999</v>
          </cell>
          <cell r="R118">
            <v>0</v>
          </cell>
          <cell r="S118">
            <v>-107395569.81</v>
          </cell>
          <cell r="T118">
            <v>0</v>
          </cell>
          <cell r="U118">
            <v>0</v>
          </cell>
        </row>
        <row r="119">
          <cell r="A119">
            <v>39082</v>
          </cell>
          <cell r="B119" t="str">
            <v>LIABILITIES</v>
          </cell>
          <cell r="C119">
            <v>0</v>
          </cell>
          <cell r="D119" t="str">
            <v>JAD</v>
          </cell>
          <cell r="E119" t="str">
            <v>Term Deposits</v>
          </cell>
          <cell r="F119" t="str">
            <v>CUSTOMER DEPOSITS</v>
          </cell>
          <cell r="G119" t="str">
            <v>2103105</v>
          </cell>
          <cell r="H119">
            <v>0</v>
          </cell>
          <cell r="I119">
            <v>0</v>
          </cell>
          <cell r="J119">
            <v>0</v>
          </cell>
          <cell r="K119" t="str">
            <v>2</v>
          </cell>
          <cell r="L119" t="str">
            <v>L</v>
          </cell>
          <cell r="M119" t="str">
            <v>J</v>
          </cell>
          <cell r="N119">
            <v>-69100648.159999996</v>
          </cell>
          <cell r="O119">
            <v>0</v>
          </cell>
          <cell r="P119">
            <v>-40509365.789999999</v>
          </cell>
          <cell r="Q119">
            <v>0</v>
          </cell>
          <cell r="R119">
            <v>0</v>
          </cell>
          <cell r="S119">
            <v>-21804031.850000001</v>
          </cell>
          <cell r="T119">
            <v>0</v>
          </cell>
          <cell r="U119">
            <v>0</v>
          </cell>
        </row>
        <row r="120">
          <cell r="A120">
            <v>39082</v>
          </cell>
          <cell r="B120" t="str">
            <v>LIABILITIES</v>
          </cell>
          <cell r="C120">
            <v>0</v>
          </cell>
          <cell r="D120" t="str">
            <v>JAD</v>
          </cell>
          <cell r="E120" t="str">
            <v>Term Deposits</v>
          </cell>
          <cell r="F120" t="str">
            <v>CUSTOMER DEPOSITS</v>
          </cell>
          <cell r="G120" t="str">
            <v>2103106</v>
          </cell>
          <cell r="H120">
            <v>0</v>
          </cell>
          <cell r="I120">
            <v>0</v>
          </cell>
          <cell r="J120">
            <v>0</v>
          </cell>
          <cell r="K120" t="str">
            <v>2</v>
          </cell>
          <cell r="L120" t="str">
            <v>L</v>
          </cell>
          <cell r="M120" t="str">
            <v>J</v>
          </cell>
          <cell r="N120">
            <v>-634080929.71000004</v>
          </cell>
          <cell r="O120">
            <v>0</v>
          </cell>
          <cell r="P120">
            <v>-261590269.43000001</v>
          </cell>
          <cell r="Q120">
            <v>-148166857.11000001</v>
          </cell>
          <cell r="R120">
            <v>0</v>
          </cell>
          <cell r="S120">
            <v>-8891915.3399999999</v>
          </cell>
          <cell r="T120">
            <v>0</v>
          </cell>
          <cell r="U120">
            <v>0</v>
          </cell>
        </row>
        <row r="121">
          <cell r="A121">
            <v>39082</v>
          </cell>
          <cell r="B121" t="str">
            <v>LIABILITIES</v>
          </cell>
          <cell r="C121">
            <v>0</v>
          </cell>
          <cell r="D121" t="str">
            <v>JAD</v>
          </cell>
          <cell r="E121" t="str">
            <v>Term Deposits</v>
          </cell>
          <cell r="F121" t="str">
            <v>CUSTOMER DEPOSITS</v>
          </cell>
          <cell r="G121" t="str">
            <v>2103112</v>
          </cell>
          <cell r="H121">
            <v>0</v>
          </cell>
          <cell r="I121">
            <v>0</v>
          </cell>
          <cell r="J121">
            <v>0</v>
          </cell>
          <cell r="K121" t="str">
            <v>2</v>
          </cell>
          <cell r="L121" t="str">
            <v>L</v>
          </cell>
          <cell r="M121" t="str">
            <v>J</v>
          </cell>
          <cell r="N121">
            <v>-1845097709.73</v>
          </cell>
          <cell r="O121">
            <v>0</v>
          </cell>
          <cell r="P121">
            <v>-1108693534.1900001</v>
          </cell>
          <cell r="Q121">
            <v>-653832095.51999998</v>
          </cell>
          <cell r="R121">
            <v>0</v>
          </cell>
          <cell r="S121">
            <v>-53171434.869999997</v>
          </cell>
          <cell r="T121">
            <v>0</v>
          </cell>
          <cell r="U121">
            <v>0</v>
          </cell>
        </row>
        <row r="122">
          <cell r="A122">
            <v>39082</v>
          </cell>
          <cell r="B122" t="str">
            <v>LIABILITIES</v>
          </cell>
          <cell r="C122">
            <v>0</v>
          </cell>
          <cell r="D122" t="str">
            <v>JAD</v>
          </cell>
          <cell r="E122" t="str">
            <v>Term Deposits</v>
          </cell>
          <cell r="F122" t="str">
            <v>CUSTOMER DEPOSITS</v>
          </cell>
          <cell r="G122" t="str">
            <v>2103120</v>
          </cell>
          <cell r="H122">
            <v>0</v>
          </cell>
          <cell r="I122">
            <v>0</v>
          </cell>
          <cell r="J122">
            <v>0</v>
          </cell>
          <cell r="K122" t="str">
            <v>2</v>
          </cell>
          <cell r="L122" t="str">
            <v>L</v>
          </cell>
          <cell r="M122" t="str">
            <v>J</v>
          </cell>
          <cell r="N122">
            <v>-151705435.47999999</v>
          </cell>
          <cell r="O122">
            <v>0</v>
          </cell>
          <cell r="P122">
            <v>-67237129.030000001</v>
          </cell>
          <cell r="Q122">
            <v>-25812500</v>
          </cell>
          <cell r="R122">
            <v>0</v>
          </cell>
          <cell r="S122">
            <v>-38010645.159999996</v>
          </cell>
          <cell r="T122">
            <v>0</v>
          </cell>
          <cell r="U122">
            <v>0</v>
          </cell>
        </row>
        <row r="123">
          <cell r="A123">
            <v>39082</v>
          </cell>
          <cell r="B123" t="str">
            <v>LIABILITIES</v>
          </cell>
          <cell r="C123">
            <v>0</v>
          </cell>
          <cell r="D123" t="str">
            <v>JAD</v>
          </cell>
          <cell r="E123" t="str">
            <v>Term Deposits</v>
          </cell>
          <cell r="F123" t="str">
            <v>CUSTOMER DEPOSITS</v>
          </cell>
          <cell r="G123" t="str">
            <v>2107115</v>
          </cell>
          <cell r="H123">
            <v>0</v>
          </cell>
          <cell r="I123">
            <v>0</v>
          </cell>
          <cell r="J123">
            <v>0</v>
          </cell>
          <cell r="K123" t="str">
            <v>2</v>
          </cell>
          <cell r="L123" t="str">
            <v>L</v>
          </cell>
          <cell r="M123" t="str">
            <v>J</v>
          </cell>
          <cell r="N123">
            <v>-7256537.9800000004</v>
          </cell>
          <cell r="O123">
            <v>0</v>
          </cell>
          <cell r="P123">
            <v>-7256537.9800000004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</row>
        <row r="124">
          <cell r="A124">
            <v>39082</v>
          </cell>
          <cell r="B124" t="str">
            <v>LIABILITIES</v>
          </cell>
          <cell r="C124">
            <v>0</v>
          </cell>
          <cell r="D124" t="str">
            <v>JAE</v>
          </cell>
          <cell r="E124" t="str">
            <v>Margin</v>
          </cell>
          <cell r="F124" t="str">
            <v>CUSTOMER DEPOSITS</v>
          </cell>
          <cell r="G124" t="str">
            <v>2108100</v>
          </cell>
          <cell r="H124">
            <v>0</v>
          </cell>
          <cell r="I124">
            <v>0</v>
          </cell>
          <cell r="J124">
            <v>0</v>
          </cell>
          <cell r="K124" t="str">
            <v>2</v>
          </cell>
          <cell r="L124" t="str">
            <v>L</v>
          </cell>
          <cell r="M124" t="str">
            <v>J</v>
          </cell>
          <cell r="N124">
            <v>-46030181.869999997</v>
          </cell>
          <cell r="O124">
            <v>0</v>
          </cell>
          <cell r="P124">
            <v>-30740967.989999998</v>
          </cell>
          <cell r="Q124">
            <v>-13733046.720000001</v>
          </cell>
          <cell r="R124">
            <v>0</v>
          </cell>
          <cell r="S124">
            <v>-1556167.16</v>
          </cell>
          <cell r="T124">
            <v>0</v>
          </cell>
          <cell r="U124">
            <v>0</v>
          </cell>
        </row>
        <row r="125">
          <cell r="A125">
            <v>39082</v>
          </cell>
          <cell r="B125" t="str">
            <v>LIABILITIES</v>
          </cell>
          <cell r="C125">
            <v>0</v>
          </cell>
          <cell r="D125" t="str">
            <v>JAE</v>
          </cell>
          <cell r="E125" t="str">
            <v>Margin</v>
          </cell>
          <cell r="F125" t="str">
            <v>CUSTOMER DEPOSITS</v>
          </cell>
          <cell r="G125" t="str">
            <v>2108120</v>
          </cell>
          <cell r="H125">
            <v>0</v>
          </cell>
          <cell r="I125">
            <v>0</v>
          </cell>
          <cell r="J125">
            <v>0</v>
          </cell>
          <cell r="K125" t="str">
            <v>2</v>
          </cell>
          <cell r="L125" t="str">
            <v>L</v>
          </cell>
          <cell r="M125" t="str">
            <v>J</v>
          </cell>
          <cell r="N125">
            <v>-27686158.020000003</v>
          </cell>
          <cell r="O125">
            <v>0</v>
          </cell>
          <cell r="P125">
            <v>-25329536.260000002</v>
          </cell>
          <cell r="Q125">
            <v>-2356621.7599999998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</row>
        <row r="126">
          <cell r="A126">
            <v>39082</v>
          </cell>
          <cell r="B126" t="str">
            <v>LIABILITIES</v>
          </cell>
          <cell r="C126">
            <v>0</v>
          </cell>
          <cell r="D126" t="str">
            <v>JAE</v>
          </cell>
          <cell r="E126" t="str">
            <v>Margin</v>
          </cell>
          <cell r="F126" t="str">
            <v>CUSTOMER DEPOSITS</v>
          </cell>
          <cell r="G126" t="str">
            <v>2108125</v>
          </cell>
          <cell r="H126">
            <v>0</v>
          </cell>
          <cell r="I126">
            <v>0</v>
          </cell>
          <cell r="J126">
            <v>0</v>
          </cell>
          <cell r="K126" t="str">
            <v>2</v>
          </cell>
          <cell r="L126" t="str">
            <v>L</v>
          </cell>
          <cell r="M126" t="str">
            <v>J</v>
          </cell>
          <cell r="N126">
            <v>-11468918.130000001</v>
          </cell>
          <cell r="O126">
            <v>0</v>
          </cell>
          <cell r="P126">
            <v>-10564448.48</v>
          </cell>
          <cell r="Q126">
            <v>-904469.65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</row>
        <row r="127">
          <cell r="A127">
            <v>39082</v>
          </cell>
          <cell r="B127" t="str">
            <v>LIABILITIES</v>
          </cell>
          <cell r="C127">
            <v>0</v>
          </cell>
          <cell r="D127" t="str">
            <v>JAE</v>
          </cell>
          <cell r="E127" t="str">
            <v>Margin</v>
          </cell>
          <cell r="F127" t="str">
            <v>CUSTOMER DEPOSITS</v>
          </cell>
          <cell r="G127" t="str">
            <v>2108180</v>
          </cell>
          <cell r="H127">
            <v>0</v>
          </cell>
          <cell r="I127">
            <v>0</v>
          </cell>
          <cell r="J127">
            <v>0</v>
          </cell>
          <cell r="K127" t="str">
            <v>2</v>
          </cell>
          <cell r="L127" t="str">
            <v>L</v>
          </cell>
          <cell r="M127" t="str">
            <v>J</v>
          </cell>
          <cell r="N127">
            <v>-307167315.12</v>
          </cell>
          <cell r="O127">
            <v>0</v>
          </cell>
          <cell r="P127">
            <v>-307167315.12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</row>
        <row r="128">
          <cell r="A128">
            <v>39082</v>
          </cell>
          <cell r="B128" t="str">
            <v>LIABILITIES</v>
          </cell>
          <cell r="C128">
            <v>0</v>
          </cell>
          <cell r="D128" t="str">
            <v>JAF</v>
          </cell>
          <cell r="E128" t="str">
            <v>PO and Sundry Deposits</v>
          </cell>
          <cell r="F128" t="str">
            <v>CUSTOMER DEPOSITS</v>
          </cell>
          <cell r="G128" t="str">
            <v>2311550</v>
          </cell>
          <cell r="H128">
            <v>0</v>
          </cell>
          <cell r="I128">
            <v>0</v>
          </cell>
          <cell r="J128">
            <v>0</v>
          </cell>
          <cell r="K128" t="str">
            <v>2</v>
          </cell>
          <cell r="L128" t="str">
            <v>L</v>
          </cell>
          <cell r="M128" t="str">
            <v>J</v>
          </cell>
          <cell r="N128">
            <v>-95477846.329999998</v>
          </cell>
          <cell r="O128">
            <v>0</v>
          </cell>
          <cell r="P128">
            <v>-44119040.450000003</v>
          </cell>
          <cell r="Q128">
            <v>-17069402.18</v>
          </cell>
          <cell r="R128">
            <v>-30371105.93</v>
          </cell>
          <cell r="S128">
            <v>-2388093.13</v>
          </cell>
          <cell r="T128">
            <v>0</v>
          </cell>
          <cell r="U128">
            <v>0</v>
          </cell>
        </row>
        <row r="129">
          <cell r="A129">
            <v>39082</v>
          </cell>
          <cell r="B129" t="str">
            <v>LIABILITIES</v>
          </cell>
          <cell r="C129">
            <v>0</v>
          </cell>
          <cell r="D129" t="str">
            <v>JAF</v>
          </cell>
          <cell r="E129" t="str">
            <v>PO and Sundry Deposits</v>
          </cell>
          <cell r="F129" t="str">
            <v>CUSTOMER DEPOSITS</v>
          </cell>
          <cell r="G129" t="str">
            <v>2311560</v>
          </cell>
          <cell r="H129">
            <v>0</v>
          </cell>
          <cell r="I129">
            <v>0</v>
          </cell>
          <cell r="J129">
            <v>0</v>
          </cell>
          <cell r="K129" t="str">
            <v>2</v>
          </cell>
          <cell r="L129" t="str">
            <v>L</v>
          </cell>
          <cell r="M129" t="str">
            <v>J</v>
          </cell>
          <cell r="N129">
            <v>-5121832.8099999996</v>
          </cell>
          <cell r="O129">
            <v>0</v>
          </cell>
          <cell r="P129">
            <v>-2511245.62</v>
          </cell>
          <cell r="Q129">
            <v>-851976.11</v>
          </cell>
          <cell r="R129">
            <v>-1758611.08</v>
          </cell>
          <cell r="S129">
            <v>0</v>
          </cell>
          <cell r="T129">
            <v>0</v>
          </cell>
          <cell r="U129">
            <v>0</v>
          </cell>
        </row>
        <row r="130">
          <cell r="A130">
            <v>39082</v>
          </cell>
          <cell r="B130" t="str">
            <v>LIABILITIES</v>
          </cell>
          <cell r="C130">
            <v>0</v>
          </cell>
          <cell r="D130" t="str">
            <v>JAF</v>
          </cell>
          <cell r="E130" t="str">
            <v>PO and Sundry Deposits</v>
          </cell>
          <cell r="F130" t="str">
            <v>CUSTOMER DEPOSITS</v>
          </cell>
          <cell r="G130" t="str">
            <v>2317061</v>
          </cell>
          <cell r="H130">
            <v>0</v>
          </cell>
          <cell r="I130">
            <v>0</v>
          </cell>
          <cell r="J130">
            <v>0</v>
          </cell>
          <cell r="K130" t="str">
            <v>2</v>
          </cell>
          <cell r="L130" t="str">
            <v>L</v>
          </cell>
          <cell r="M130" t="str">
            <v>J</v>
          </cell>
          <cell r="N130">
            <v>-1066313.9099999999</v>
          </cell>
          <cell r="O130">
            <v>0</v>
          </cell>
          <cell r="P130">
            <v>-1066313.9099999999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</row>
        <row r="131">
          <cell r="A131">
            <v>39082</v>
          </cell>
          <cell r="B131" t="str">
            <v>Maintenance of Fixed Assets</v>
          </cell>
          <cell r="C131">
            <v>0</v>
          </cell>
          <cell r="D131" t="str">
            <v>MAA</v>
          </cell>
          <cell r="E131" t="str">
            <v>Bank Premises</v>
          </cell>
          <cell r="F131" t="str">
            <v>Total Charges</v>
          </cell>
          <cell r="G131" t="str">
            <v>7041100</v>
          </cell>
          <cell r="H131">
            <v>0</v>
          </cell>
          <cell r="I131">
            <v>0</v>
          </cell>
          <cell r="J131">
            <v>0</v>
          </cell>
          <cell r="K131" t="str">
            <v>7</v>
          </cell>
          <cell r="L131">
            <v>0</v>
          </cell>
          <cell r="M131">
            <v>0</v>
          </cell>
          <cell r="N131">
            <v>4871515.96</v>
          </cell>
          <cell r="O131">
            <v>1150681.3</v>
          </cell>
          <cell r="P131">
            <v>2324710.91</v>
          </cell>
          <cell r="Q131">
            <v>770898.9</v>
          </cell>
          <cell r="R131">
            <v>0</v>
          </cell>
          <cell r="S131">
            <v>152102.67000000001</v>
          </cell>
          <cell r="T131">
            <v>0</v>
          </cell>
          <cell r="U131">
            <v>0</v>
          </cell>
        </row>
        <row r="132">
          <cell r="A132">
            <v>39082</v>
          </cell>
          <cell r="B132" t="str">
            <v>Maintenance of Fixed Assets</v>
          </cell>
          <cell r="C132">
            <v>0</v>
          </cell>
          <cell r="D132" t="str">
            <v>MAB</v>
          </cell>
          <cell r="E132" t="str">
            <v>Office Furniture &amp; Equipment</v>
          </cell>
          <cell r="F132" t="str">
            <v>Total Charges</v>
          </cell>
          <cell r="G132" t="str">
            <v>7041120</v>
          </cell>
          <cell r="H132">
            <v>0</v>
          </cell>
          <cell r="I132">
            <v>0</v>
          </cell>
          <cell r="J132">
            <v>0</v>
          </cell>
          <cell r="K132" t="str">
            <v>7</v>
          </cell>
          <cell r="L132">
            <v>0</v>
          </cell>
          <cell r="M132">
            <v>0</v>
          </cell>
          <cell r="N132">
            <v>1169396.67</v>
          </cell>
          <cell r="O132">
            <v>232481.65</v>
          </cell>
          <cell r="P132">
            <v>499038.35</v>
          </cell>
          <cell r="Q132">
            <v>133499.17000000001</v>
          </cell>
          <cell r="R132">
            <v>0</v>
          </cell>
          <cell r="S132">
            <v>111187.5</v>
          </cell>
          <cell r="T132">
            <v>0</v>
          </cell>
          <cell r="U132">
            <v>5625</v>
          </cell>
        </row>
        <row r="133">
          <cell r="A133">
            <v>39082</v>
          </cell>
          <cell r="B133" t="str">
            <v>Maintenance of Fixed Assets</v>
          </cell>
          <cell r="C133">
            <v>0</v>
          </cell>
          <cell r="D133" t="str">
            <v>MAC</v>
          </cell>
          <cell r="E133" t="str">
            <v>House Furniture &amp; Equipment</v>
          </cell>
          <cell r="F133" t="str">
            <v>Total Charges</v>
          </cell>
          <cell r="G133" t="str">
            <v>7031122</v>
          </cell>
          <cell r="H133">
            <v>0</v>
          </cell>
          <cell r="I133">
            <v>0</v>
          </cell>
          <cell r="J133">
            <v>0</v>
          </cell>
          <cell r="K133" t="str">
            <v>7</v>
          </cell>
          <cell r="L133">
            <v>0</v>
          </cell>
          <cell r="M133">
            <v>0</v>
          </cell>
          <cell r="N133">
            <v>61384.67</v>
          </cell>
          <cell r="O133">
            <v>57374.67</v>
          </cell>
          <cell r="P133">
            <v>0</v>
          </cell>
          <cell r="Q133">
            <v>4010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</row>
        <row r="134">
          <cell r="A134">
            <v>39082</v>
          </cell>
          <cell r="B134" t="str">
            <v>Maintenance of Fixed Assets</v>
          </cell>
          <cell r="C134">
            <v>0</v>
          </cell>
          <cell r="D134" t="str">
            <v>MAC</v>
          </cell>
          <cell r="E134" t="str">
            <v>House Furniture &amp; Equipment</v>
          </cell>
          <cell r="F134" t="str">
            <v>Total Charges</v>
          </cell>
          <cell r="G134" t="str">
            <v>7041105</v>
          </cell>
          <cell r="H134">
            <v>0</v>
          </cell>
          <cell r="I134">
            <v>0</v>
          </cell>
          <cell r="J134">
            <v>0</v>
          </cell>
          <cell r="K134" t="str">
            <v>7</v>
          </cell>
          <cell r="L134">
            <v>0</v>
          </cell>
          <cell r="M134">
            <v>0</v>
          </cell>
          <cell r="N134">
            <v>852192</v>
          </cell>
          <cell r="O134">
            <v>801342</v>
          </cell>
          <cell r="P134">
            <v>1500</v>
          </cell>
          <cell r="Q134">
            <v>49350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</row>
        <row r="135">
          <cell r="A135">
            <v>39082</v>
          </cell>
          <cell r="B135" t="str">
            <v>Maintenance of Fixed Assets</v>
          </cell>
          <cell r="C135">
            <v>0</v>
          </cell>
          <cell r="D135" t="str">
            <v>MAC</v>
          </cell>
          <cell r="E135" t="str">
            <v>House Furniture &amp; Equipment</v>
          </cell>
          <cell r="F135" t="str">
            <v>Total Charges</v>
          </cell>
          <cell r="G135" t="str">
            <v>7041125</v>
          </cell>
          <cell r="H135">
            <v>0</v>
          </cell>
          <cell r="I135">
            <v>0</v>
          </cell>
          <cell r="J135">
            <v>0</v>
          </cell>
          <cell r="K135" t="str">
            <v>7</v>
          </cell>
          <cell r="L135">
            <v>0</v>
          </cell>
          <cell r="M135">
            <v>0</v>
          </cell>
          <cell r="N135">
            <v>172927</v>
          </cell>
          <cell r="O135">
            <v>171427</v>
          </cell>
          <cell r="P135">
            <v>0</v>
          </cell>
          <cell r="Q135">
            <v>1500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</row>
        <row r="136">
          <cell r="A136">
            <v>39082</v>
          </cell>
          <cell r="B136" t="str">
            <v>Maintenance of Fixed Assets</v>
          </cell>
          <cell r="C136">
            <v>0</v>
          </cell>
          <cell r="D136" t="str">
            <v>MAD</v>
          </cell>
          <cell r="E136" t="str">
            <v>Bank Vehicles</v>
          </cell>
          <cell r="F136" t="str">
            <v>Total Charges</v>
          </cell>
          <cell r="G136" t="str">
            <v>7041130</v>
          </cell>
          <cell r="H136">
            <v>0</v>
          </cell>
          <cell r="I136">
            <v>0</v>
          </cell>
          <cell r="J136">
            <v>0</v>
          </cell>
          <cell r="K136" t="str">
            <v>7</v>
          </cell>
          <cell r="L136">
            <v>0</v>
          </cell>
          <cell r="M136">
            <v>0</v>
          </cell>
          <cell r="N136">
            <v>738841.25</v>
          </cell>
          <cell r="O136">
            <v>266924.95</v>
          </cell>
          <cell r="P136">
            <v>295524.05</v>
          </cell>
          <cell r="Q136">
            <v>152959.25</v>
          </cell>
          <cell r="R136">
            <v>0</v>
          </cell>
          <cell r="S136">
            <v>23433</v>
          </cell>
          <cell r="T136">
            <v>0</v>
          </cell>
          <cell r="U136">
            <v>0</v>
          </cell>
        </row>
        <row r="137">
          <cell r="A137">
            <v>39082</v>
          </cell>
          <cell r="B137" t="str">
            <v>Maintenance of Fixed Assets</v>
          </cell>
          <cell r="C137">
            <v>0</v>
          </cell>
          <cell r="D137" t="str">
            <v>MAD</v>
          </cell>
          <cell r="E137" t="str">
            <v>Bank Vehicles</v>
          </cell>
          <cell r="F137" t="str">
            <v>Total Charges</v>
          </cell>
          <cell r="G137" t="str">
            <v>7041132</v>
          </cell>
          <cell r="H137">
            <v>0</v>
          </cell>
          <cell r="I137">
            <v>0</v>
          </cell>
          <cell r="J137">
            <v>0</v>
          </cell>
          <cell r="K137" t="str">
            <v>7</v>
          </cell>
          <cell r="L137">
            <v>0</v>
          </cell>
          <cell r="M137">
            <v>0</v>
          </cell>
          <cell r="N137">
            <v>2772603</v>
          </cell>
          <cell r="O137">
            <v>1112051.8</v>
          </cell>
          <cell r="P137">
            <v>1234055.2</v>
          </cell>
          <cell r="Q137">
            <v>175953</v>
          </cell>
          <cell r="R137">
            <v>0</v>
          </cell>
          <cell r="S137">
            <v>144775</v>
          </cell>
          <cell r="T137">
            <v>0</v>
          </cell>
          <cell r="U137">
            <v>0</v>
          </cell>
        </row>
        <row r="138">
          <cell r="A138">
            <v>39082</v>
          </cell>
          <cell r="B138" t="str">
            <v>Maintenance of Fixed Assets</v>
          </cell>
          <cell r="C138">
            <v>0</v>
          </cell>
          <cell r="D138" t="str">
            <v>MAE</v>
          </cell>
          <cell r="E138" t="str">
            <v>Computer Equipment</v>
          </cell>
          <cell r="F138" t="str">
            <v>Total Charges</v>
          </cell>
          <cell r="G138" t="str">
            <v>7041110</v>
          </cell>
          <cell r="H138">
            <v>0</v>
          </cell>
          <cell r="I138">
            <v>0</v>
          </cell>
          <cell r="J138">
            <v>0</v>
          </cell>
          <cell r="K138" t="str">
            <v>7</v>
          </cell>
          <cell r="L138">
            <v>0</v>
          </cell>
          <cell r="M138">
            <v>0</v>
          </cell>
          <cell r="N138">
            <v>4683792.75</v>
          </cell>
          <cell r="O138">
            <v>1093468.4099999999</v>
          </cell>
          <cell r="P138">
            <v>1241325.73</v>
          </cell>
          <cell r="Q138">
            <v>1644132.61</v>
          </cell>
          <cell r="R138">
            <v>0</v>
          </cell>
          <cell r="S138">
            <v>237532</v>
          </cell>
          <cell r="T138">
            <v>5000</v>
          </cell>
          <cell r="U138">
            <v>1394</v>
          </cell>
        </row>
        <row r="139">
          <cell r="A139">
            <v>39082</v>
          </cell>
          <cell r="B139" t="str">
            <v>Maintenance of Fixed Assets</v>
          </cell>
          <cell r="C139">
            <v>0</v>
          </cell>
          <cell r="D139" t="str">
            <v>MAF</v>
          </cell>
          <cell r="E139" t="str">
            <v>Computer Stationery</v>
          </cell>
          <cell r="F139" t="str">
            <v>Total Charges</v>
          </cell>
          <cell r="G139" t="str">
            <v>7062250</v>
          </cell>
          <cell r="H139">
            <v>0</v>
          </cell>
          <cell r="I139">
            <v>0</v>
          </cell>
          <cell r="J139">
            <v>0</v>
          </cell>
          <cell r="K139" t="str">
            <v>7</v>
          </cell>
          <cell r="L139">
            <v>0</v>
          </cell>
          <cell r="M139">
            <v>0</v>
          </cell>
          <cell r="N139">
            <v>1325245.0900000001</v>
          </cell>
          <cell r="O139">
            <v>423070.9</v>
          </cell>
          <cell r="P139">
            <v>575591.48</v>
          </cell>
          <cell r="Q139">
            <v>222663.16</v>
          </cell>
          <cell r="R139">
            <v>0</v>
          </cell>
          <cell r="S139">
            <v>59979.94</v>
          </cell>
          <cell r="T139">
            <v>0</v>
          </cell>
          <cell r="U139">
            <v>0</v>
          </cell>
        </row>
        <row r="140">
          <cell r="A140">
            <v>39082</v>
          </cell>
          <cell r="B140" t="str">
            <v>Other Administration Charges</v>
          </cell>
          <cell r="C140">
            <v>0</v>
          </cell>
          <cell r="D140" t="str">
            <v>PAA</v>
          </cell>
          <cell r="E140" t="str">
            <v>Advertising</v>
          </cell>
          <cell r="F140" t="str">
            <v>Total Charges</v>
          </cell>
          <cell r="G140" t="str">
            <v>7062110</v>
          </cell>
          <cell r="H140">
            <v>0</v>
          </cell>
          <cell r="I140">
            <v>0</v>
          </cell>
          <cell r="J140">
            <v>0</v>
          </cell>
          <cell r="K140" t="str">
            <v>7</v>
          </cell>
          <cell r="L140">
            <v>0</v>
          </cell>
          <cell r="M140">
            <v>0</v>
          </cell>
          <cell r="N140">
            <v>7453318.0000000009</v>
          </cell>
          <cell r="O140">
            <v>3644590.29</v>
          </cell>
          <cell r="P140">
            <v>3159497.32</v>
          </cell>
          <cell r="Q140">
            <v>0</v>
          </cell>
          <cell r="R140">
            <v>0</v>
          </cell>
          <cell r="S140">
            <v>26033.58</v>
          </cell>
          <cell r="T140">
            <v>0</v>
          </cell>
          <cell r="U140">
            <v>175375.65</v>
          </cell>
        </row>
        <row r="141">
          <cell r="A141">
            <v>39082</v>
          </cell>
          <cell r="B141" t="str">
            <v>Other Administration Charges</v>
          </cell>
          <cell r="C141">
            <v>0</v>
          </cell>
          <cell r="D141" t="str">
            <v>PAB</v>
          </cell>
          <cell r="E141" t="str">
            <v>Cash Transport</v>
          </cell>
          <cell r="F141" t="str">
            <v>Total Charges</v>
          </cell>
          <cell r="G141" t="str">
            <v>7031135</v>
          </cell>
          <cell r="H141">
            <v>0</v>
          </cell>
          <cell r="I141">
            <v>0</v>
          </cell>
          <cell r="J141">
            <v>0</v>
          </cell>
          <cell r="K141" t="str">
            <v>7</v>
          </cell>
          <cell r="L141">
            <v>0</v>
          </cell>
          <cell r="M141">
            <v>0</v>
          </cell>
          <cell r="N141">
            <v>1810047</v>
          </cell>
          <cell r="O141">
            <v>728892.2</v>
          </cell>
          <cell r="P141">
            <v>806987.8</v>
          </cell>
          <cell r="Q141">
            <v>264762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</row>
        <row r="142">
          <cell r="A142">
            <v>39082</v>
          </cell>
          <cell r="B142" t="str">
            <v>Other Administration Charges</v>
          </cell>
          <cell r="C142">
            <v>0</v>
          </cell>
          <cell r="D142" t="str">
            <v>PAE</v>
          </cell>
          <cell r="E142" t="str">
            <v>Donations</v>
          </cell>
          <cell r="F142" t="str">
            <v>Total Charges</v>
          </cell>
          <cell r="G142" t="str">
            <v>7062160</v>
          </cell>
          <cell r="H142">
            <v>0</v>
          </cell>
          <cell r="I142">
            <v>0</v>
          </cell>
          <cell r="J142">
            <v>0</v>
          </cell>
          <cell r="K142" t="str">
            <v>7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</row>
        <row r="143">
          <cell r="A143">
            <v>39082</v>
          </cell>
          <cell r="B143" t="str">
            <v>Other Administration Charges</v>
          </cell>
          <cell r="C143">
            <v>0</v>
          </cell>
          <cell r="D143" t="str">
            <v>PAG</v>
          </cell>
          <cell r="E143" t="str">
            <v>Entertainment Expenses</v>
          </cell>
          <cell r="F143" t="str">
            <v>Total Charges</v>
          </cell>
          <cell r="G143" t="str">
            <v>7062190</v>
          </cell>
          <cell r="H143">
            <v>0</v>
          </cell>
          <cell r="I143">
            <v>0</v>
          </cell>
          <cell r="J143">
            <v>0</v>
          </cell>
          <cell r="K143" t="str">
            <v>7</v>
          </cell>
          <cell r="L143">
            <v>0</v>
          </cell>
          <cell r="M143">
            <v>0</v>
          </cell>
          <cell r="N143">
            <v>527689.82999999996</v>
          </cell>
          <cell r="O143">
            <v>183589.81</v>
          </cell>
          <cell r="P143">
            <v>192321.14</v>
          </cell>
          <cell r="Q143">
            <v>0</v>
          </cell>
          <cell r="R143">
            <v>0</v>
          </cell>
          <cell r="S143">
            <v>41186.879999999997</v>
          </cell>
          <cell r="T143">
            <v>0</v>
          </cell>
          <cell r="U143">
            <v>6411</v>
          </cell>
        </row>
        <row r="144">
          <cell r="A144">
            <v>39082</v>
          </cell>
          <cell r="B144" t="str">
            <v>Other Administration Charges</v>
          </cell>
          <cell r="C144">
            <v>0</v>
          </cell>
          <cell r="D144" t="str">
            <v>PAH</v>
          </cell>
          <cell r="E144" t="str">
            <v>Fees &amp; payment for services</v>
          </cell>
          <cell r="F144" t="str">
            <v>Total Charges</v>
          </cell>
          <cell r="G144" t="str">
            <v>7061155</v>
          </cell>
          <cell r="H144">
            <v>0</v>
          </cell>
          <cell r="I144">
            <v>0</v>
          </cell>
          <cell r="J144">
            <v>0</v>
          </cell>
          <cell r="K144" t="str">
            <v>7</v>
          </cell>
          <cell r="L144">
            <v>0</v>
          </cell>
          <cell r="M144">
            <v>0</v>
          </cell>
          <cell r="N144">
            <v>9952204.8499999996</v>
          </cell>
          <cell r="O144">
            <v>4279946.79</v>
          </cell>
          <cell r="P144">
            <v>4756212.5199999996</v>
          </cell>
          <cell r="Q144">
            <v>608870.28</v>
          </cell>
          <cell r="R144">
            <v>0</v>
          </cell>
          <cell r="S144">
            <v>118981.12</v>
          </cell>
          <cell r="T144">
            <v>0</v>
          </cell>
          <cell r="U144">
            <v>0</v>
          </cell>
        </row>
        <row r="145">
          <cell r="A145">
            <v>39082</v>
          </cell>
          <cell r="B145" t="str">
            <v>Other Administration Charges</v>
          </cell>
          <cell r="C145">
            <v>0</v>
          </cell>
          <cell r="D145" t="str">
            <v>PAI</v>
          </cell>
          <cell r="E145" t="str">
            <v>Newspapers &amp; Periodicals</v>
          </cell>
          <cell r="F145" t="str">
            <v>Total Charges</v>
          </cell>
          <cell r="G145" t="str">
            <v>7062210</v>
          </cell>
          <cell r="H145">
            <v>0</v>
          </cell>
          <cell r="I145">
            <v>0</v>
          </cell>
          <cell r="J145">
            <v>0</v>
          </cell>
          <cell r="K145" t="str">
            <v>7</v>
          </cell>
          <cell r="L145">
            <v>0</v>
          </cell>
          <cell r="M145">
            <v>0</v>
          </cell>
          <cell r="N145">
            <v>294317.90000000002</v>
          </cell>
          <cell r="O145">
            <v>121352.9</v>
          </cell>
          <cell r="P145">
            <v>134355</v>
          </cell>
          <cell r="Q145">
            <v>31581</v>
          </cell>
          <cell r="R145">
            <v>0</v>
          </cell>
          <cell r="S145">
            <v>529</v>
          </cell>
          <cell r="T145">
            <v>0</v>
          </cell>
          <cell r="U145">
            <v>425</v>
          </cell>
        </row>
        <row r="146">
          <cell r="A146">
            <v>39082</v>
          </cell>
          <cell r="B146" t="str">
            <v>Other Administration Charges</v>
          </cell>
          <cell r="C146">
            <v>0</v>
          </cell>
          <cell r="D146" t="str">
            <v>PAJ</v>
          </cell>
          <cell r="E146" t="str">
            <v>Postages &amp; Stamps</v>
          </cell>
          <cell r="F146" t="str">
            <v>Total Charges</v>
          </cell>
          <cell r="G146" t="str">
            <v>7062220</v>
          </cell>
          <cell r="H146">
            <v>0</v>
          </cell>
          <cell r="I146">
            <v>0</v>
          </cell>
          <cell r="J146">
            <v>0</v>
          </cell>
          <cell r="K146" t="str">
            <v>7</v>
          </cell>
          <cell r="L146">
            <v>0</v>
          </cell>
          <cell r="M146">
            <v>0</v>
          </cell>
          <cell r="N146">
            <v>1191870.3899999999</v>
          </cell>
          <cell r="O146">
            <v>513664.73</v>
          </cell>
          <cell r="P146">
            <v>569451.43000000005</v>
          </cell>
          <cell r="Q146">
            <v>79486.23</v>
          </cell>
          <cell r="R146">
            <v>0</v>
          </cell>
          <cell r="S146">
            <v>29268</v>
          </cell>
          <cell r="T146">
            <v>0</v>
          </cell>
          <cell r="U146">
            <v>0</v>
          </cell>
        </row>
        <row r="147">
          <cell r="A147">
            <v>39082</v>
          </cell>
          <cell r="B147" t="str">
            <v>Other Administration Charges</v>
          </cell>
          <cell r="C147">
            <v>0</v>
          </cell>
          <cell r="D147" t="str">
            <v>PAK</v>
          </cell>
          <cell r="E147" t="str">
            <v>Courier Services</v>
          </cell>
          <cell r="F147" t="str">
            <v>Total Charges</v>
          </cell>
          <cell r="G147" t="str">
            <v>7062230</v>
          </cell>
          <cell r="H147">
            <v>0</v>
          </cell>
          <cell r="I147">
            <v>0</v>
          </cell>
          <cell r="J147">
            <v>0</v>
          </cell>
          <cell r="K147" t="str">
            <v>7</v>
          </cell>
          <cell r="L147">
            <v>0</v>
          </cell>
          <cell r="M147">
            <v>0</v>
          </cell>
          <cell r="N147">
            <v>453368.03</v>
          </cell>
          <cell r="O147">
            <v>241228.07</v>
          </cell>
          <cell r="P147">
            <v>125465.96</v>
          </cell>
          <cell r="Q147">
            <v>0</v>
          </cell>
          <cell r="R147">
            <v>0</v>
          </cell>
          <cell r="S147">
            <v>51981</v>
          </cell>
          <cell r="T147">
            <v>0</v>
          </cell>
          <cell r="U147">
            <v>560</v>
          </cell>
        </row>
        <row r="148">
          <cell r="A148">
            <v>39082</v>
          </cell>
          <cell r="B148" t="str">
            <v>Other Administration Charges</v>
          </cell>
          <cell r="C148">
            <v>0</v>
          </cell>
          <cell r="D148" t="str">
            <v>PAM</v>
          </cell>
          <cell r="E148" t="str">
            <v>Stationery &amp; Printing</v>
          </cell>
          <cell r="F148" t="str">
            <v>Total Charges</v>
          </cell>
          <cell r="G148" t="str">
            <v>7062260</v>
          </cell>
          <cell r="H148">
            <v>0</v>
          </cell>
          <cell r="I148">
            <v>0</v>
          </cell>
          <cell r="J148">
            <v>0</v>
          </cell>
          <cell r="K148" t="str">
            <v>7</v>
          </cell>
          <cell r="L148">
            <v>0</v>
          </cell>
          <cell r="M148">
            <v>0</v>
          </cell>
          <cell r="N148">
            <v>1628497.22</v>
          </cell>
          <cell r="O148">
            <v>580487</v>
          </cell>
          <cell r="P148">
            <v>668354.68999999994</v>
          </cell>
          <cell r="Q148">
            <v>0</v>
          </cell>
          <cell r="R148">
            <v>0</v>
          </cell>
          <cell r="S148">
            <v>106901.05</v>
          </cell>
          <cell r="T148">
            <v>0</v>
          </cell>
          <cell r="U148">
            <v>6114.23</v>
          </cell>
        </row>
        <row r="149">
          <cell r="A149">
            <v>39082</v>
          </cell>
          <cell r="B149" t="str">
            <v>Other Administration Charges</v>
          </cell>
          <cell r="C149">
            <v>0</v>
          </cell>
          <cell r="D149" t="str">
            <v>PAM</v>
          </cell>
          <cell r="E149" t="str">
            <v>Stationery &amp; Printing</v>
          </cell>
          <cell r="F149" t="str">
            <v>Total Charges</v>
          </cell>
          <cell r="G149" t="str">
            <v>7062265</v>
          </cell>
          <cell r="H149">
            <v>0</v>
          </cell>
          <cell r="I149">
            <v>0</v>
          </cell>
          <cell r="J149">
            <v>0</v>
          </cell>
          <cell r="K149" t="str">
            <v>7</v>
          </cell>
          <cell r="L149">
            <v>0</v>
          </cell>
          <cell r="M149">
            <v>0</v>
          </cell>
          <cell r="N149">
            <v>424848.42</v>
          </cell>
          <cell r="O149">
            <v>43654.37</v>
          </cell>
          <cell r="P149">
            <v>48331.63</v>
          </cell>
          <cell r="Q149">
            <v>242838.42</v>
          </cell>
          <cell r="R149">
            <v>0</v>
          </cell>
          <cell r="S149">
            <v>2512.6999999999998</v>
          </cell>
          <cell r="T149">
            <v>0</v>
          </cell>
          <cell r="U149">
            <v>920</v>
          </cell>
        </row>
        <row r="150">
          <cell r="A150">
            <v>39082</v>
          </cell>
          <cell r="B150" t="str">
            <v>Other Administration Charges</v>
          </cell>
          <cell r="C150">
            <v>0</v>
          </cell>
          <cell r="D150" t="str">
            <v>PAN</v>
          </cell>
          <cell r="E150" t="str">
            <v>Cheque Books &amp; Draft Books</v>
          </cell>
          <cell r="F150" t="str">
            <v>Total Charges</v>
          </cell>
          <cell r="G150" t="str">
            <v>7062270</v>
          </cell>
          <cell r="H150">
            <v>0</v>
          </cell>
          <cell r="I150">
            <v>0</v>
          </cell>
          <cell r="J150">
            <v>0</v>
          </cell>
          <cell r="K150" t="str">
            <v>7</v>
          </cell>
          <cell r="L150">
            <v>0</v>
          </cell>
          <cell r="M150">
            <v>0</v>
          </cell>
          <cell r="N150">
            <v>413685.25</v>
          </cell>
          <cell r="O150">
            <v>91567.08</v>
          </cell>
          <cell r="P150">
            <v>119040.47</v>
          </cell>
          <cell r="Q150">
            <v>79878</v>
          </cell>
          <cell r="R150">
            <v>0</v>
          </cell>
          <cell r="S150">
            <v>53919.95</v>
          </cell>
          <cell r="T150">
            <v>0</v>
          </cell>
          <cell r="U150">
            <v>0</v>
          </cell>
        </row>
        <row r="151">
          <cell r="A151">
            <v>39082</v>
          </cell>
          <cell r="B151" t="str">
            <v>Other Administration Charges</v>
          </cell>
          <cell r="C151">
            <v>0</v>
          </cell>
          <cell r="D151" t="str">
            <v>PAP</v>
          </cell>
          <cell r="E151" t="str">
            <v>Travelling Expenses</v>
          </cell>
          <cell r="F151" t="str">
            <v>Total Charges</v>
          </cell>
          <cell r="G151" t="str">
            <v>7062290</v>
          </cell>
          <cell r="H151">
            <v>0</v>
          </cell>
          <cell r="I151">
            <v>0</v>
          </cell>
          <cell r="J151">
            <v>0</v>
          </cell>
          <cell r="K151" t="str">
            <v>7</v>
          </cell>
          <cell r="L151">
            <v>0</v>
          </cell>
          <cell r="M151">
            <v>0</v>
          </cell>
          <cell r="N151">
            <v>2549655.4</v>
          </cell>
          <cell r="O151">
            <v>926518.29</v>
          </cell>
          <cell r="P151">
            <v>1110197.1100000001</v>
          </cell>
          <cell r="Q151">
            <v>239192</v>
          </cell>
          <cell r="R151">
            <v>0</v>
          </cell>
          <cell r="S151">
            <v>35232</v>
          </cell>
          <cell r="T151">
            <v>0</v>
          </cell>
          <cell r="U151">
            <v>11249</v>
          </cell>
        </row>
        <row r="152">
          <cell r="A152">
            <v>39082</v>
          </cell>
          <cell r="B152" t="str">
            <v>Other Administration Charges</v>
          </cell>
          <cell r="C152">
            <v>0</v>
          </cell>
          <cell r="D152" t="str">
            <v>PAQ</v>
          </cell>
          <cell r="E152" t="str">
            <v>Miscellaneous</v>
          </cell>
          <cell r="F152" t="str">
            <v>Total Charges</v>
          </cell>
          <cell r="G152" t="str">
            <v>7062320</v>
          </cell>
          <cell r="H152">
            <v>0</v>
          </cell>
          <cell r="I152">
            <v>0</v>
          </cell>
          <cell r="J152">
            <v>0</v>
          </cell>
          <cell r="K152" t="str">
            <v>7</v>
          </cell>
          <cell r="L152">
            <v>0</v>
          </cell>
          <cell r="M152">
            <v>0</v>
          </cell>
          <cell r="N152">
            <v>-822264.5</v>
          </cell>
          <cell r="O152">
            <v>-447715.12</v>
          </cell>
          <cell r="P152">
            <v>-453225.4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78676.02</v>
          </cell>
        </row>
        <row r="153">
          <cell r="A153">
            <v>39082</v>
          </cell>
          <cell r="B153" t="str">
            <v>Other Administration Charges</v>
          </cell>
          <cell r="C153">
            <v>0</v>
          </cell>
          <cell r="D153" t="str">
            <v>PAQ</v>
          </cell>
          <cell r="E153" t="str">
            <v>Miscellaneous</v>
          </cell>
          <cell r="F153" t="str">
            <v>Total Charges</v>
          </cell>
          <cell r="G153" t="str">
            <v>7062400</v>
          </cell>
          <cell r="H153">
            <v>0</v>
          </cell>
          <cell r="I153">
            <v>0</v>
          </cell>
          <cell r="J153">
            <v>0</v>
          </cell>
          <cell r="K153" t="str">
            <v>7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</row>
        <row r="154">
          <cell r="A154">
            <v>39082</v>
          </cell>
          <cell r="B154" t="str">
            <v>Other Administration Charges</v>
          </cell>
          <cell r="C154">
            <v>0</v>
          </cell>
          <cell r="D154" t="str">
            <v>PAQ</v>
          </cell>
          <cell r="E154" t="str">
            <v>Miscellaneous</v>
          </cell>
          <cell r="F154" t="str">
            <v>Total Charges</v>
          </cell>
          <cell r="G154" t="str">
            <v>7062600</v>
          </cell>
          <cell r="H154">
            <v>0</v>
          </cell>
          <cell r="I154">
            <v>0</v>
          </cell>
          <cell r="J154">
            <v>0</v>
          </cell>
          <cell r="K154" t="str">
            <v>7</v>
          </cell>
          <cell r="L154">
            <v>0</v>
          </cell>
          <cell r="M154">
            <v>0</v>
          </cell>
          <cell r="N154">
            <v>247489.56</v>
          </cell>
          <cell r="O154">
            <v>34070.31</v>
          </cell>
          <cell r="P154">
            <v>41630.69</v>
          </cell>
          <cell r="Q154">
            <v>24017.56</v>
          </cell>
          <cell r="R154">
            <v>0</v>
          </cell>
          <cell r="S154">
            <v>118949</v>
          </cell>
          <cell r="T154">
            <v>0</v>
          </cell>
          <cell r="U154">
            <v>932</v>
          </cell>
        </row>
        <row r="155">
          <cell r="A155">
            <v>39082</v>
          </cell>
          <cell r="B155" t="str">
            <v>Other Administration Charges</v>
          </cell>
          <cell r="C155">
            <v>0</v>
          </cell>
          <cell r="D155" t="str">
            <v>PAR</v>
          </cell>
          <cell r="E155" t="str">
            <v>RTGS / SWIFT Charges</v>
          </cell>
          <cell r="F155" t="str">
            <v>Total Charges</v>
          </cell>
          <cell r="G155" t="str">
            <v>7062225</v>
          </cell>
          <cell r="H155">
            <v>0</v>
          </cell>
          <cell r="I155">
            <v>0</v>
          </cell>
          <cell r="J155">
            <v>0</v>
          </cell>
          <cell r="K155" t="str">
            <v>7</v>
          </cell>
          <cell r="L155">
            <v>0</v>
          </cell>
          <cell r="M155">
            <v>0</v>
          </cell>
          <cell r="N155">
            <v>1589512.3</v>
          </cell>
          <cell r="O155">
            <v>743111.13</v>
          </cell>
          <cell r="P155">
            <v>822730.17</v>
          </cell>
          <cell r="Q155">
            <v>23215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</row>
        <row r="156">
          <cell r="A156">
            <v>39082</v>
          </cell>
          <cell r="B156" t="str">
            <v>Other Administration Charges</v>
          </cell>
          <cell r="C156">
            <v>0</v>
          </cell>
          <cell r="D156" t="str">
            <v>PAR</v>
          </cell>
          <cell r="E156" t="str">
            <v>RTGS / SWIFT Charges</v>
          </cell>
          <cell r="F156" t="str">
            <v>Total Charges</v>
          </cell>
          <cell r="G156" t="str">
            <v>7062340</v>
          </cell>
          <cell r="H156">
            <v>0</v>
          </cell>
          <cell r="I156">
            <v>0</v>
          </cell>
          <cell r="J156">
            <v>0</v>
          </cell>
          <cell r="K156" t="str">
            <v>7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</row>
        <row r="157">
          <cell r="A157">
            <v>39082</v>
          </cell>
          <cell r="B157" t="str">
            <v>Other Administration Charges</v>
          </cell>
          <cell r="C157">
            <v>0</v>
          </cell>
          <cell r="D157" t="str">
            <v>PAS</v>
          </cell>
          <cell r="E157" t="str">
            <v>MCBS/VIBS/MC SWITCH FEE Charges</v>
          </cell>
          <cell r="F157" t="str">
            <v>Total Charges</v>
          </cell>
          <cell r="G157" t="str">
            <v>7062329</v>
          </cell>
          <cell r="H157">
            <v>0</v>
          </cell>
          <cell r="I157">
            <v>0</v>
          </cell>
          <cell r="J157">
            <v>0</v>
          </cell>
          <cell r="K157" t="str">
            <v>7</v>
          </cell>
          <cell r="L157">
            <v>0</v>
          </cell>
          <cell r="M157">
            <v>0</v>
          </cell>
          <cell r="N157">
            <v>1094.03</v>
          </cell>
          <cell r="O157">
            <v>1094.03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</row>
        <row r="158">
          <cell r="A158">
            <v>39082</v>
          </cell>
          <cell r="B158" t="str">
            <v>Other Administration Charges</v>
          </cell>
          <cell r="C158">
            <v>0</v>
          </cell>
          <cell r="D158" t="str">
            <v>PAS</v>
          </cell>
          <cell r="E158" t="str">
            <v>MCBS/VIBS/MC SWITCH FEE Charges</v>
          </cell>
          <cell r="F158" t="str">
            <v>Total Charges</v>
          </cell>
          <cell r="G158" t="str">
            <v>7062330</v>
          </cell>
          <cell r="H158">
            <v>0</v>
          </cell>
          <cell r="I158">
            <v>0</v>
          </cell>
          <cell r="J158">
            <v>0</v>
          </cell>
          <cell r="K158" t="str">
            <v>7</v>
          </cell>
          <cell r="L158">
            <v>0</v>
          </cell>
          <cell r="M158">
            <v>0</v>
          </cell>
          <cell r="N158">
            <v>770747.29</v>
          </cell>
          <cell r="O158">
            <v>770747.29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</row>
        <row r="159">
          <cell r="A159">
            <v>39082</v>
          </cell>
          <cell r="B159" t="str">
            <v>Other Administration Charges</v>
          </cell>
          <cell r="C159">
            <v>0</v>
          </cell>
          <cell r="D159" t="str">
            <v>PAS</v>
          </cell>
          <cell r="E159" t="str">
            <v>MCBS/VIBS/MC SWITCH FEE Charges</v>
          </cell>
          <cell r="F159" t="str">
            <v>Total Charges</v>
          </cell>
          <cell r="G159" t="str">
            <v>7062332</v>
          </cell>
          <cell r="H159">
            <v>0</v>
          </cell>
          <cell r="I159">
            <v>0</v>
          </cell>
          <cell r="J159">
            <v>0</v>
          </cell>
          <cell r="K159" t="str">
            <v>7</v>
          </cell>
          <cell r="L159">
            <v>0</v>
          </cell>
          <cell r="M159">
            <v>0</v>
          </cell>
          <cell r="N159">
            <v>1673.29</v>
          </cell>
          <cell r="O159">
            <v>1673.29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</row>
        <row r="160">
          <cell r="A160">
            <v>39082</v>
          </cell>
          <cell r="B160" t="str">
            <v>Other Administration Charges</v>
          </cell>
          <cell r="C160">
            <v>0</v>
          </cell>
          <cell r="D160" t="str">
            <v>PAW</v>
          </cell>
          <cell r="E160" t="str">
            <v>Foreign Currency Repatriation</v>
          </cell>
          <cell r="F160" t="str">
            <v>Total Charges</v>
          </cell>
          <cell r="G160" t="str">
            <v>7062200</v>
          </cell>
          <cell r="H160">
            <v>0</v>
          </cell>
          <cell r="I160">
            <v>0</v>
          </cell>
          <cell r="J160">
            <v>0</v>
          </cell>
          <cell r="K160" t="str">
            <v>7</v>
          </cell>
          <cell r="L160">
            <v>0</v>
          </cell>
          <cell r="M160">
            <v>0</v>
          </cell>
          <cell r="N160">
            <v>899794.02</v>
          </cell>
          <cell r="O160">
            <v>427020.89</v>
          </cell>
          <cell r="P160">
            <v>472773.13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</row>
        <row r="161">
          <cell r="A161">
            <v>39082</v>
          </cell>
          <cell r="B161" t="str">
            <v>Other Sources</v>
          </cell>
          <cell r="C161">
            <v>0</v>
          </cell>
          <cell r="D161" t="str">
            <v>BAA</v>
          </cell>
          <cell r="E161" t="str">
            <v>Loans at Call</v>
          </cell>
          <cell r="F161" t="str">
            <v>Total Interest Income</v>
          </cell>
          <cell r="G161" t="str">
            <v>5015100</v>
          </cell>
          <cell r="H161">
            <v>0</v>
          </cell>
          <cell r="I161">
            <v>0</v>
          </cell>
          <cell r="J161">
            <v>0</v>
          </cell>
          <cell r="K161" t="str">
            <v>5</v>
          </cell>
          <cell r="L161">
            <v>0</v>
          </cell>
          <cell r="M161">
            <v>0</v>
          </cell>
          <cell r="N161">
            <v>-24249325.84</v>
          </cell>
          <cell r="O161">
            <v>0</v>
          </cell>
          <cell r="P161">
            <v>-24249325.84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</row>
        <row r="162">
          <cell r="A162">
            <v>39082</v>
          </cell>
          <cell r="B162" t="str">
            <v>Other Sources</v>
          </cell>
          <cell r="C162">
            <v>0</v>
          </cell>
          <cell r="D162" t="str">
            <v>BAA</v>
          </cell>
          <cell r="E162" t="str">
            <v>Loans at Call</v>
          </cell>
          <cell r="F162" t="str">
            <v>Total Interest Income</v>
          </cell>
          <cell r="G162" t="str">
            <v>5031855</v>
          </cell>
          <cell r="H162">
            <v>0</v>
          </cell>
          <cell r="I162">
            <v>0</v>
          </cell>
          <cell r="J162">
            <v>0</v>
          </cell>
          <cell r="K162" t="str">
            <v>5</v>
          </cell>
          <cell r="L162">
            <v>0</v>
          </cell>
          <cell r="M162">
            <v>0</v>
          </cell>
          <cell r="N162">
            <v>-25368543.890000001</v>
          </cell>
          <cell r="O162">
            <v>0</v>
          </cell>
          <cell r="P162">
            <v>-25368543.890000001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</row>
        <row r="163">
          <cell r="A163">
            <v>39082</v>
          </cell>
          <cell r="B163" t="str">
            <v>Other Sources</v>
          </cell>
          <cell r="C163">
            <v>0</v>
          </cell>
          <cell r="D163" t="str">
            <v>BAB</v>
          </cell>
          <cell r="E163" t="str">
            <v>Treasury Bills</v>
          </cell>
          <cell r="F163" t="str">
            <v>Total Interest Income</v>
          </cell>
          <cell r="G163" t="str">
            <v>5015000</v>
          </cell>
          <cell r="H163">
            <v>0</v>
          </cell>
          <cell r="I163">
            <v>0</v>
          </cell>
          <cell r="J163">
            <v>0</v>
          </cell>
          <cell r="K163" t="str">
            <v>5</v>
          </cell>
          <cell r="L163">
            <v>0</v>
          </cell>
          <cell r="M163">
            <v>0</v>
          </cell>
          <cell r="N163">
            <v>-59857609.090000004</v>
          </cell>
          <cell r="O163">
            <v>0</v>
          </cell>
          <cell r="P163">
            <v>-59857609.090000004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</row>
        <row r="164">
          <cell r="A164">
            <v>39082</v>
          </cell>
          <cell r="B164" t="str">
            <v>Other Sources</v>
          </cell>
          <cell r="C164">
            <v>0</v>
          </cell>
          <cell r="D164" t="str">
            <v>BAC</v>
          </cell>
          <cell r="E164" t="str">
            <v>Treasury Bonds</v>
          </cell>
          <cell r="F164" t="str">
            <v>Total Interest Income</v>
          </cell>
          <cell r="G164" t="str">
            <v>5015050</v>
          </cell>
          <cell r="H164">
            <v>0</v>
          </cell>
          <cell r="I164">
            <v>0</v>
          </cell>
          <cell r="J164">
            <v>0</v>
          </cell>
          <cell r="K164" t="str">
            <v>5</v>
          </cell>
          <cell r="L164">
            <v>0</v>
          </cell>
          <cell r="M164">
            <v>0</v>
          </cell>
          <cell r="N164">
            <v>-113500</v>
          </cell>
          <cell r="O164">
            <v>0</v>
          </cell>
          <cell r="P164">
            <v>-113500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</row>
        <row r="165">
          <cell r="A165">
            <v>39082</v>
          </cell>
          <cell r="B165" t="str">
            <v>Other Sources</v>
          </cell>
          <cell r="C165">
            <v>0</v>
          </cell>
          <cell r="D165" t="str">
            <v>BAD</v>
          </cell>
          <cell r="E165" t="str">
            <v>Capital Gain Bond Trading</v>
          </cell>
          <cell r="F165" t="str">
            <v>Total Interest Income</v>
          </cell>
          <cell r="G165" t="str">
            <v>5015060</v>
          </cell>
          <cell r="H165">
            <v>0</v>
          </cell>
          <cell r="I165">
            <v>0</v>
          </cell>
          <cell r="J165">
            <v>0</v>
          </cell>
          <cell r="K165" t="str">
            <v>5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</row>
        <row r="166">
          <cell r="A166">
            <v>39082</v>
          </cell>
          <cell r="B166" t="str">
            <v>Other Sources</v>
          </cell>
          <cell r="C166">
            <v>0</v>
          </cell>
          <cell r="D166" t="str">
            <v>BAE</v>
          </cell>
          <cell r="E166" t="str">
            <v>Agents</v>
          </cell>
          <cell r="F166" t="str">
            <v>Total Interest Income</v>
          </cell>
          <cell r="G166" t="str">
            <v>5011000</v>
          </cell>
          <cell r="H166">
            <v>0</v>
          </cell>
          <cell r="I166">
            <v>0</v>
          </cell>
          <cell r="J166">
            <v>0</v>
          </cell>
          <cell r="K166" t="str">
            <v>5</v>
          </cell>
          <cell r="L166">
            <v>0</v>
          </cell>
          <cell r="M166">
            <v>0</v>
          </cell>
          <cell r="N166">
            <v>-54864332</v>
          </cell>
          <cell r="O166">
            <v>0</v>
          </cell>
          <cell r="P166">
            <v>-177775</v>
          </cell>
          <cell r="Q166">
            <v>-33318790</v>
          </cell>
          <cell r="R166">
            <v>0</v>
          </cell>
          <cell r="S166">
            <v>-18148269</v>
          </cell>
          <cell r="T166">
            <v>0</v>
          </cell>
          <cell r="U166">
            <v>0</v>
          </cell>
        </row>
        <row r="167">
          <cell r="A167">
            <v>39082</v>
          </cell>
          <cell r="B167" t="str">
            <v>Other Sources</v>
          </cell>
          <cell r="C167">
            <v>0</v>
          </cell>
          <cell r="D167" t="str">
            <v>BAE</v>
          </cell>
          <cell r="E167" t="str">
            <v>Agents</v>
          </cell>
          <cell r="F167" t="str">
            <v>Total Interest Income</v>
          </cell>
          <cell r="G167" t="str">
            <v>5011090</v>
          </cell>
          <cell r="H167">
            <v>0</v>
          </cell>
          <cell r="I167">
            <v>0</v>
          </cell>
          <cell r="J167">
            <v>0</v>
          </cell>
          <cell r="K167" t="str">
            <v>5</v>
          </cell>
          <cell r="L167">
            <v>0</v>
          </cell>
          <cell r="M167">
            <v>0</v>
          </cell>
          <cell r="N167">
            <v>-48486442.439999998</v>
          </cell>
          <cell r="O167">
            <v>0</v>
          </cell>
          <cell r="P167">
            <v>-48486442.439999998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</row>
        <row r="168">
          <cell r="A168">
            <v>39082</v>
          </cell>
          <cell r="B168" t="str">
            <v>Other Sources</v>
          </cell>
          <cell r="C168">
            <v>0</v>
          </cell>
          <cell r="D168" t="str">
            <v>BAE</v>
          </cell>
          <cell r="E168" t="str">
            <v>Agents</v>
          </cell>
          <cell r="F168" t="str">
            <v>Total Interest Income</v>
          </cell>
          <cell r="G168" t="str">
            <v>5015110</v>
          </cell>
          <cell r="H168">
            <v>0</v>
          </cell>
          <cell r="I168">
            <v>0</v>
          </cell>
          <cell r="J168">
            <v>0</v>
          </cell>
          <cell r="K168" t="str">
            <v>5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</row>
        <row r="169">
          <cell r="A169">
            <v>39082</v>
          </cell>
          <cell r="B169" t="str">
            <v>Other Sources</v>
          </cell>
          <cell r="C169">
            <v>0</v>
          </cell>
          <cell r="D169" t="str">
            <v>BAE</v>
          </cell>
          <cell r="E169" t="str">
            <v>Agents</v>
          </cell>
          <cell r="F169" t="str">
            <v>Total Interest Income</v>
          </cell>
          <cell r="G169" t="str">
            <v>5015115</v>
          </cell>
          <cell r="H169">
            <v>0</v>
          </cell>
          <cell r="I169">
            <v>0</v>
          </cell>
          <cell r="J169">
            <v>0</v>
          </cell>
          <cell r="K169" t="str">
            <v>5</v>
          </cell>
          <cell r="L169">
            <v>0</v>
          </cell>
          <cell r="M169">
            <v>0</v>
          </cell>
          <cell r="N169">
            <v>-4670575.25</v>
          </cell>
          <cell r="O169">
            <v>0</v>
          </cell>
          <cell r="P169">
            <v>-4670575.25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</row>
        <row r="170">
          <cell r="A170">
            <v>39082</v>
          </cell>
          <cell r="B170" t="str">
            <v>Other Sources</v>
          </cell>
          <cell r="C170">
            <v>0</v>
          </cell>
          <cell r="D170" t="str">
            <v>BAE</v>
          </cell>
          <cell r="E170" t="str">
            <v>Agents</v>
          </cell>
          <cell r="F170" t="str">
            <v>Total Interest Income</v>
          </cell>
          <cell r="G170" t="str">
            <v>5015200</v>
          </cell>
          <cell r="H170">
            <v>0</v>
          </cell>
          <cell r="I170">
            <v>0</v>
          </cell>
          <cell r="J170">
            <v>0</v>
          </cell>
          <cell r="K170" t="str">
            <v>5</v>
          </cell>
          <cell r="L170">
            <v>0</v>
          </cell>
          <cell r="M170">
            <v>0</v>
          </cell>
          <cell r="N170">
            <v>-19904975.77</v>
          </cell>
          <cell r="O170">
            <v>0</v>
          </cell>
          <cell r="P170">
            <v>-19904975.77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</row>
        <row r="171">
          <cell r="A171">
            <v>39082</v>
          </cell>
          <cell r="B171" t="str">
            <v>Other Sources</v>
          </cell>
          <cell r="C171">
            <v>0</v>
          </cell>
          <cell r="D171" t="str">
            <v>BAE</v>
          </cell>
          <cell r="E171" t="str">
            <v>Agents</v>
          </cell>
          <cell r="F171" t="str">
            <v>Total Interest Income</v>
          </cell>
          <cell r="G171" t="str">
            <v>5615200</v>
          </cell>
          <cell r="H171">
            <v>0</v>
          </cell>
          <cell r="I171">
            <v>0</v>
          </cell>
          <cell r="J171">
            <v>0</v>
          </cell>
          <cell r="K171" t="str">
            <v>5</v>
          </cell>
          <cell r="L171">
            <v>0</v>
          </cell>
          <cell r="M171">
            <v>0</v>
          </cell>
          <cell r="N171">
            <v>-26673133.73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-26673133.73</v>
          </cell>
        </row>
        <row r="172">
          <cell r="A172">
            <v>39082</v>
          </cell>
          <cell r="B172" t="str">
            <v>Other Sources</v>
          </cell>
          <cell r="C172">
            <v>0</v>
          </cell>
          <cell r="D172" t="str">
            <v>BAE</v>
          </cell>
          <cell r="E172" t="str">
            <v>Agents</v>
          </cell>
          <cell r="F172" t="str">
            <v>Total Interest Income</v>
          </cell>
          <cell r="G172" t="str">
            <v>7011000</v>
          </cell>
          <cell r="H172">
            <v>0</v>
          </cell>
          <cell r="I172">
            <v>0</v>
          </cell>
          <cell r="J172">
            <v>0</v>
          </cell>
          <cell r="K172" t="str">
            <v>7</v>
          </cell>
          <cell r="L172">
            <v>0</v>
          </cell>
          <cell r="M172">
            <v>0</v>
          </cell>
          <cell r="N172">
            <v>54864332</v>
          </cell>
          <cell r="O172">
            <v>0</v>
          </cell>
          <cell r="P172">
            <v>54686557</v>
          </cell>
          <cell r="Q172">
            <v>0</v>
          </cell>
          <cell r="R172">
            <v>0</v>
          </cell>
          <cell r="S172">
            <v>177775</v>
          </cell>
          <cell r="T172">
            <v>0</v>
          </cell>
          <cell r="U172">
            <v>0</v>
          </cell>
        </row>
        <row r="173">
          <cell r="A173">
            <v>39082</v>
          </cell>
          <cell r="B173" t="str">
            <v>Other Sources</v>
          </cell>
          <cell r="C173">
            <v>0</v>
          </cell>
          <cell r="D173" t="str">
            <v>BAE</v>
          </cell>
          <cell r="E173" t="str">
            <v>Agents</v>
          </cell>
          <cell r="F173" t="str">
            <v>Total Interest Income</v>
          </cell>
          <cell r="G173" t="str">
            <v>7011145</v>
          </cell>
          <cell r="H173">
            <v>0</v>
          </cell>
          <cell r="I173">
            <v>0</v>
          </cell>
          <cell r="J173">
            <v>0</v>
          </cell>
          <cell r="K173" t="str">
            <v>7</v>
          </cell>
          <cell r="L173">
            <v>0</v>
          </cell>
          <cell r="M173">
            <v>0</v>
          </cell>
          <cell r="N173">
            <v>10317.67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10317.67</v>
          </cell>
        </row>
        <row r="174">
          <cell r="A174">
            <v>39082</v>
          </cell>
          <cell r="B174" t="str">
            <v>Other Sources</v>
          </cell>
          <cell r="C174">
            <v>0</v>
          </cell>
          <cell r="D174" t="str">
            <v>BAE</v>
          </cell>
          <cell r="E174" t="str">
            <v>Agents</v>
          </cell>
          <cell r="F174" t="str">
            <v>Total Interest Income</v>
          </cell>
          <cell r="G174" t="str">
            <v>7612110</v>
          </cell>
          <cell r="H174">
            <v>0</v>
          </cell>
          <cell r="I174">
            <v>0</v>
          </cell>
          <cell r="J174">
            <v>0</v>
          </cell>
          <cell r="K174" t="str">
            <v>7</v>
          </cell>
          <cell r="L174">
            <v>0</v>
          </cell>
          <cell r="M174">
            <v>0</v>
          </cell>
          <cell r="N174">
            <v>4670575.25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4670575.25</v>
          </cell>
        </row>
        <row r="175">
          <cell r="A175">
            <v>39082</v>
          </cell>
          <cell r="B175" t="str">
            <v>Professional Services</v>
          </cell>
          <cell r="C175">
            <v>0</v>
          </cell>
          <cell r="D175" t="str">
            <v>OAA</v>
          </cell>
          <cell r="E175" t="str">
            <v>Auditors Fees</v>
          </cell>
          <cell r="F175" t="str">
            <v>Total Charges</v>
          </cell>
          <cell r="G175" t="str">
            <v>7061110</v>
          </cell>
          <cell r="H175">
            <v>0</v>
          </cell>
          <cell r="I175">
            <v>0</v>
          </cell>
          <cell r="J175">
            <v>0</v>
          </cell>
          <cell r="K175" t="str">
            <v>7</v>
          </cell>
          <cell r="L175">
            <v>0</v>
          </cell>
          <cell r="M175">
            <v>0</v>
          </cell>
          <cell r="N175">
            <v>519017.96</v>
          </cell>
          <cell r="O175">
            <v>209617.85</v>
          </cell>
          <cell r="P175">
            <v>232076.9</v>
          </cell>
          <cell r="Q175">
            <v>77323.210000000006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</row>
        <row r="176">
          <cell r="A176">
            <v>39082</v>
          </cell>
          <cell r="B176" t="str">
            <v>Professional Services</v>
          </cell>
          <cell r="C176">
            <v>0</v>
          </cell>
          <cell r="D176" t="str">
            <v>OAC</v>
          </cell>
          <cell r="E176" t="str">
            <v>Professional &amp; Legal Expenses</v>
          </cell>
          <cell r="F176" t="str">
            <v>Total Charges</v>
          </cell>
          <cell r="G176" t="str">
            <v>7061140</v>
          </cell>
          <cell r="H176">
            <v>0</v>
          </cell>
          <cell r="I176">
            <v>0</v>
          </cell>
          <cell r="J176">
            <v>0</v>
          </cell>
          <cell r="K176" t="str">
            <v>7</v>
          </cell>
          <cell r="L176">
            <v>0</v>
          </cell>
          <cell r="M176">
            <v>0</v>
          </cell>
          <cell r="N176">
            <v>512057.63</v>
          </cell>
          <cell r="O176">
            <v>229886.02</v>
          </cell>
          <cell r="P176">
            <v>255116.66</v>
          </cell>
          <cell r="Q176">
            <v>25854.95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</row>
        <row r="177">
          <cell r="A177">
            <v>39082</v>
          </cell>
          <cell r="B177" t="str">
            <v>Professional Services</v>
          </cell>
          <cell r="C177">
            <v>0</v>
          </cell>
          <cell r="D177" t="str">
            <v>OAC</v>
          </cell>
          <cell r="E177" t="str">
            <v>Professional &amp; Legal Expenses</v>
          </cell>
          <cell r="F177" t="str">
            <v>Total Charges</v>
          </cell>
          <cell r="G177" t="str">
            <v>7061150</v>
          </cell>
          <cell r="H177">
            <v>0</v>
          </cell>
          <cell r="I177">
            <v>0</v>
          </cell>
          <cell r="J177">
            <v>0</v>
          </cell>
          <cell r="K177" t="str">
            <v>7</v>
          </cell>
          <cell r="L177">
            <v>0</v>
          </cell>
          <cell r="M177">
            <v>0</v>
          </cell>
          <cell r="N177">
            <v>1082245</v>
          </cell>
          <cell r="O177">
            <v>420058.14</v>
          </cell>
          <cell r="P177">
            <v>465064.36</v>
          </cell>
          <cell r="Q177">
            <v>197122.5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</row>
        <row r="178">
          <cell r="A178">
            <v>39082</v>
          </cell>
          <cell r="B178" t="str">
            <v>Professional Services</v>
          </cell>
          <cell r="C178">
            <v>0</v>
          </cell>
          <cell r="D178" t="str">
            <v>OAD</v>
          </cell>
          <cell r="E178" t="str">
            <v>Teleprinter Services</v>
          </cell>
          <cell r="F178" t="str">
            <v>Total Charges</v>
          </cell>
          <cell r="G178" t="str">
            <v>7061130</v>
          </cell>
          <cell r="H178">
            <v>0</v>
          </cell>
          <cell r="I178">
            <v>0</v>
          </cell>
          <cell r="J178">
            <v>0</v>
          </cell>
          <cell r="K178" t="str">
            <v>7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</row>
        <row r="179">
          <cell r="A179">
            <v>39082</v>
          </cell>
          <cell r="B179" t="str">
            <v>Professional Services</v>
          </cell>
          <cell r="C179">
            <v>0</v>
          </cell>
          <cell r="D179" t="str">
            <v>OAD</v>
          </cell>
          <cell r="E179" t="str">
            <v>Teleprinter Services</v>
          </cell>
          <cell r="F179" t="str">
            <v>Total Charges</v>
          </cell>
          <cell r="G179" t="str">
            <v>7062325</v>
          </cell>
          <cell r="H179">
            <v>0</v>
          </cell>
          <cell r="I179">
            <v>0</v>
          </cell>
          <cell r="J179">
            <v>0</v>
          </cell>
          <cell r="K179" t="str">
            <v>7</v>
          </cell>
          <cell r="L179">
            <v>0</v>
          </cell>
          <cell r="M179">
            <v>0</v>
          </cell>
          <cell r="N179">
            <v>11087</v>
          </cell>
          <cell r="O179">
            <v>0</v>
          </cell>
          <cell r="P179">
            <v>0</v>
          </cell>
          <cell r="Q179">
            <v>11087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</row>
        <row r="180">
          <cell r="A180">
            <v>39082</v>
          </cell>
          <cell r="B180" t="str">
            <v>Special</v>
          </cell>
          <cell r="C180">
            <v>0</v>
          </cell>
          <cell r="D180" t="str">
            <v>IAA</v>
          </cell>
          <cell r="E180" t="str">
            <v>Special Credits</v>
          </cell>
          <cell r="F180" t="str">
            <v>Special</v>
          </cell>
          <cell r="G180" t="str">
            <v>5012600</v>
          </cell>
          <cell r="H180">
            <v>0</v>
          </cell>
          <cell r="I180">
            <v>0</v>
          </cell>
          <cell r="J180">
            <v>0</v>
          </cell>
          <cell r="K180" t="str">
            <v>5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</row>
        <row r="181">
          <cell r="A181">
            <v>39082</v>
          </cell>
          <cell r="B181" t="str">
            <v>Special</v>
          </cell>
          <cell r="C181">
            <v>0</v>
          </cell>
          <cell r="D181" t="str">
            <v>IAA</v>
          </cell>
          <cell r="E181" t="str">
            <v>Special Credits</v>
          </cell>
          <cell r="F181" t="str">
            <v>Special</v>
          </cell>
          <cell r="G181" t="str">
            <v>5051000</v>
          </cell>
          <cell r="H181">
            <v>0</v>
          </cell>
          <cell r="I181">
            <v>0</v>
          </cell>
          <cell r="J181">
            <v>0</v>
          </cell>
          <cell r="K181" t="str">
            <v>5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</row>
        <row r="182">
          <cell r="A182">
            <v>39082</v>
          </cell>
          <cell r="B182" t="str">
            <v>Special</v>
          </cell>
          <cell r="C182">
            <v>0</v>
          </cell>
          <cell r="D182" t="str">
            <v>IAA</v>
          </cell>
          <cell r="E182" t="str">
            <v>Special Credits</v>
          </cell>
          <cell r="F182" t="str">
            <v>Special</v>
          </cell>
          <cell r="G182" t="str">
            <v>5052100</v>
          </cell>
          <cell r="H182">
            <v>0</v>
          </cell>
          <cell r="I182">
            <v>0</v>
          </cell>
          <cell r="J182">
            <v>0</v>
          </cell>
          <cell r="K182" t="str">
            <v>5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</row>
        <row r="183">
          <cell r="A183">
            <v>39082</v>
          </cell>
          <cell r="B183" t="str">
            <v>Special</v>
          </cell>
          <cell r="C183">
            <v>0</v>
          </cell>
          <cell r="D183" t="str">
            <v>IAA</v>
          </cell>
          <cell r="E183" t="str">
            <v>Special Credits</v>
          </cell>
          <cell r="F183" t="str">
            <v>Special</v>
          </cell>
          <cell r="G183" t="str">
            <v>5053000</v>
          </cell>
          <cell r="H183">
            <v>0</v>
          </cell>
          <cell r="I183">
            <v>0</v>
          </cell>
          <cell r="J183">
            <v>0</v>
          </cell>
          <cell r="K183" t="str">
            <v>5</v>
          </cell>
          <cell r="L183">
            <v>0</v>
          </cell>
          <cell r="M183">
            <v>0</v>
          </cell>
          <cell r="N183">
            <v>-15999880</v>
          </cell>
          <cell r="O183">
            <v>0</v>
          </cell>
          <cell r="P183">
            <v>-15999880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</row>
        <row r="184">
          <cell r="A184">
            <v>39082</v>
          </cell>
          <cell r="B184" t="str">
            <v>Special</v>
          </cell>
          <cell r="C184">
            <v>0</v>
          </cell>
          <cell r="D184" t="str">
            <v>IAC</v>
          </cell>
          <cell r="E184" t="str">
            <v>Profit of Sale on Fixed Assets</v>
          </cell>
          <cell r="F184" t="str">
            <v>Special</v>
          </cell>
          <cell r="G184" t="str">
            <v>5041200</v>
          </cell>
          <cell r="H184">
            <v>0</v>
          </cell>
          <cell r="I184">
            <v>0</v>
          </cell>
          <cell r="J184">
            <v>0</v>
          </cell>
          <cell r="K184" t="str">
            <v>5</v>
          </cell>
          <cell r="L184">
            <v>0</v>
          </cell>
          <cell r="M184">
            <v>0</v>
          </cell>
          <cell r="N184">
            <v>-585213</v>
          </cell>
          <cell r="O184">
            <v>0</v>
          </cell>
          <cell r="P184">
            <v>-433660</v>
          </cell>
          <cell r="Q184">
            <v>-151553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</row>
        <row r="185">
          <cell r="A185">
            <v>39082</v>
          </cell>
          <cell r="B185" t="str">
            <v>Special</v>
          </cell>
          <cell r="C185">
            <v>0</v>
          </cell>
          <cell r="D185" t="str">
            <v>QAA</v>
          </cell>
          <cell r="E185" t="str">
            <v>Special Debits (Note 2.00)</v>
          </cell>
          <cell r="F185" t="str">
            <v>Total Charges</v>
          </cell>
          <cell r="G185" t="str">
            <v>7081100</v>
          </cell>
          <cell r="H185">
            <v>0</v>
          </cell>
          <cell r="I185">
            <v>0</v>
          </cell>
          <cell r="J185">
            <v>0</v>
          </cell>
          <cell r="K185" t="str">
            <v>7</v>
          </cell>
          <cell r="L185">
            <v>0</v>
          </cell>
          <cell r="M185">
            <v>0</v>
          </cell>
          <cell r="N185">
            <v>2208.34</v>
          </cell>
          <cell r="O185">
            <v>0</v>
          </cell>
          <cell r="P185">
            <v>2208.34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</row>
        <row r="186">
          <cell r="A186">
            <v>39082</v>
          </cell>
          <cell r="B186" t="str">
            <v>Special</v>
          </cell>
          <cell r="C186">
            <v>0</v>
          </cell>
          <cell r="D186" t="str">
            <v>QAA</v>
          </cell>
          <cell r="E186" t="str">
            <v>Special Debits (Note 2.00)</v>
          </cell>
          <cell r="F186" t="str">
            <v>Total Charges</v>
          </cell>
          <cell r="G186" t="str">
            <v>7084000</v>
          </cell>
          <cell r="H186">
            <v>0</v>
          </cell>
          <cell r="I186">
            <v>0</v>
          </cell>
          <cell r="J186">
            <v>0</v>
          </cell>
          <cell r="K186" t="str">
            <v>7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</row>
        <row r="187">
          <cell r="A187">
            <v>39082</v>
          </cell>
          <cell r="B187" t="str">
            <v>Special</v>
          </cell>
          <cell r="C187">
            <v>0</v>
          </cell>
          <cell r="D187" t="str">
            <v>QAB</v>
          </cell>
          <cell r="E187" t="str">
            <v>Profit &amp; Loss Debts</v>
          </cell>
          <cell r="F187" t="str">
            <v>Total Charges</v>
          </cell>
          <cell r="G187" t="str">
            <v>7082000</v>
          </cell>
          <cell r="H187">
            <v>0</v>
          </cell>
          <cell r="I187">
            <v>0</v>
          </cell>
          <cell r="J187">
            <v>0</v>
          </cell>
          <cell r="K187" t="str">
            <v>7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</row>
        <row r="188">
          <cell r="A188">
            <v>39082</v>
          </cell>
          <cell r="B188" t="str">
            <v>Staff Emoluments</v>
          </cell>
          <cell r="C188">
            <v>0</v>
          </cell>
          <cell r="D188" t="str">
            <v>KAC</v>
          </cell>
          <cell r="E188" t="str">
            <v>Salaries</v>
          </cell>
          <cell r="F188" t="str">
            <v>Total Charges</v>
          </cell>
          <cell r="G188" t="str">
            <v>7021100</v>
          </cell>
          <cell r="H188">
            <v>0</v>
          </cell>
          <cell r="I188">
            <v>0</v>
          </cell>
          <cell r="J188">
            <v>0</v>
          </cell>
          <cell r="K188" t="str">
            <v>7</v>
          </cell>
          <cell r="L188">
            <v>0</v>
          </cell>
          <cell r="M188">
            <v>0</v>
          </cell>
          <cell r="N188">
            <v>96496330.969999999</v>
          </cell>
          <cell r="O188">
            <v>37565544</v>
          </cell>
          <cell r="P188">
            <v>35556488.969999999</v>
          </cell>
          <cell r="Q188">
            <v>14021134</v>
          </cell>
          <cell r="R188">
            <v>0</v>
          </cell>
          <cell r="S188">
            <v>4422621</v>
          </cell>
          <cell r="T188">
            <v>0</v>
          </cell>
          <cell r="U188">
            <v>767566</v>
          </cell>
        </row>
        <row r="189">
          <cell r="A189">
            <v>39082</v>
          </cell>
          <cell r="B189" t="str">
            <v>Staff Emoluments</v>
          </cell>
          <cell r="C189">
            <v>0</v>
          </cell>
          <cell r="D189" t="str">
            <v>KAC</v>
          </cell>
          <cell r="E189" t="str">
            <v>Salaries</v>
          </cell>
          <cell r="F189" t="str">
            <v>Total Charges</v>
          </cell>
          <cell r="G189" t="str">
            <v>7021105</v>
          </cell>
          <cell r="H189">
            <v>0</v>
          </cell>
          <cell r="I189">
            <v>0</v>
          </cell>
          <cell r="J189">
            <v>0</v>
          </cell>
          <cell r="K189" t="str">
            <v>7</v>
          </cell>
          <cell r="L189">
            <v>0</v>
          </cell>
          <cell r="M189">
            <v>0</v>
          </cell>
          <cell r="N189">
            <v>4428450</v>
          </cell>
          <cell r="O189">
            <v>4428450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</row>
        <row r="190">
          <cell r="A190">
            <v>39082</v>
          </cell>
          <cell r="B190" t="str">
            <v>Staff Emoluments</v>
          </cell>
          <cell r="C190">
            <v>0</v>
          </cell>
          <cell r="D190" t="str">
            <v>KAD</v>
          </cell>
          <cell r="E190" t="str">
            <v>Banks Contribution - E.P.F.</v>
          </cell>
          <cell r="F190" t="str">
            <v>Total Charges</v>
          </cell>
          <cell r="G190" t="str">
            <v>7021150</v>
          </cell>
          <cell r="H190">
            <v>0</v>
          </cell>
          <cell r="I190">
            <v>0</v>
          </cell>
          <cell r="J190">
            <v>0</v>
          </cell>
          <cell r="K190" t="str">
            <v>7</v>
          </cell>
          <cell r="L190">
            <v>0</v>
          </cell>
          <cell r="M190">
            <v>0</v>
          </cell>
          <cell r="N190">
            <v>3227662.64</v>
          </cell>
          <cell r="O190">
            <v>1457834</v>
          </cell>
          <cell r="P190">
            <v>852720.04</v>
          </cell>
          <cell r="Q190">
            <v>618662.69999999995</v>
          </cell>
          <cell r="R190">
            <v>0</v>
          </cell>
          <cell r="S190">
            <v>190963.9</v>
          </cell>
          <cell r="T190">
            <v>0</v>
          </cell>
          <cell r="U190">
            <v>19442</v>
          </cell>
        </row>
        <row r="191">
          <cell r="A191">
            <v>39082</v>
          </cell>
          <cell r="B191" t="str">
            <v>Staff Emoluments</v>
          </cell>
          <cell r="C191">
            <v>0</v>
          </cell>
          <cell r="D191" t="str">
            <v>KAF</v>
          </cell>
          <cell r="E191" t="str">
            <v>Bonus</v>
          </cell>
          <cell r="F191" t="str">
            <v>Total Charges</v>
          </cell>
          <cell r="G191" t="str">
            <v>7021110</v>
          </cell>
          <cell r="H191">
            <v>0</v>
          </cell>
          <cell r="I191">
            <v>0</v>
          </cell>
          <cell r="J191">
            <v>0</v>
          </cell>
          <cell r="K191" t="str">
            <v>7</v>
          </cell>
          <cell r="L191">
            <v>0</v>
          </cell>
          <cell r="M191">
            <v>0</v>
          </cell>
          <cell r="N191">
            <v>6848845.0099999998</v>
          </cell>
          <cell r="O191">
            <v>2601845</v>
          </cell>
          <cell r="P191">
            <v>2586756</v>
          </cell>
          <cell r="Q191">
            <v>1036918.01</v>
          </cell>
          <cell r="R191">
            <v>0</v>
          </cell>
          <cell r="S191">
            <v>304179</v>
          </cell>
          <cell r="T191">
            <v>0</v>
          </cell>
          <cell r="U191">
            <v>47947</v>
          </cell>
        </row>
        <row r="192">
          <cell r="A192">
            <v>39082</v>
          </cell>
          <cell r="B192" t="str">
            <v>Staff Emoluments</v>
          </cell>
          <cell r="C192">
            <v>0</v>
          </cell>
          <cell r="D192" t="str">
            <v>KAF</v>
          </cell>
          <cell r="E192" t="str">
            <v>Bonus</v>
          </cell>
          <cell r="F192" t="str">
            <v>Total Charges</v>
          </cell>
          <cell r="G192" t="str">
            <v>7021112</v>
          </cell>
          <cell r="H192">
            <v>0</v>
          </cell>
          <cell r="I192">
            <v>0</v>
          </cell>
          <cell r="J192">
            <v>0</v>
          </cell>
          <cell r="K192" t="str">
            <v>7</v>
          </cell>
          <cell r="L192">
            <v>0</v>
          </cell>
          <cell r="M192">
            <v>0</v>
          </cell>
          <cell r="N192">
            <v>787406</v>
          </cell>
          <cell r="O192">
            <v>787406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</row>
        <row r="193">
          <cell r="A193">
            <v>39082</v>
          </cell>
          <cell r="B193" t="str">
            <v>Staff Emoluments</v>
          </cell>
          <cell r="C193">
            <v>0</v>
          </cell>
          <cell r="D193" t="str">
            <v>KAH</v>
          </cell>
          <cell r="E193" t="str">
            <v>Performance Bonus</v>
          </cell>
          <cell r="F193" t="str">
            <v>Total Charges</v>
          </cell>
          <cell r="G193" t="str">
            <v>7021115</v>
          </cell>
          <cell r="H193">
            <v>0</v>
          </cell>
          <cell r="I193">
            <v>0</v>
          </cell>
          <cell r="J193">
            <v>0</v>
          </cell>
          <cell r="K193" t="str">
            <v>7</v>
          </cell>
          <cell r="L193">
            <v>0</v>
          </cell>
          <cell r="M193">
            <v>0</v>
          </cell>
          <cell r="N193">
            <v>18921380.599999998</v>
          </cell>
          <cell r="O193">
            <v>7382983.2999999998</v>
          </cell>
          <cell r="P193">
            <v>8174017.2199999997</v>
          </cell>
          <cell r="Q193">
            <v>1955558.81</v>
          </cell>
          <cell r="R193">
            <v>0</v>
          </cell>
          <cell r="S193">
            <v>624256.31999999995</v>
          </cell>
          <cell r="T193">
            <v>0</v>
          </cell>
          <cell r="U193">
            <v>144136.45000000001</v>
          </cell>
        </row>
        <row r="194">
          <cell r="A194">
            <v>39082</v>
          </cell>
          <cell r="B194" t="str">
            <v>Staff Emoluments</v>
          </cell>
          <cell r="C194">
            <v>0</v>
          </cell>
          <cell r="D194" t="str">
            <v>KAI</v>
          </cell>
          <cell r="E194" t="str">
            <v>Overtime Payments</v>
          </cell>
          <cell r="F194" t="str">
            <v>Total Charges</v>
          </cell>
          <cell r="G194" t="str">
            <v>7021130</v>
          </cell>
          <cell r="H194">
            <v>0</v>
          </cell>
          <cell r="I194">
            <v>0</v>
          </cell>
          <cell r="J194">
            <v>0</v>
          </cell>
          <cell r="K194" t="str">
            <v>7</v>
          </cell>
          <cell r="L194">
            <v>0</v>
          </cell>
          <cell r="M194">
            <v>0</v>
          </cell>
          <cell r="N194">
            <v>537072</v>
          </cell>
          <cell r="O194">
            <v>339196</v>
          </cell>
          <cell r="P194">
            <v>192365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</row>
        <row r="195">
          <cell r="A195">
            <v>39082</v>
          </cell>
          <cell r="B195" t="str">
            <v>Staff Emoluments</v>
          </cell>
          <cell r="C195">
            <v>0</v>
          </cell>
          <cell r="D195" t="str">
            <v>KAK</v>
          </cell>
          <cell r="E195" t="str">
            <v>Gratuity</v>
          </cell>
          <cell r="F195" t="str">
            <v>Total Charges</v>
          </cell>
          <cell r="G195" t="str">
            <v>7021180</v>
          </cell>
          <cell r="H195">
            <v>0</v>
          </cell>
          <cell r="I195">
            <v>0</v>
          </cell>
          <cell r="J195">
            <v>0</v>
          </cell>
          <cell r="K195" t="str">
            <v>7</v>
          </cell>
          <cell r="L195">
            <v>0</v>
          </cell>
          <cell r="M195">
            <v>0</v>
          </cell>
          <cell r="N195">
            <v>3367161.82</v>
          </cell>
          <cell r="O195">
            <v>3367161.82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</row>
        <row r="196">
          <cell r="A196">
            <v>39082</v>
          </cell>
          <cell r="B196" t="str">
            <v>Staff Emoluments</v>
          </cell>
          <cell r="C196">
            <v>0</v>
          </cell>
          <cell r="D196" t="str">
            <v>KAL</v>
          </cell>
          <cell r="E196" t="str">
            <v>Medical Expenses</v>
          </cell>
          <cell r="F196" t="str">
            <v>Total Charges</v>
          </cell>
          <cell r="G196" t="str">
            <v>7021160</v>
          </cell>
          <cell r="H196">
            <v>0</v>
          </cell>
          <cell r="I196">
            <v>0</v>
          </cell>
          <cell r="J196">
            <v>0</v>
          </cell>
          <cell r="K196" t="str">
            <v>7</v>
          </cell>
          <cell r="L196">
            <v>0</v>
          </cell>
          <cell r="M196">
            <v>0</v>
          </cell>
          <cell r="N196">
            <v>370876.83</v>
          </cell>
          <cell r="O196">
            <v>159132.94</v>
          </cell>
          <cell r="P196">
            <v>187367.89</v>
          </cell>
          <cell r="Q196">
            <v>4388</v>
          </cell>
          <cell r="R196">
            <v>0</v>
          </cell>
          <cell r="S196">
            <v>3494</v>
          </cell>
          <cell r="T196">
            <v>0</v>
          </cell>
          <cell r="U196">
            <v>0</v>
          </cell>
        </row>
        <row r="197">
          <cell r="A197">
            <v>39082</v>
          </cell>
          <cell r="B197" t="str">
            <v>Staff Emoluments</v>
          </cell>
          <cell r="C197">
            <v>0</v>
          </cell>
          <cell r="D197" t="str">
            <v>KAN</v>
          </cell>
          <cell r="E197" t="str">
            <v>Staff Welfare( School fees for H.O. Officials)</v>
          </cell>
          <cell r="F197" t="str">
            <v>Total Charges</v>
          </cell>
          <cell r="G197" t="str">
            <v>7021118</v>
          </cell>
          <cell r="H197">
            <v>0</v>
          </cell>
          <cell r="I197">
            <v>0</v>
          </cell>
          <cell r="J197">
            <v>0</v>
          </cell>
          <cell r="K197" t="str">
            <v>7</v>
          </cell>
          <cell r="L197">
            <v>0</v>
          </cell>
          <cell r="M197">
            <v>0</v>
          </cell>
          <cell r="N197">
            <v>3414597.31</v>
          </cell>
          <cell r="O197">
            <v>3414597.31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</row>
        <row r="198">
          <cell r="A198">
            <v>39082</v>
          </cell>
          <cell r="B198" t="str">
            <v>Staff Emoluments</v>
          </cell>
          <cell r="C198">
            <v>0</v>
          </cell>
          <cell r="D198" t="str">
            <v>KAO</v>
          </cell>
          <cell r="E198" t="str">
            <v>Staff Training &amp; Recruitment</v>
          </cell>
          <cell r="F198" t="str">
            <v>Total Charges</v>
          </cell>
          <cell r="G198" t="str">
            <v>7021205</v>
          </cell>
          <cell r="H198">
            <v>0</v>
          </cell>
          <cell r="I198">
            <v>0</v>
          </cell>
          <cell r="J198">
            <v>0</v>
          </cell>
          <cell r="K198" t="str">
            <v>7</v>
          </cell>
          <cell r="L198">
            <v>0</v>
          </cell>
          <cell r="M198">
            <v>0</v>
          </cell>
          <cell r="N198">
            <v>464820</v>
          </cell>
          <cell r="O198">
            <v>195397.29</v>
          </cell>
          <cell r="P198">
            <v>216332.71</v>
          </cell>
          <cell r="Q198">
            <v>26100</v>
          </cell>
          <cell r="R198">
            <v>0</v>
          </cell>
          <cell r="S198">
            <v>2700</v>
          </cell>
          <cell r="T198">
            <v>0</v>
          </cell>
          <cell r="U198">
            <v>0</v>
          </cell>
        </row>
        <row r="199">
          <cell r="A199">
            <v>39082</v>
          </cell>
          <cell r="B199" t="str">
            <v>Staff Emoluments</v>
          </cell>
          <cell r="C199">
            <v>0</v>
          </cell>
          <cell r="D199" t="str">
            <v>KAO</v>
          </cell>
          <cell r="E199" t="str">
            <v>Staff Training &amp; Recruitment</v>
          </cell>
          <cell r="F199" t="str">
            <v>Total Charges</v>
          </cell>
          <cell r="G199" t="str">
            <v>7062124</v>
          </cell>
          <cell r="H199">
            <v>0</v>
          </cell>
          <cell r="I199">
            <v>0</v>
          </cell>
          <cell r="J199">
            <v>0</v>
          </cell>
          <cell r="K199" t="str">
            <v>7</v>
          </cell>
          <cell r="L199">
            <v>0</v>
          </cell>
          <cell r="M199">
            <v>0</v>
          </cell>
          <cell r="N199">
            <v>1085111.68</v>
          </cell>
          <cell r="O199">
            <v>514968.25</v>
          </cell>
          <cell r="P199">
            <v>570143.43000000005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</row>
        <row r="200">
          <cell r="A200">
            <v>39082</v>
          </cell>
          <cell r="B200" t="str">
            <v>Staff Emoluments</v>
          </cell>
          <cell r="C200">
            <v>0</v>
          </cell>
          <cell r="D200" t="str">
            <v>KAR</v>
          </cell>
          <cell r="E200" t="str">
            <v>Other Social Expenses</v>
          </cell>
          <cell r="F200" t="str">
            <v>Total Charges</v>
          </cell>
          <cell r="G200" t="str">
            <v>7021116</v>
          </cell>
          <cell r="H200">
            <v>0</v>
          </cell>
          <cell r="I200">
            <v>0</v>
          </cell>
          <cell r="J200">
            <v>0</v>
          </cell>
          <cell r="K200" t="str">
            <v>7</v>
          </cell>
          <cell r="L200">
            <v>0</v>
          </cell>
          <cell r="M200">
            <v>0</v>
          </cell>
          <cell r="N200">
            <v>3864914.27</v>
          </cell>
          <cell r="O200">
            <v>1327637.2</v>
          </cell>
          <cell r="P200">
            <v>1485225.05</v>
          </cell>
          <cell r="Q200">
            <v>564798.89</v>
          </cell>
          <cell r="R200">
            <v>0</v>
          </cell>
          <cell r="S200">
            <v>105200.72</v>
          </cell>
          <cell r="T200">
            <v>0</v>
          </cell>
          <cell r="U200">
            <v>9128.41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isting"/>
      <sheetName val="Recruitments"/>
      <sheetName val="Excess Employees"/>
      <sheetName val="Sheet3"/>
    </sheetNames>
    <sheetDataSet>
      <sheetData sheetId="0"/>
      <sheetData sheetId="1"/>
      <sheetData sheetId="2"/>
      <sheetData sheetId="3">
        <row r="2">
          <cell r="A2" t="str">
            <v>-Please Select The Division-</v>
          </cell>
        </row>
        <row r="3">
          <cell r="A3" t="str">
            <v>VEHICLE SALES</v>
          </cell>
          <cell r="H3" t="str">
            <v>Chief Officer</v>
          </cell>
          <cell r="I3" t="str">
            <v>DPH</v>
          </cell>
          <cell r="J3" t="str">
            <v>ABT</v>
          </cell>
        </row>
        <row r="4">
          <cell r="A4" t="str">
            <v>VEHICLE ASSEMBLY</v>
          </cell>
          <cell r="H4" t="str">
            <v>General Manager</v>
          </cell>
          <cell r="I4" t="str">
            <v>DPMC</v>
          </cell>
          <cell r="J4" t="str">
            <v>AKP</v>
          </cell>
        </row>
        <row r="5">
          <cell r="A5" t="str">
            <v>PARTS &amp; ACCESSORIES</v>
          </cell>
          <cell r="H5" t="str">
            <v>Deputy General Manager</v>
          </cell>
          <cell r="I5" t="str">
            <v>DPMCL</v>
          </cell>
          <cell r="J5" t="str">
            <v>AMB</v>
          </cell>
        </row>
        <row r="6">
          <cell r="A6" t="str">
            <v>WORKSHOP</v>
          </cell>
          <cell r="H6" t="str">
            <v>Divisional Manager</v>
          </cell>
          <cell r="I6" t="str">
            <v>DPA</v>
          </cell>
          <cell r="J6" t="str">
            <v>AMR</v>
          </cell>
        </row>
        <row r="7">
          <cell r="A7" t="str">
            <v>TREASURY</v>
          </cell>
          <cell r="H7" t="str">
            <v>Deputy Divisional Manager</v>
          </cell>
          <cell r="J7" t="str">
            <v>ANP</v>
          </cell>
        </row>
        <row r="8">
          <cell r="A8" t="str">
            <v>REDEPLOYMENT OF RESOURCES</v>
          </cell>
          <cell r="H8" t="str">
            <v>Manager</v>
          </cell>
          <cell r="J8" t="str">
            <v>AOC</v>
          </cell>
        </row>
        <row r="9">
          <cell r="A9" t="str">
            <v>UN APPORTIONED</v>
          </cell>
          <cell r="H9" t="str">
            <v>Assistant Manager</v>
          </cell>
          <cell r="J9" t="str">
            <v>APO</v>
          </cell>
        </row>
        <row r="10">
          <cell r="A10" t="str">
            <v>CHAIRMAN'S OFFICE</v>
          </cell>
          <cell r="H10" t="str">
            <v>Executives</v>
          </cell>
          <cell r="J10" t="str">
            <v>AVS</v>
          </cell>
        </row>
        <row r="11">
          <cell r="A11" t="str">
            <v>DP'S OFFICE</v>
          </cell>
          <cell r="H11" t="str">
            <v>Executive Assistant</v>
          </cell>
          <cell r="J11" t="str">
            <v>BCO</v>
          </cell>
        </row>
        <row r="12">
          <cell r="A12" t="str">
            <v>MANAGING DIRECTOR'S OFFICE</v>
          </cell>
          <cell r="H12" t="str">
            <v>Management Trainee</v>
          </cell>
          <cell r="J12" t="str">
            <v>BCS</v>
          </cell>
        </row>
        <row r="13">
          <cell r="A13" t="str">
            <v>PLANNING UNIT</v>
          </cell>
          <cell r="H13" t="str">
            <v>Officer Grade</v>
          </cell>
          <cell r="J13" t="str">
            <v>BDL</v>
          </cell>
        </row>
        <row r="14">
          <cell r="A14" t="str">
            <v>NEW INITIATIVES UNIT</v>
          </cell>
          <cell r="H14" t="str">
            <v xml:space="preserve">Special Grade </v>
          </cell>
          <cell r="J14" t="str">
            <v>BDM</v>
          </cell>
        </row>
        <row r="15">
          <cell r="A15" t="str">
            <v>GROUP RESEARCH UNIT</v>
          </cell>
          <cell r="H15" t="str">
            <v xml:space="preserve">Higher Grade </v>
          </cell>
          <cell r="J15" t="str">
            <v>BGS</v>
          </cell>
        </row>
        <row r="16">
          <cell r="A16" t="str">
            <v>RESEARCH &amp; DEVELOPMENT</v>
          </cell>
          <cell r="H16" t="str">
            <v xml:space="preserve">Clerical Grade 2 </v>
          </cell>
          <cell r="J16" t="str">
            <v>BHO</v>
          </cell>
        </row>
        <row r="17">
          <cell r="A17" t="str">
            <v>CORPORATE COMMUNICATIONS</v>
          </cell>
          <cell r="H17" t="str">
            <v>Clerical Grade 1</v>
          </cell>
          <cell r="J17" t="str">
            <v>BND</v>
          </cell>
        </row>
        <row r="18">
          <cell r="A18" t="str">
            <v>CUSTOMER SERVICE</v>
          </cell>
          <cell r="H18" t="str">
            <v>Fixed Term-Clerical 2</v>
          </cell>
          <cell r="J18" t="str">
            <v>BTM</v>
          </cell>
        </row>
        <row r="19">
          <cell r="A19" t="str">
            <v>FIELD SERVICE</v>
          </cell>
          <cell r="H19" t="str">
            <v>DPMCO -Trainee-Clerical</v>
          </cell>
          <cell r="J19" t="str">
            <v>CLW</v>
          </cell>
        </row>
        <row r="20">
          <cell r="A20" t="str">
            <v>PROCESS RE ENGINEERING &amp; OPERATIONAL SUPPORT UNIT</v>
          </cell>
          <cell r="H20" t="str">
            <v xml:space="preserve">Minor Staff Grade 1 </v>
          </cell>
          <cell r="J20" t="str">
            <v>CPO</v>
          </cell>
        </row>
        <row r="21">
          <cell r="A21" t="str">
            <v>CUSTOMER CONTACT SERVICES</v>
          </cell>
          <cell r="H21" t="str">
            <v xml:space="preserve">Security </v>
          </cell>
          <cell r="J21" t="str">
            <v>DEY</v>
          </cell>
        </row>
        <row r="22">
          <cell r="A22" t="str">
            <v>FINANCE &amp; ACCOUNTING</v>
          </cell>
          <cell r="H22" t="str">
            <v>Charge Hand 1</v>
          </cell>
          <cell r="J22" t="str">
            <v>DKY</v>
          </cell>
        </row>
        <row r="23">
          <cell r="A23" t="str">
            <v>GENERAL</v>
          </cell>
          <cell r="H23" t="str">
            <v xml:space="preserve">Driver Class B </v>
          </cell>
          <cell r="J23" t="str">
            <v>DMB</v>
          </cell>
        </row>
        <row r="24">
          <cell r="A24" t="str">
            <v>GENERAL ADMINISTRATION</v>
          </cell>
          <cell r="H24" t="str">
            <v>Skilled Grade 1</v>
          </cell>
          <cell r="J24" t="str">
            <v>EMB</v>
          </cell>
        </row>
        <row r="25">
          <cell r="A25" t="str">
            <v>GROUP COMPLIANCE RISK REVIEW &amp; CONTROL</v>
          </cell>
          <cell r="H25" t="str">
            <v>Skilled Grade 2</v>
          </cell>
          <cell r="J25" t="str">
            <v>FC4</v>
          </cell>
        </row>
        <row r="26">
          <cell r="A26" t="str">
            <v>GROUP HUMAN CAPITAL MANAGEMENT SUPPORT CENTRE</v>
          </cell>
          <cell r="H26" t="str">
            <v xml:space="preserve">Semi Skilled </v>
          </cell>
          <cell r="J26" t="str">
            <v>GAL</v>
          </cell>
        </row>
        <row r="27">
          <cell r="A27" t="str">
            <v>HUMAN RESOURCES MANAGEMENT</v>
          </cell>
          <cell r="H27" t="str">
            <v xml:space="preserve">Unskilled </v>
          </cell>
          <cell r="J27" t="str">
            <v>GEN</v>
          </cell>
        </row>
        <row r="28">
          <cell r="A28" t="str">
            <v>IMPORTS</v>
          </cell>
          <cell r="H28" t="str">
            <v>Fixed Term-Manual</v>
          </cell>
          <cell r="J28" t="str">
            <v>GPO</v>
          </cell>
        </row>
        <row r="29">
          <cell r="A29" t="str">
            <v>INFORMATION SYSTEMS</v>
          </cell>
          <cell r="J29" t="str">
            <v>HNG</v>
          </cell>
        </row>
        <row r="30">
          <cell r="A30" t="str">
            <v>LEGAL</v>
          </cell>
          <cell r="J30" t="str">
            <v>HPC</v>
          </cell>
        </row>
        <row r="31">
          <cell r="A31" t="str">
            <v>QUALITY FUNCTIONS</v>
          </cell>
          <cell r="J31" t="str">
            <v>JAF</v>
          </cell>
        </row>
        <row r="32">
          <cell r="A32" t="str">
            <v>SECURITY</v>
          </cell>
          <cell r="J32" t="str">
            <v>KDW</v>
          </cell>
        </row>
        <row r="33">
          <cell r="A33" t="str">
            <v>SOCIAL WELFARE</v>
          </cell>
          <cell r="J33" t="str">
            <v>KDY</v>
          </cell>
        </row>
        <row r="34">
          <cell r="A34" t="str">
            <v>SPECIAL PROJECTS UNIT</v>
          </cell>
          <cell r="J34" t="str">
            <v>KEG</v>
          </cell>
        </row>
        <row r="35">
          <cell r="A35" t="str">
            <v>STAFF RECREATIONAL FACILITIES</v>
          </cell>
          <cell r="J35" t="str">
            <v>KGL</v>
          </cell>
        </row>
        <row r="36">
          <cell r="A36" t="str">
            <v>TECHNICAL</v>
          </cell>
          <cell r="J36" t="str">
            <v>KLN</v>
          </cell>
        </row>
        <row r="37">
          <cell r="A37" t="str">
            <v>VIDEO SURVEILLANCE</v>
          </cell>
          <cell r="J37" t="str">
            <v>KLP</v>
          </cell>
        </row>
        <row r="38">
          <cell r="J38" t="str">
            <v>KLT</v>
          </cell>
        </row>
        <row r="39">
          <cell r="J39" t="str">
            <v>MDK</v>
          </cell>
        </row>
        <row r="40">
          <cell r="J40" t="str">
            <v>MDP</v>
          </cell>
        </row>
        <row r="41">
          <cell r="J41" t="str">
            <v>MF1</v>
          </cell>
        </row>
        <row r="42">
          <cell r="J42" t="str">
            <v>MLG</v>
          </cell>
        </row>
        <row r="43">
          <cell r="J43" t="str">
            <v>MNG</v>
          </cell>
        </row>
        <row r="44">
          <cell r="J44" t="str">
            <v>MNU</v>
          </cell>
        </row>
        <row r="45">
          <cell r="J45" t="str">
            <v>MNY</v>
          </cell>
        </row>
        <row r="46">
          <cell r="J46" t="str">
            <v>MOC</v>
          </cell>
        </row>
        <row r="47">
          <cell r="J47" t="str">
            <v>MSO</v>
          </cell>
        </row>
        <row r="48">
          <cell r="J48" t="str">
            <v>MTG</v>
          </cell>
        </row>
        <row r="49">
          <cell r="J49" t="str">
            <v>MTR</v>
          </cell>
        </row>
        <row r="50">
          <cell r="J50" t="str">
            <v>MUL</v>
          </cell>
        </row>
        <row r="51">
          <cell r="J51" t="str">
            <v>NGB</v>
          </cell>
        </row>
        <row r="52">
          <cell r="J52" t="str">
            <v>NLY</v>
          </cell>
        </row>
        <row r="53">
          <cell r="J53" t="str">
            <v>RNP</v>
          </cell>
        </row>
        <row r="54">
          <cell r="J54" t="str">
            <v>TBG</v>
          </cell>
        </row>
        <row r="55">
          <cell r="J55" t="str">
            <v>TKB</v>
          </cell>
        </row>
        <row r="56">
          <cell r="J56" t="str">
            <v>TMR</v>
          </cell>
        </row>
        <row r="57">
          <cell r="J57" t="str">
            <v>TRI</v>
          </cell>
        </row>
        <row r="58">
          <cell r="J58" t="str">
            <v>VNY</v>
          </cell>
        </row>
        <row r="59">
          <cell r="J59" t="str">
            <v>YKL</v>
          </cell>
        </row>
        <row r="60">
          <cell r="J60" t="str">
            <v>DSQ</v>
          </cell>
        </row>
        <row r="61">
          <cell r="J61" t="str">
            <v>JSQ</v>
          </cell>
        </row>
        <row r="62">
          <cell r="J62" t="str">
            <v>NSQ</v>
          </cell>
        </row>
        <row r="63">
          <cell r="J63" t="str">
            <v>RSQ</v>
          </cell>
        </row>
        <row r="64">
          <cell r="J64" t="str">
            <v>TSQ</v>
          </cell>
        </row>
        <row r="65">
          <cell r="J65" t="str">
            <v>WKD</v>
          </cell>
        </row>
        <row r="66">
          <cell r="J66" t="str">
            <v>WLM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nka Secure"/>
      <sheetName val="ORACLE ENTRY UPLOADER"/>
      <sheetName val="Daily Summary - BOND"/>
      <sheetName val="Summary"/>
      <sheetName val="Market Valuation"/>
      <sheetName val="LKB01530E152 (134)"/>
      <sheetName val="LKB01026H014 (130)A"/>
      <sheetName val="LKB01026H014 (130.1)A"/>
      <sheetName val="LKB01026H014 (130.2)A"/>
      <sheetName val="LKB01026H014 (130.3.1)A"/>
      <sheetName val="LKB01026H014 (130.3.2)A"/>
      <sheetName val="LKB01530E152 (133)A"/>
      <sheetName val="LKB00921E014 (131.1)"/>
      <sheetName val="LKB00921E014 (131.2)"/>
      <sheetName val="LKB00921E014 (131.3)"/>
      <sheetName val="LKB00921E014 (131)"/>
      <sheetName val="LKB03044F019 (132.1)"/>
      <sheetName val="LKB03044F019 (132)"/>
      <sheetName val="LKB01326B011(127)"/>
      <sheetName val="LKB01225E019(128)"/>
      <sheetName val="LKB00921E014(129)"/>
      <sheetName val="LKB00921E014(126.1)"/>
      <sheetName val="LKB00921E014(126)"/>
      <sheetName val="LKB01528E016(125)"/>
      <sheetName val="LKB01628G019(124)"/>
      <sheetName val="LKB00921E014 (123)"/>
      <sheetName val="LKB00922G017 (119)"/>
      <sheetName val="LKB01023I019 (120)"/>
      <sheetName val="LKB01025C157 (121)"/>
      <sheetName val="LKB01025H016 (122)"/>
      <sheetName val="LKB01529A012 (117)"/>
      <sheetName val="LKB01530E152 (118.1)"/>
      <sheetName val="LKB01530E152 (118)"/>
      <sheetName val="LKB01025C157 (114)"/>
      <sheetName val="LKB01025C157 (113)"/>
      <sheetName val="LKB01530E152 (115)"/>
      <sheetName val="LKB01528I017 (116)"/>
      <sheetName val="LKB01226F014 (110)"/>
      <sheetName val="LKB01226F014 (111)"/>
      <sheetName val="LKB01226F014 (112)"/>
      <sheetName val="LKB00922J011 (105)"/>
      <sheetName val="LKB01530E152 Trading"/>
      <sheetName val="LKB00922G017"/>
      <sheetName val="LKB01530E152"/>
      <sheetName val="LKB01326B011(9.1)"/>
      <sheetName val="LKB02035C155(110)"/>
      <sheetName val="LKB02035C155(109)"/>
      <sheetName val="LKB02035C155(108)"/>
      <sheetName val="LKB01530E152(107)"/>
      <sheetName val="LKB01528I017(106)"/>
      <sheetName val="LKB01528I017(105)"/>
      <sheetName val="LKB00619G019(104)"/>
      <sheetName val="LKB00718K151(103)"/>
      <sheetName val="LKB01025H016(101)"/>
      <sheetName val="LKB0152810I017(102)"/>
      <sheetName val="LKB00922G017(85)"/>
      <sheetName val="LKB00922G017(86)"/>
      <sheetName val="LKB00618D018(87)"/>
      <sheetName val="LKB01518H150(88)"/>
      <sheetName val="LKB01123I017(89)"/>
      <sheetName val="LKB01518B013(90)"/>
      <sheetName val="LKB01518G152(91)"/>
      <sheetName val="LKB01326B011(92)"/>
      <sheetName val="LKB01529A012(93)"/>
      <sheetName val="LKB01529E014(94)"/>
      <sheetName val="LKB01529E014(95)"/>
      <sheetName val="LKB00618F013(96)"/>
      <sheetName val="LKB01023I019(97)"/>
      <sheetName val="LKB00618F013(96.1)"/>
      <sheetName val="LKB01628G019(6)"/>
      <sheetName val="LKB01518B013(1)"/>
      <sheetName val="LKB01518G152(3)"/>
      <sheetName val="LKB01518H150(4)"/>
      <sheetName val="LKB01518H150(5)"/>
      <sheetName val="LKB01518H150(5.1)"/>
      <sheetName val="LKB01518H150(15)"/>
      <sheetName val="LKB00618D018(17)"/>
      <sheetName val="LKB01020H017(9)new"/>
      <sheetName val="LKB02032J017(7)"/>
      <sheetName val="LKB01225E019(8)"/>
      <sheetName val="LKB01326B011(9)"/>
      <sheetName val="LKB03043F011(10)"/>
      <sheetName val="LKB02033F013(11)"/>
      <sheetName val="LKB01518H150(70)"/>
      <sheetName val="LKB00618D018(18)"/>
      <sheetName val="LKB00618D018(19)"/>
      <sheetName val="LKB01528E016(71)"/>
      <sheetName val="LKB02033K013(72)"/>
      <sheetName val="LKB01518H150(73)"/>
      <sheetName val="LKB00618D018(20)"/>
      <sheetName val="LKB03044A010(74)"/>
      <sheetName val="LKB01529E014(75)"/>
      <sheetName val="LKB01529E014(75.1)"/>
      <sheetName val="LKB03044F019(76)"/>
      <sheetName val="LKB03044F019(76.1)"/>
      <sheetName val="LKB03044F019(77)"/>
      <sheetName val="LKB01529E014(78)"/>
      <sheetName val="LKB03044A010(79)"/>
      <sheetName val="LKB03044F019(80)"/>
      <sheetName val="LKB01529A012(81)"/>
      <sheetName val="LKB01529E014(82)"/>
      <sheetName val="LKB01529E014(83)"/>
      <sheetName val="LKB01529E014(83.1)"/>
      <sheetName val="LKB03044F019(81)"/>
      <sheetName val="LKB02032A016(82)"/>
      <sheetName val="LKB03044A010(83)"/>
      <sheetName val="LKB01518H150(84)"/>
      <sheetName val="LKB01023I019(98)"/>
      <sheetName val="LKB01023I019(99)"/>
      <sheetName val="LKB01023I019(100)"/>
      <sheetName val="LKA36413J119"/>
      <sheetName val="LKA36413J044"/>
      <sheetName val="LKA36413L065-LIFE"/>
      <sheetName val="LKA36413L065-GENER"/>
    </sheetNames>
    <sheetDataSet>
      <sheetData sheetId="0" refreshError="1"/>
      <sheetData sheetId="1" refreshError="1"/>
      <sheetData sheetId="2">
        <row r="1">
          <cell r="C1">
            <v>0</v>
          </cell>
        </row>
        <row r="2">
          <cell r="C2">
            <v>41548</v>
          </cell>
        </row>
        <row r="3">
          <cell r="C3">
            <v>41549</v>
          </cell>
        </row>
        <row r="4">
          <cell r="C4">
            <v>41550</v>
          </cell>
        </row>
        <row r="5">
          <cell r="C5">
            <v>41551</v>
          </cell>
        </row>
        <row r="6">
          <cell r="C6">
            <v>41552</v>
          </cell>
        </row>
        <row r="7">
          <cell r="C7">
            <v>41553</v>
          </cell>
        </row>
        <row r="8">
          <cell r="C8">
            <v>41554</v>
          </cell>
        </row>
        <row r="9">
          <cell r="C9">
            <v>41555</v>
          </cell>
        </row>
        <row r="10">
          <cell r="C10">
            <v>41556</v>
          </cell>
        </row>
        <row r="11">
          <cell r="C11">
            <v>41557</v>
          </cell>
        </row>
        <row r="12">
          <cell r="C12">
            <v>41558</v>
          </cell>
        </row>
        <row r="13">
          <cell r="C13">
            <v>41559</v>
          </cell>
        </row>
        <row r="14">
          <cell r="C14">
            <v>41560</v>
          </cell>
        </row>
        <row r="15">
          <cell r="C15">
            <v>41561</v>
          </cell>
        </row>
        <row r="16">
          <cell r="C16">
            <v>41562</v>
          </cell>
        </row>
        <row r="17">
          <cell r="C17">
            <v>41563</v>
          </cell>
        </row>
        <row r="18">
          <cell r="C18">
            <v>41564</v>
          </cell>
        </row>
        <row r="19">
          <cell r="C19">
            <v>41565</v>
          </cell>
        </row>
        <row r="20">
          <cell r="C20">
            <v>41566</v>
          </cell>
        </row>
        <row r="21">
          <cell r="C21">
            <v>41567</v>
          </cell>
        </row>
        <row r="22">
          <cell r="C22">
            <v>41568</v>
          </cell>
        </row>
        <row r="23">
          <cell r="C23">
            <v>41569</v>
          </cell>
        </row>
        <row r="24">
          <cell r="C24">
            <v>41570</v>
          </cell>
        </row>
        <row r="25">
          <cell r="C25">
            <v>41571</v>
          </cell>
        </row>
        <row r="26">
          <cell r="C26">
            <v>41572</v>
          </cell>
        </row>
        <row r="27">
          <cell r="C27">
            <v>41573</v>
          </cell>
        </row>
        <row r="28">
          <cell r="C28">
            <v>41574</v>
          </cell>
        </row>
        <row r="29">
          <cell r="C29">
            <v>41575</v>
          </cell>
        </row>
        <row r="30">
          <cell r="C30">
            <v>41576</v>
          </cell>
        </row>
        <row r="31">
          <cell r="C31">
            <v>41577</v>
          </cell>
        </row>
        <row r="32">
          <cell r="C32">
            <v>41578</v>
          </cell>
        </row>
        <row r="33">
          <cell r="C33">
            <v>41579</v>
          </cell>
        </row>
        <row r="34">
          <cell r="C34">
            <v>41580</v>
          </cell>
        </row>
        <row r="35">
          <cell r="C35">
            <v>41581</v>
          </cell>
        </row>
        <row r="36">
          <cell r="C36">
            <v>41582</v>
          </cell>
        </row>
        <row r="37">
          <cell r="C37">
            <v>41583</v>
          </cell>
        </row>
        <row r="38">
          <cell r="C38">
            <v>41584</v>
          </cell>
        </row>
        <row r="39">
          <cell r="C39">
            <v>41585</v>
          </cell>
        </row>
        <row r="40">
          <cell r="C40">
            <v>41586</v>
          </cell>
        </row>
        <row r="41">
          <cell r="C41">
            <v>41587</v>
          </cell>
        </row>
        <row r="42">
          <cell r="C42">
            <v>41588</v>
          </cell>
        </row>
        <row r="43">
          <cell r="C43">
            <v>41589</v>
          </cell>
        </row>
        <row r="44">
          <cell r="C44">
            <v>41590</v>
          </cell>
        </row>
        <row r="45">
          <cell r="C45">
            <v>41591</v>
          </cell>
        </row>
        <row r="46">
          <cell r="C46">
            <v>41592</v>
          </cell>
        </row>
        <row r="47">
          <cell r="C47">
            <v>41593</v>
          </cell>
        </row>
        <row r="48">
          <cell r="C48">
            <v>41594</v>
          </cell>
        </row>
        <row r="49">
          <cell r="C49">
            <v>41595</v>
          </cell>
        </row>
        <row r="50">
          <cell r="C50">
            <v>41596</v>
          </cell>
        </row>
        <row r="51">
          <cell r="C51">
            <v>41597</v>
          </cell>
        </row>
        <row r="52">
          <cell r="C52">
            <v>41598</v>
          </cell>
        </row>
        <row r="53">
          <cell r="C53">
            <v>41599</v>
          </cell>
        </row>
        <row r="54">
          <cell r="C54">
            <v>41600</v>
          </cell>
        </row>
        <row r="55">
          <cell r="C55">
            <v>41601</v>
          </cell>
        </row>
        <row r="56">
          <cell r="C56">
            <v>41602</v>
          </cell>
        </row>
        <row r="57">
          <cell r="C57">
            <v>41603</v>
          </cell>
        </row>
        <row r="58">
          <cell r="C58">
            <v>41604</v>
          </cell>
        </row>
        <row r="59">
          <cell r="C59">
            <v>41605</v>
          </cell>
        </row>
        <row r="60">
          <cell r="C60">
            <v>41606</v>
          </cell>
        </row>
        <row r="61">
          <cell r="C61">
            <v>41607</v>
          </cell>
        </row>
        <row r="62">
          <cell r="C62">
            <v>41608</v>
          </cell>
        </row>
        <row r="63">
          <cell r="C63">
            <v>41609</v>
          </cell>
        </row>
        <row r="64">
          <cell r="C64">
            <v>41610</v>
          </cell>
        </row>
        <row r="65">
          <cell r="C65">
            <v>41611</v>
          </cell>
        </row>
        <row r="66">
          <cell r="C66">
            <v>41612</v>
          </cell>
        </row>
        <row r="67">
          <cell r="C67">
            <v>41613</v>
          </cell>
        </row>
        <row r="68">
          <cell r="C68">
            <v>41614</v>
          </cell>
        </row>
        <row r="69">
          <cell r="C69">
            <v>41615</v>
          </cell>
        </row>
        <row r="70">
          <cell r="C70">
            <v>41616</v>
          </cell>
        </row>
        <row r="71">
          <cell r="C71">
            <v>41617</v>
          </cell>
        </row>
        <row r="72">
          <cell r="C72">
            <v>41618</v>
          </cell>
        </row>
        <row r="73">
          <cell r="C73">
            <v>41619</v>
          </cell>
        </row>
        <row r="74">
          <cell r="C74">
            <v>41620</v>
          </cell>
        </row>
        <row r="75">
          <cell r="C75">
            <v>41621</v>
          </cell>
        </row>
        <row r="76">
          <cell r="C76">
            <v>41622</v>
          </cell>
        </row>
        <row r="77">
          <cell r="C77">
            <v>41623</v>
          </cell>
        </row>
        <row r="78">
          <cell r="C78">
            <v>41624</v>
          </cell>
        </row>
        <row r="79">
          <cell r="C79">
            <v>41625</v>
          </cell>
        </row>
        <row r="80">
          <cell r="C80">
            <v>41626</v>
          </cell>
        </row>
        <row r="81">
          <cell r="C81">
            <v>41627</v>
          </cell>
        </row>
        <row r="82">
          <cell r="C82">
            <v>41628</v>
          </cell>
        </row>
        <row r="83">
          <cell r="C83">
            <v>41629</v>
          </cell>
        </row>
        <row r="84">
          <cell r="C84">
            <v>41630</v>
          </cell>
        </row>
        <row r="85">
          <cell r="C85">
            <v>41631</v>
          </cell>
        </row>
        <row r="86">
          <cell r="C86">
            <v>41632</v>
          </cell>
        </row>
        <row r="87">
          <cell r="C87">
            <v>41633</v>
          </cell>
        </row>
        <row r="88">
          <cell r="C88">
            <v>41634</v>
          </cell>
        </row>
        <row r="89">
          <cell r="C89">
            <v>41635</v>
          </cell>
        </row>
        <row r="90">
          <cell r="C90">
            <v>41636</v>
          </cell>
        </row>
        <row r="91">
          <cell r="C91">
            <v>41637</v>
          </cell>
        </row>
        <row r="92">
          <cell r="C92">
            <v>41638</v>
          </cell>
        </row>
        <row r="93">
          <cell r="C93">
            <v>41639</v>
          </cell>
        </row>
        <row r="94">
          <cell r="C94">
            <v>41640</v>
          </cell>
        </row>
        <row r="95">
          <cell r="C95">
            <v>41641</v>
          </cell>
        </row>
        <row r="96">
          <cell r="C96">
            <v>41642</v>
          </cell>
        </row>
        <row r="97">
          <cell r="C97">
            <v>41643</v>
          </cell>
        </row>
        <row r="98">
          <cell r="C98">
            <v>41644</v>
          </cell>
        </row>
        <row r="99">
          <cell r="C99">
            <v>41645</v>
          </cell>
        </row>
        <row r="100">
          <cell r="C100">
            <v>41646</v>
          </cell>
        </row>
        <row r="101">
          <cell r="C101">
            <v>41647</v>
          </cell>
        </row>
        <row r="102">
          <cell r="C102">
            <v>41648</v>
          </cell>
        </row>
        <row r="103">
          <cell r="C103">
            <v>41649</v>
          </cell>
        </row>
        <row r="104">
          <cell r="C104">
            <v>41650</v>
          </cell>
        </row>
        <row r="105">
          <cell r="C105">
            <v>41651</v>
          </cell>
        </row>
        <row r="106">
          <cell r="C106">
            <v>41652</v>
          </cell>
        </row>
        <row r="107">
          <cell r="C107">
            <v>41653</v>
          </cell>
        </row>
        <row r="108">
          <cell r="C108">
            <v>41654</v>
          </cell>
        </row>
        <row r="109">
          <cell r="C109">
            <v>41655</v>
          </cell>
        </row>
        <row r="110">
          <cell r="C110">
            <v>41656</v>
          </cell>
        </row>
        <row r="111">
          <cell r="C111">
            <v>41657</v>
          </cell>
        </row>
        <row r="112">
          <cell r="C112">
            <v>41658</v>
          </cell>
        </row>
        <row r="113">
          <cell r="C113">
            <v>41659</v>
          </cell>
        </row>
        <row r="114">
          <cell r="C114">
            <v>41660</v>
          </cell>
        </row>
        <row r="115">
          <cell r="C115">
            <v>41661</v>
          </cell>
        </row>
        <row r="116">
          <cell r="C116">
            <v>41662</v>
          </cell>
        </row>
        <row r="117">
          <cell r="C117">
            <v>41663</v>
          </cell>
        </row>
        <row r="118">
          <cell r="C118">
            <v>41664</v>
          </cell>
        </row>
        <row r="119">
          <cell r="C119">
            <v>41665</v>
          </cell>
        </row>
        <row r="120">
          <cell r="C120">
            <v>41666</v>
          </cell>
        </row>
        <row r="121">
          <cell r="C121">
            <v>41667</v>
          </cell>
        </row>
        <row r="122">
          <cell r="C122">
            <v>41668</v>
          </cell>
        </row>
        <row r="123">
          <cell r="C123">
            <v>41669</v>
          </cell>
        </row>
        <row r="124">
          <cell r="C124">
            <v>41670</v>
          </cell>
        </row>
        <row r="125">
          <cell r="C125">
            <v>41671</v>
          </cell>
        </row>
        <row r="126">
          <cell r="C126">
            <v>41672</v>
          </cell>
        </row>
        <row r="127">
          <cell r="C127">
            <v>41673</v>
          </cell>
        </row>
        <row r="128">
          <cell r="C128">
            <v>41674</v>
          </cell>
        </row>
        <row r="129">
          <cell r="C129">
            <v>41675</v>
          </cell>
        </row>
        <row r="130">
          <cell r="C130">
            <v>41676</v>
          </cell>
        </row>
        <row r="131">
          <cell r="C131">
            <v>41677</v>
          </cell>
        </row>
        <row r="132">
          <cell r="C132">
            <v>41678</v>
          </cell>
        </row>
        <row r="133">
          <cell r="C133">
            <v>41679</v>
          </cell>
        </row>
        <row r="134">
          <cell r="C134">
            <v>41680</v>
          </cell>
        </row>
        <row r="135">
          <cell r="C135">
            <v>41681</v>
          </cell>
        </row>
        <row r="136">
          <cell r="C136">
            <v>41682</v>
          </cell>
        </row>
        <row r="137">
          <cell r="C137">
            <v>41683</v>
          </cell>
        </row>
        <row r="138">
          <cell r="C138">
            <v>41684</v>
          </cell>
        </row>
        <row r="139">
          <cell r="C139">
            <v>41685</v>
          </cell>
        </row>
        <row r="140">
          <cell r="C140">
            <v>41686</v>
          </cell>
        </row>
        <row r="141">
          <cell r="C141">
            <v>41687</v>
          </cell>
        </row>
        <row r="142">
          <cell r="C142">
            <v>41688</v>
          </cell>
        </row>
        <row r="143">
          <cell r="C143">
            <v>41689</v>
          </cell>
        </row>
        <row r="144">
          <cell r="C144">
            <v>41690</v>
          </cell>
        </row>
        <row r="145">
          <cell r="C145">
            <v>41691</v>
          </cell>
        </row>
        <row r="146">
          <cell r="C146">
            <v>41692</v>
          </cell>
        </row>
        <row r="147">
          <cell r="C147">
            <v>41693</v>
          </cell>
        </row>
        <row r="148">
          <cell r="C148">
            <v>41694</v>
          </cell>
        </row>
        <row r="149">
          <cell r="C149">
            <v>41695</v>
          </cell>
        </row>
        <row r="150">
          <cell r="C150">
            <v>41696</v>
          </cell>
        </row>
        <row r="151">
          <cell r="C151">
            <v>41697</v>
          </cell>
        </row>
        <row r="152">
          <cell r="C152">
            <v>41698</v>
          </cell>
        </row>
        <row r="153">
          <cell r="C153">
            <v>41699</v>
          </cell>
        </row>
        <row r="154">
          <cell r="C154">
            <v>41700</v>
          </cell>
        </row>
        <row r="155">
          <cell r="C155">
            <v>41701</v>
          </cell>
        </row>
        <row r="156">
          <cell r="C156">
            <v>41702</v>
          </cell>
        </row>
        <row r="157">
          <cell r="C157">
            <v>41703</v>
          </cell>
        </row>
        <row r="158">
          <cell r="C158">
            <v>41704</v>
          </cell>
        </row>
        <row r="159">
          <cell r="C159">
            <v>41705</v>
          </cell>
        </row>
        <row r="160">
          <cell r="C160">
            <v>41706</v>
          </cell>
        </row>
        <row r="161">
          <cell r="C161">
            <v>41707</v>
          </cell>
        </row>
        <row r="162">
          <cell r="C162">
            <v>41708</v>
          </cell>
        </row>
        <row r="163">
          <cell r="C163">
            <v>41709</v>
          </cell>
        </row>
        <row r="164">
          <cell r="C164">
            <v>41710</v>
          </cell>
        </row>
        <row r="165">
          <cell r="C165">
            <v>41711</v>
          </cell>
        </row>
        <row r="166">
          <cell r="C166">
            <v>41712</v>
          </cell>
        </row>
        <row r="167">
          <cell r="C167">
            <v>41713</v>
          </cell>
        </row>
        <row r="168">
          <cell r="C168">
            <v>41714</v>
          </cell>
        </row>
        <row r="169">
          <cell r="C169">
            <v>41715</v>
          </cell>
        </row>
        <row r="170">
          <cell r="C170">
            <v>41716</v>
          </cell>
        </row>
        <row r="171">
          <cell r="C171">
            <v>41717</v>
          </cell>
        </row>
        <row r="172">
          <cell r="C172">
            <v>41718</v>
          </cell>
        </row>
        <row r="173">
          <cell r="C173">
            <v>41719</v>
          </cell>
        </row>
        <row r="174">
          <cell r="C174">
            <v>41720</v>
          </cell>
        </row>
        <row r="175">
          <cell r="C175">
            <v>41721</v>
          </cell>
        </row>
        <row r="176">
          <cell r="C176">
            <v>41722</v>
          </cell>
        </row>
        <row r="177">
          <cell r="C177">
            <v>41723</v>
          </cell>
        </row>
        <row r="178">
          <cell r="C178">
            <v>41724</v>
          </cell>
        </row>
        <row r="179">
          <cell r="C179">
            <v>41725</v>
          </cell>
        </row>
        <row r="180">
          <cell r="C180">
            <v>41726</v>
          </cell>
        </row>
        <row r="181">
          <cell r="C181">
            <v>41727</v>
          </cell>
        </row>
        <row r="182">
          <cell r="C182">
            <v>41728</v>
          </cell>
        </row>
        <row r="183">
          <cell r="C183">
            <v>41729</v>
          </cell>
        </row>
        <row r="184">
          <cell r="C184">
            <v>41730</v>
          </cell>
        </row>
        <row r="185">
          <cell r="C185">
            <v>41731</v>
          </cell>
        </row>
        <row r="186">
          <cell r="C186">
            <v>41732</v>
          </cell>
        </row>
        <row r="187">
          <cell r="C187">
            <v>41733</v>
          </cell>
        </row>
        <row r="188">
          <cell r="C188">
            <v>41734</v>
          </cell>
        </row>
        <row r="189">
          <cell r="C189">
            <v>41735</v>
          </cell>
        </row>
        <row r="190">
          <cell r="C190">
            <v>41736</v>
          </cell>
        </row>
        <row r="191">
          <cell r="C191">
            <v>41737</v>
          </cell>
        </row>
        <row r="192">
          <cell r="C192">
            <v>41738</v>
          </cell>
        </row>
        <row r="193">
          <cell r="C193">
            <v>41739</v>
          </cell>
        </row>
        <row r="194">
          <cell r="C194">
            <v>41740</v>
          </cell>
        </row>
        <row r="195">
          <cell r="C195">
            <v>41741</v>
          </cell>
        </row>
        <row r="196">
          <cell r="C196">
            <v>41742</v>
          </cell>
        </row>
        <row r="197">
          <cell r="C197">
            <v>41743</v>
          </cell>
        </row>
        <row r="198">
          <cell r="C198">
            <v>41744</v>
          </cell>
        </row>
        <row r="199">
          <cell r="C199">
            <v>41745</v>
          </cell>
        </row>
        <row r="200">
          <cell r="C200">
            <v>41746</v>
          </cell>
        </row>
        <row r="201">
          <cell r="C201">
            <v>41747</v>
          </cell>
        </row>
        <row r="202">
          <cell r="C202">
            <v>41748</v>
          </cell>
        </row>
        <row r="203">
          <cell r="C203">
            <v>41749</v>
          </cell>
        </row>
        <row r="204">
          <cell r="C204">
            <v>41750</v>
          </cell>
        </row>
        <row r="205">
          <cell r="C205">
            <v>41751</v>
          </cell>
        </row>
        <row r="206">
          <cell r="C206">
            <v>41752</v>
          </cell>
        </row>
        <row r="207">
          <cell r="C207">
            <v>41753</v>
          </cell>
        </row>
        <row r="208">
          <cell r="C208">
            <v>41754</v>
          </cell>
        </row>
        <row r="209">
          <cell r="C209">
            <v>41755</v>
          </cell>
        </row>
        <row r="210">
          <cell r="C210">
            <v>41756</v>
          </cell>
        </row>
        <row r="211">
          <cell r="C211">
            <v>41757</v>
          </cell>
        </row>
        <row r="212">
          <cell r="C212">
            <v>41758</v>
          </cell>
        </row>
        <row r="213">
          <cell r="C213">
            <v>41759</v>
          </cell>
        </row>
        <row r="214">
          <cell r="C214">
            <v>41760</v>
          </cell>
        </row>
        <row r="215">
          <cell r="C215">
            <v>41761</v>
          </cell>
        </row>
        <row r="216">
          <cell r="C216">
            <v>41762</v>
          </cell>
        </row>
        <row r="217">
          <cell r="C217">
            <v>41763</v>
          </cell>
        </row>
        <row r="218">
          <cell r="C218">
            <v>41764</v>
          </cell>
        </row>
        <row r="219">
          <cell r="C219">
            <v>41765</v>
          </cell>
        </row>
        <row r="220">
          <cell r="C220">
            <v>41766</v>
          </cell>
        </row>
        <row r="221">
          <cell r="C221">
            <v>41767</v>
          </cell>
        </row>
        <row r="222">
          <cell r="C222">
            <v>41768</v>
          </cell>
        </row>
        <row r="223">
          <cell r="C223">
            <v>41769</v>
          </cell>
        </row>
        <row r="224">
          <cell r="C224">
            <v>41770</v>
          </cell>
        </row>
        <row r="225">
          <cell r="C225">
            <v>41771</v>
          </cell>
        </row>
        <row r="226">
          <cell r="C226">
            <v>41772</v>
          </cell>
        </row>
        <row r="227">
          <cell r="C227">
            <v>41773</v>
          </cell>
        </row>
        <row r="228">
          <cell r="C228">
            <v>41774</v>
          </cell>
        </row>
        <row r="229">
          <cell r="C229">
            <v>41775</v>
          </cell>
        </row>
        <row r="230">
          <cell r="C230">
            <v>41776</v>
          </cell>
        </row>
        <row r="231">
          <cell r="C231">
            <v>41777</v>
          </cell>
        </row>
        <row r="232">
          <cell r="C232">
            <v>41778</v>
          </cell>
        </row>
        <row r="233">
          <cell r="C233">
            <v>41779</v>
          </cell>
        </row>
        <row r="234">
          <cell r="C234">
            <v>41780</v>
          </cell>
        </row>
        <row r="235">
          <cell r="C235">
            <v>41781</v>
          </cell>
        </row>
        <row r="236">
          <cell r="C236">
            <v>41782</v>
          </cell>
        </row>
        <row r="237">
          <cell r="C237">
            <v>41783</v>
          </cell>
        </row>
        <row r="238">
          <cell r="C238">
            <v>41784</v>
          </cell>
        </row>
        <row r="239">
          <cell r="C239">
            <v>41785</v>
          </cell>
        </row>
        <row r="240">
          <cell r="C240">
            <v>41786</v>
          </cell>
        </row>
        <row r="241">
          <cell r="C241">
            <v>41787</v>
          </cell>
        </row>
        <row r="242">
          <cell r="C242">
            <v>41788</v>
          </cell>
        </row>
        <row r="243">
          <cell r="C243">
            <v>41789</v>
          </cell>
        </row>
        <row r="244">
          <cell r="C244">
            <v>41790</v>
          </cell>
        </row>
        <row r="245">
          <cell r="C245">
            <v>41791</v>
          </cell>
        </row>
        <row r="246">
          <cell r="C246">
            <v>41792</v>
          </cell>
        </row>
        <row r="247">
          <cell r="C247">
            <v>41793</v>
          </cell>
        </row>
        <row r="248">
          <cell r="C248">
            <v>41794</v>
          </cell>
        </row>
        <row r="249">
          <cell r="C249">
            <v>41795</v>
          </cell>
        </row>
        <row r="250">
          <cell r="C250">
            <v>41796</v>
          </cell>
        </row>
        <row r="251">
          <cell r="C251">
            <v>41797</v>
          </cell>
        </row>
        <row r="252">
          <cell r="C252">
            <v>41798</v>
          </cell>
        </row>
        <row r="253">
          <cell r="C253">
            <v>41799</v>
          </cell>
        </row>
        <row r="254">
          <cell r="C254">
            <v>41800</v>
          </cell>
        </row>
        <row r="255">
          <cell r="C255">
            <v>41801</v>
          </cell>
        </row>
        <row r="256">
          <cell r="C256">
            <v>41802</v>
          </cell>
        </row>
        <row r="257">
          <cell r="C257">
            <v>41803</v>
          </cell>
        </row>
        <row r="258">
          <cell r="C258">
            <v>41804</v>
          </cell>
        </row>
        <row r="259">
          <cell r="C259">
            <v>41805</v>
          </cell>
        </row>
        <row r="260">
          <cell r="C260">
            <v>41806</v>
          </cell>
        </row>
        <row r="261">
          <cell r="C261">
            <v>41807</v>
          </cell>
        </row>
        <row r="262">
          <cell r="C262">
            <v>41808</v>
          </cell>
        </row>
        <row r="263">
          <cell r="C263">
            <v>41809</v>
          </cell>
        </row>
        <row r="264">
          <cell r="C264">
            <v>41810</v>
          </cell>
        </row>
        <row r="265">
          <cell r="C265">
            <v>41811</v>
          </cell>
        </row>
        <row r="266">
          <cell r="C266">
            <v>41812</v>
          </cell>
        </row>
        <row r="267">
          <cell r="C267">
            <v>41813</v>
          </cell>
        </row>
        <row r="268">
          <cell r="C268">
            <v>41814</v>
          </cell>
        </row>
        <row r="269">
          <cell r="C269">
            <v>41815</v>
          </cell>
        </row>
        <row r="270">
          <cell r="C270">
            <v>41816</v>
          </cell>
        </row>
        <row r="271">
          <cell r="C271">
            <v>41817</v>
          </cell>
        </row>
        <row r="272">
          <cell r="C272">
            <v>41818</v>
          </cell>
        </row>
        <row r="273">
          <cell r="C273">
            <v>41819</v>
          </cell>
        </row>
        <row r="274">
          <cell r="C274">
            <v>41820</v>
          </cell>
        </row>
        <row r="275">
          <cell r="C275">
            <v>41821</v>
          </cell>
        </row>
        <row r="276">
          <cell r="C276">
            <v>41822</v>
          </cell>
        </row>
        <row r="277">
          <cell r="C277">
            <v>41823</v>
          </cell>
        </row>
        <row r="278">
          <cell r="C278">
            <v>41824</v>
          </cell>
        </row>
        <row r="279">
          <cell r="C279">
            <v>41825</v>
          </cell>
        </row>
        <row r="280">
          <cell r="C280">
            <v>41826</v>
          </cell>
        </row>
        <row r="281">
          <cell r="C281">
            <v>41827</v>
          </cell>
        </row>
        <row r="282">
          <cell r="C282">
            <v>41828</v>
          </cell>
        </row>
        <row r="283">
          <cell r="C283">
            <v>41829</v>
          </cell>
        </row>
        <row r="284">
          <cell r="C284">
            <v>41830</v>
          </cell>
        </row>
        <row r="285">
          <cell r="C285">
            <v>41831</v>
          </cell>
        </row>
        <row r="286">
          <cell r="C286">
            <v>41832</v>
          </cell>
        </row>
        <row r="287">
          <cell r="C287">
            <v>41833</v>
          </cell>
        </row>
        <row r="288">
          <cell r="C288">
            <v>41834</v>
          </cell>
        </row>
        <row r="289">
          <cell r="C289">
            <v>41835</v>
          </cell>
        </row>
        <row r="290">
          <cell r="C290">
            <v>41836</v>
          </cell>
        </row>
        <row r="291">
          <cell r="C291">
            <v>41837</v>
          </cell>
        </row>
        <row r="292">
          <cell r="C292">
            <v>41838</v>
          </cell>
        </row>
        <row r="293">
          <cell r="C293">
            <v>41839</v>
          </cell>
        </row>
        <row r="294">
          <cell r="C294">
            <v>41840</v>
          </cell>
        </row>
        <row r="295">
          <cell r="C295">
            <v>41841</v>
          </cell>
        </row>
        <row r="296">
          <cell r="C296">
            <v>41842</v>
          </cell>
        </row>
        <row r="297">
          <cell r="C297">
            <v>41843</v>
          </cell>
        </row>
        <row r="298">
          <cell r="C298">
            <v>41844</v>
          </cell>
        </row>
        <row r="299">
          <cell r="C299">
            <v>41845</v>
          </cell>
        </row>
        <row r="300">
          <cell r="C300">
            <v>41846</v>
          </cell>
        </row>
        <row r="301">
          <cell r="C301">
            <v>41847</v>
          </cell>
        </row>
        <row r="302">
          <cell r="C302">
            <v>41848</v>
          </cell>
        </row>
        <row r="303">
          <cell r="C303">
            <v>41849</v>
          </cell>
        </row>
        <row r="304">
          <cell r="C304">
            <v>41850</v>
          </cell>
        </row>
        <row r="305">
          <cell r="C305">
            <v>41851</v>
          </cell>
        </row>
        <row r="306">
          <cell r="C306">
            <v>41852</v>
          </cell>
        </row>
        <row r="307">
          <cell r="C307">
            <v>41853</v>
          </cell>
        </row>
        <row r="308">
          <cell r="C308">
            <v>41854</v>
          </cell>
        </row>
        <row r="309">
          <cell r="C309">
            <v>41855</v>
          </cell>
        </row>
        <row r="310">
          <cell r="C310">
            <v>41856</v>
          </cell>
        </row>
        <row r="311">
          <cell r="C311">
            <v>41857</v>
          </cell>
        </row>
        <row r="312">
          <cell r="C312">
            <v>41858</v>
          </cell>
        </row>
        <row r="313">
          <cell r="C313">
            <v>41859</v>
          </cell>
        </row>
        <row r="314">
          <cell r="C314">
            <v>41860</v>
          </cell>
        </row>
        <row r="315">
          <cell r="C315">
            <v>41861</v>
          </cell>
        </row>
        <row r="316">
          <cell r="C316">
            <v>41862</v>
          </cell>
        </row>
        <row r="317">
          <cell r="C317">
            <v>41863</v>
          </cell>
        </row>
        <row r="318">
          <cell r="C318">
            <v>41864</v>
          </cell>
        </row>
        <row r="319">
          <cell r="C319">
            <v>41865</v>
          </cell>
        </row>
        <row r="320">
          <cell r="C320">
            <v>41866</v>
          </cell>
        </row>
        <row r="321">
          <cell r="C321">
            <v>41867</v>
          </cell>
        </row>
        <row r="322">
          <cell r="C322">
            <v>41868</v>
          </cell>
        </row>
        <row r="323">
          <cell r="C323">
            <v>41869</v>
          </cell>
        </row>
        <row r="324">
          <cell r="C324">
            <v>41870</v>
          </cell>
        </row>
        <row r="325">
          <cell r="C325">
            <v>41871</v>
          </cell>
        </row>
        <row r="326">
          <cell r="C326">
            <v>41872</v>
          </cell>
        </row>
        <row r="327">
          <cell r="C327">
            <v>41873</v>
          </cell>
        </row>
        <row r="328">
          <cell r="C328">
            <v>41874</v>
          </cell>
        </row>
        <row r="329">
          <cell r="C329">
            <v>41875</v>
          </cell>
        </row>
        <row r="330">
          <cell r="C330">
            <v>41876</v>
          </cell>
        </row>
        <row r="331">
          <cell r="C331">
            <v>41877</v>
          </cell>
        </row>
        <row r="332">
          <cell r="C332">
            <v>41878</v>
          </cell>
        </row>
        <row r="333">
          <cell r="C333">
            <v>41879</v>
          </cell>
        </row>
        <row r="334">
          <cell r="C334">
            <v>41880</v>
          </cell>
        </row>
        <row r="335">
          <cell r="C335">
            <v>41881</v>
          </cell>
        </row>
        <row r="336">
          <cell r="C336">
            <v>41882</v>
          </cell>
        </row>
        <row r="337">
          <cell r="C337">
            <v>41883</v>
          </cell>
        </row>
        <row r="338">
          <cell r="C338">
            <v>41884</v>
          </cell>
        </row>
        <row r="339">
          <cell r="C339">
            <v>41885</v>
          </cell>
        </row>
        <row r="340">
          <cell r="C340">
            <v>41886</v>
          </cell>
        </row>
        <row r="341">
          <cell r="C341">
            <v>41887</v>
          </cell>
        </row>
        <row r="342">
          <cell r="C342">
            <v>41888</v>
          </cell>
        </row>
        <row r="343">
          <cell r="C343">
            <v>41889</v>
          </cell>
        </row>
        <row r="344">
          <cell r="C344">
            <v>41890</v>
          </cell>
        </row>
        <row r="345">
          <cell r="C345">
            <v>41891</v>
          </cell>
        </row>
        <row r="346">
          <cell r="C346">
            <v>41892</v>
          </cell>
        </row>
        <row r="347">
          <cell r="C347">
            <v>41893</v>
          </cell>
        </row>
        <row r="348">
          <cell r="C348">
            <v>41894</v>
          </cell>
        </row>
        <row r="349">
          <cell r="C349">
            <v>41895</v>
          </cell>
        </row>
        <row r="350">
          <cell r="C350">
            <v>41896</v>
          </cell>
        </row>
        <row r="351">
          <cell r="C351">
            <v>41897</v>
          </cell>
        </row>
        <row r="352">
          <cell r="C352">
            <v>41898</v>
          </cell>
        </row>
        <row r="353">
          <cell r="C353">
            <v>41899</v>
          </cell>
        </row>
        <row r="354">
          <cell r="C354">
            <v>41900</v>
          </cell>
        </row>
        <row r="355">
          <cell r="C355">
            <v>41901</v>
          </cell>
        </row>
        <row r="356">
          <cell r="C356">
            <v>41902</v>
          </cell>
        </row>
        <row r="357">
          <cell r="C357">
            <v>41903</v>
          </cell>
        </row>
        <row r="358">
          <cell r="C358">
            <v>41904</v>
          </cell>
        </row>
        <row r="359">
          <cell r="C359">
            <v>41905</v>
          </cell>
        </row>
        <row r="360">
          <cell r="C360">
            <v>41906</v>
          </cell>
        </row>
        <row r="361">
          <cell r="C361">
            <v>41907</v>
          </cell>
        </row>
        <row r="362">
          <cell r="C362">
            <v>41908</v>
          </cell>
        </row>
        <row r="363">
          <cell r="C363">
            <v>41909</v>
          </cell>
        </row>
        <row r="364">
          <cell r="C364">
            <v>41910</v>
          </cell>
        </row>
        <row r="365">
          <cell r="C365">
            <v>41911</v>
          </cell>
        </row>
        <row r="366">
          <cell r="C366">
            <v>41912</v>
          </cell>
        </row>
        <row r="367">
          <cell r="C367">
            <v>41913</v>
          </cell>
        </row>
        <row r="368">
          <cell r="C368">
            <v>41914</v>
          </cell>
        </row>
        <row r="369">
          <cell r="C369">
            <v>41915</v>
          </cell>
        </row>
        <row r="370">
          <cell r="C370">
            <v>41916</v>
          </cell>
        </row>
        <row r="371">
          <cell r="C371">
            <v>41917</v>
          </cell>
        </row>
        <row r="372">
          <cell r="C372">
            <v>41918</v>
          </cell>
        </row>
        <row r="373">
          <cell r="C373">
            <v>41919</v>
          </cell>
        </row>
        <row r="374">
          <cell r="C374">
            <v>41920</v>
          </cell>
        </row>
        <row r="375">
          <cell r="C375">
            <v>41921</v>
          </cell>
        </row>
        <row r="376">
          <cell r="C376">
            <v>41922</v>
          </cell>
        </row>
        <row r="377">
          <cell r="C377">
            <v>41923</v>
          </cell>
        </row>
        <row r="378">
          <cell r="C378">
            <v>41924</v>
          </cell>
        </row>
        <row r="379">
          <cell r="C379">
            <v>41925</v>
          </cell>
        </row>
        <row r="380">
          <cell r="C380">
            <v>41926</v>
          </cell>
        </row>
        <row r="381">
          <cell r="C381">
            <v>41927</v>
          </cell>
        </row>
        <row r="382">
          <cell r="C382">
            <v>41928</v>
          </cell>
        </row>
        <row r="383">
          <cell r="C383">
            <v>41929</v>
          </cell>
        </row>
        <row r="384">
          <cell r="C384">
            <v>41930</v>
          </cell>
        </row>
        <row r="385">
          <cell r="C385">
            <v>41931</v>
          </cell>
        </row>
        <row r="386">
          <cell r="C386">
            <v>41932</v>
          </cell>
        </row>
        <row r="387">
          <cell r="C387">
            <v>41933</v>
          </cell>
        </row>
        <row r="388">
          <cell r="C388">
            <v>41934</v>
          </cell>
        </row>
        <row r="389">
          <cell r="C389">
            <v>41935</v>
          </cell>
        </row>
        <row r="390">
          <cell r="C390">
            <v>41936</v>
          </cell>
        </row>
        <row r="391">
          <cell r="C391">
            <v>41937</v>
          </cell>
        </row>
        <row r="392">
          <cell r="C392">
            <v>41938</v>
          </cell>
        </row>
        <row r="393">
          <cell r="C393">
            <v>41939</v>
          </cell>
        </row>
        <row r="394">
          <cell r="C394">
            <v>41940</v>
          </cell>
        </row>
        <row r="395">
          <cell r="C395">
            <v>41941</v>
          </cell>
        </row>
        <row r="396">
          <cell r="C396">
            <v>41942</v>
          </cell>
        </row>
        <row r="397">
          <cell r="C397">
            <v>41943</v>
          </cell>
        </row>
        <row r="398">
          <cell r="C398">
            <v>41944</v>
          </cell>
        </row>
        <row r="399">
          <cell r="C399">
            <v>41945</v>
          </cell>
        </row>
        <row r="400">
          <cell r="C400">
            <v>41946</v>
          </cell>
        </row>
        <row r="401">
          <cell r="C401">
            <v>41947</v>
          </cell>
        </row>
        <row r="402">
          <cell r="C402">
            <v>41948</v>
          </cell>
        </row>
        <row r="403">
          <cell r="C403">
            <v>41949</v>
          </cell>
        </row>
        <row r="404">
          <cell r="C404">
            <v>41950</v>
          </cell>
        </row>
        <row r="405">
          <cell r="C405">
            <v>41951</v>
          </cell>
        </row>
        <row r="406">
          <cell r="C406">
            <v>41952</v>
          </cell>
        </row>
        <row r="407">
          <cell r="C407">
            <v>41953</v>
          </cell>
        </row>
        <row r="408">
          <cell r="C408">
            <v>41954</v>
          </cell>
        </row>
        <row r="409">
          <cell r="C409">
            <v>41955</v>
          </cell>
        </row>
        <row r="410">
          <cell r="C410">
            <v>41956</v>
          </cell>
        </row>
        <row r="411">
          <cell r="C411">
            <v>41957</v>
          </cell>
        </row>
        <row r="412">
          <cell r="C412">
            <v>41958</v>
          </cell>
        </row>
        <row r="413">
          <cell r="C413">
            <v>41959</v>
          </cell>
        </row>
        <row r="414">
          <cell r="C414">
            <v>41960</v>
          </cell>
        </row>
        <row r="415">
          <cell r="C415">
            <v>41961</v>
          </cell>
        </row>
        <row r="416">
          <cell r="C416">
            <v>41962</v>
          </cell>
        </row>
        <row r="417">
          <cell r="C417">
            <v>41963</v>
          </cell>
        </row>
        <row r="418">
          <cell r="C418">
            <v>41964</v>
          </cell>
        </row>
        <row r="419">
          <cell r="C419">
            <v>41965</v>
          </cell>
        </row>
        <row r="420">
          <cell r="C420">
            <v>41966</v>
          </cell>
        </row>
        <row r="421">
          <cell r="C421">
            <v>41967</v>
          </cell>
        </row>
        <row r="422">
          <cell r="C422">
            <v>41968</v>
          </cell>
        </row>
        <row r="423">
          <cell r="C423">
            <v>41969</v>
          </cell>
        </row>
        <row r="424">
          <cell r="C424">
            <v>41970</v>
          </cell>
        </row>
        <row r="425">
          <cell r="C425">
            <v>41971</v>
          </cell>
        </row>
        <row r="426">
          <cell r="C426">
            <v>41972</v>
          </cell>
        </row>
        <row r="427">
          <cell r="C427">
            <v>41973</v>
          </cell>
        </row>
        <row r="428">
          <cell r="C428">
            <v>41974</v>
          </cell>
        </row>
        <row r="429">
          <cell r="C429">
            <v>41975</v>
          </cell>
        </row>
        <row r="430">
          <cell r="C430">
            <v>41976</v>
          </cell>
        </row>
        <row r="431">
          <cell r="C431">
            <v>41977</v>
          </cell>
        </row>
        <row r="432">
          <cell r="C432">
            <v>41978</v>
          </cell>
        </row>
        <row r="433">
          <cell r="C433">
            <v>41979</v>
          </cell>
        </row>
        <row r="434">
          <cell r="C434">
            <v>41980</v>
          </cell>
        </row>
        <row r="435">
          <cell r="C435">
            <v>41981</v>
          </cell>
        </row>
        <row r="436">
          <cell r="C436">
            <v>41982</v>
          </cell>
        </row>
        <row r="437">
          <cell r="C437">
            <v>41983</v>
          </cell>
        </row>
        <row r="438">
          <cell r="C438">
            <v>41984</v>
          </cell>
        </row>
        <row r="439">
          <cell r="C439">
            <v>41985</v>
          </cell>
        </row>
        <row r="440">
          <cell r="C440">
            <v>41986</v>
          </cell>
        </row>
        <row r="441">
          <cell r="C441">
            <v>41987</v>
          </cell>
        </row>
        <row r="442">
          <cell r="C442">
            <v>41988</v>
          </cell>
        </row>
        <row r="443">
          <cell r="C443">
            <v>41989</v>
          </cell>
        </row>
        <row r="444">
          <cell r="C444">
            <v>41990</v>
          </cell>
        </row>
        <row r="445">
          <cell r="C445">
            <v>41991</v>
          </cell>
        </row>
        <row r="446">
          <cell r="C446">
            <v>41992</v>
          </cell>
        </row>
        <row r="447">
          <cell r="C447">
            <v>41993</v>
          </cell>
        </row>
        <row r="448">
          <cell r="C448">
            <v>41994</v>
          </cell>
        </row>
        <row r="449">
          <cell r="C449">
            <v>41995</v>
          </cell>
        </row>
        <row r="450">
          <cell r="C450">
            <v>41996</v>
          </cell>
        </row>
        <row r="451">
          <cell r="C451">
            <v>41997</v>
          </cell>
        </row>
        <row r="452">
          <cell r="C452">
            <v>41998</v>
          </cell>
        </row>
        <row r="453">
          <cell r="C453">
            <v>41999</v>
          </cell>
        </row>
        <row r="454">
          <cell r="C454">
            <v>42000</v>
          </cell>
        </row>
        <row r="455">
          <cell r="C455">
            <v>42001</v>
          </cell>
        </row>
        <row r="456">
          <cell r="C456">
            <v>42002</v>
          </cell>
        </row>
        <row r="457">
          <cell r="C457">
            <v>42003</v>
          </cell>
        </row>
        <row r="458">
          <cell r="C458">
            <v>42004</v>
          </cell>
        </row>
        <row r="459">
          <cell r="C459">
            <v>42005</v>
          </cell>
        </row>
        <row r="460">
          <cell r="C460">
            <v>42006</v>
          </cell>
        </row>
        <row r="461">
          <cell r="C461">
            <v>42007</v>
          </cell>
        </row>
        <row r="462">
          <cell r="C462">
            <v>42008</v>
          </cell>
        </row>
        <row r="463">
          <cell r="C463">
            <v>42009</v>
          </cell>
        </row>
        <row r="464">
          <cell r="C464">
            <v>42010</v>
          </cell>
        </row>
        <row r="465">
          <cell r="C465">
            <v>42011</v>
          </cell>
        </row>
        <row r="466">
          <cell r="C466">
            <v>42012</v>
          </cell>
        </row>
        <row r="467">
          <cell r="C467">
            <v>42013</v>
          </cell>
        </row>
        <row r="468">
          <cell r="C468">
            <v>42014</v>
          </cell>
        </row>
        <row r="469">
          <cell r="C469">
            <v>42015</v>
          </cell>
        </row>
        <row r="470">
          <cell r="C470">
            <v>42016</v>
          </cell>
        </row>
        <row r="471">
          <cell r="C471">
            <v>42017</v>
          </cell>
        </row>
        <row r="472">
          <cell r="C472">
            <v>42018</v>
          </cell>
        </row>
        <row r="473">
          <cell r="C473">
            <v>42019</v>
          </cell>
        </row>
        <row r="474">
          <cell r="C474">
            <v>42020</v>
          </cell>
        </row>
        <row r="475">
          <cell r="C475">
            <v>42021</v>
          </cell>
        </row>
        <row r="476">
          <cell r="C476">
            <v>42022</v>
          </cell>
        </row>
        <row r="477">
          <cell r="C477">
            <v>42023</v>
          </cell>
        </row>
        <row r="478">
          <cell r="C478">
            <v>42024</v>
          </cell>
        </row>
        <row r="479">
          <cell r="C479">
            <v>42025</v>
          </cell>
        </row>
        <row r="480">
          <cell r="C480">
            <v>42026</v>
          </cell>
        </row>
        <row r="481">
          <cell r="C481">
            <v>42027</v>
          </cell>
        </row>
        <row r="482">
          <cell r="C482">
            <v>42028</v>
          </cell>
        </row>
        <row r="483">
          <cell r="C483">
            <v>42029</v>
          </cell>
        </row>
        <row r="484">
          <cell r="C484">
            <v>42030</v>
          </cell>
        </row>
        <row r="485">
          <cell r="C485">
            <v>42031</v>
          </cell>
        </row>
        <row r="486">
          <cell r="C486">
            <v>42032</v>
          </cell>
        </row>
        <row r="487">
          <cell r="C487">
            <v>42033</v>
          </cell>
        </row>
        <row r="488">
          <cell r="C488">
            <v>42034</v>
          </cell>
        </row>
        <row r="489">
          <cell r="C489">
            <v>42035</v>
          </cell>
        </row>
        <row r="490">
          <cell r="C490">
            <v>42036</v>
          </cell>
        </row>
        <row r="491">
          <cell r="C491">
            <v>42037</v>
          </cell>
        </row>
        <row r="492">
          <cell r="C492">
            <v>42038</v>
          </cell>
        </row>
        <row r="493">
          <cell r="C493">
            <v>42039</v>
          </cell>
        </row>
        <row r="494">
          <cell r="C494">
            <v>42040</v>
          </cell>
        </row>
        <row r="495">
          <cell r="C495">
            <v>42041</v>
          </cell>
        </row>
        <row r="496">
          <cell r="C496">
            <v>42042</v>
          </cell>
        </row>
        <row r="497">
          <cell r="C497">
            <v>42043</v>
          </cell>
        </row>
        <row r="498">
          <cell r="C498">
            <v>42044</v>
          </cell>
        </row>
        <row r="499">
          <cell r="C499">
            <v>42045</v>
          </cell>
        </row>
        <row r="500">
          <cell r="C500">
            <v>42046</v>
          </cell>
        </row>
        <row r="501">
          <cell r="C501">
            <v>42047</v>
          </cell>
        </row>
        <row r="502">
          <cell r="C502">
            <v>42048</v>
          </cell>
        </row>
        <row r="503">
          <cell r="C503">
            <v>42049</v>
          </cell>
        </row>
        <row r="504">
          <cell r="C504">
            <v>42050</v>
          </cell>
        </row>
        <row r="505">
          <cell r="C505">
            <v>42051</v>
          </cell>
        </row>
        <row r="506">
          <cell r="C506">
            <v>42052</v>
          </cell>
        </row>
        <row r="507">
          <cell r="C507">
            <v>42053</v>
          </cell>
        </row>
        <row r="508">
          <cell r="C508">
            <v>42054</v>
          </cell>
        </row>
        <row r="509">
          <cell r="C509">
            <v>42055</v>
          </cell>
        </row>
        <row r="510">
          <cell r="C510">
            <v>42056</v>
          </cell>
        </row>
        <row r="511">
          <cell r="C511">
            <v>42057</v>
          </cell>
        </row>
        <row r="512">
          <cell r="C512">
            <v>42058</v>
          </cell>
        </row>
        <row r="513">
          <cell r="C513">
            <v>42059</v>
          </cell>
        </row>
        <row r="514">
          <cell r="C514">
            <v>42060</v>
          </cell>
        </row>
        <row r="515">
          <cell r="C515">
            <v>42061</v>
          </cell>
        </row>
        <row r="516">
          <cell r="C516">
            <v>42062</v>
          </cell>
        </row>
        <row r="517">
          <cell r="C517">
            <v>42063</v>
          </cell>
        </row>
        <row r="518">
          <cell r="C518">
            <v>42064</v>
          </cell>
        </row>
        <row r="519">
          <cell r="C519">
            <v>42065</v>
          </cell>
        </row>
        <row r="520">
          <cell r="C520">
            <v>42066</v>
          </cell>
        </row>
        <row r="521">
          <cell r="C521">
            <v>42067</v>
          </cell>
        </row>
        <row r="522">
          <cell r="C522">
            <v>42068</v>
          </cell>
        </row>
        <row r="523">
          <cell r="C523">
            <v>42069</v>
          </cell>
        </row>
        <row r="524">
          <cell r="C524">
            <v>42070</v>
          </cell>
        </row>
        <row r="525">
          <cell r="C525">
            <v>42071</v>
          </cell>
        </row>
        <row r="526">
          <cell r="C526">
            <v>42072</v>
          </cell>
        </row>
        <row r="527">
          <cell r="C527">
            <v>42073</v>
          </cell>
        </row>
        <row r="528">
          <cell r="C528">
            <v>42074</v>
          </cell>
        </row>
        <row r="529">
          <cell r="C529">
            <v>42075</v>
          </cell>
        </row>
        <row r="530">
          <cell r="C530">
            <v>42076</v>
          </cell>
        </row>
        <row r="531">
          <cell r="C531">
            <v>42077</v>
          </cell>
        </row>
        <row r="532">
          <cell r="C532">
            <v>42078</v>
          </cell>
        </row>
        <row r="533">
          <cell r="C533">
            <v>42079</v>
          </cell>
        </row>
        <row r="534">
          <cell r="C534">
            <v>42080</v>
          </cell>
        </row>
        <row r="535">
          <cell r="C535">
            <v>42081</v>
          </cell>
        </row>
        <row r="536">
          <cell r="C536">
            <v>42082</v>
          </cell>
        </row>
        <row r="537">
          <cell r="C537">
            <v>42083</v>
          </cell>
        </row>
        <row r="538">
          <cell r="C538">
            <v>42084</v>
          </cell>
        </row>
        <row r="539">
          <cell r="C539">
            <v>42085</v>
          </cell>
        </row>
        <row r="540">
          <cell r="C540">
            <v>42086</v>
          </cell>
        </row>
        <row r="541">
          <cell r="C541">
            <v>42087</v>
          </cell>
        </row>
        <row r="542">
          <cell r="C542">
            <v>42088</v>
          </cell>
        </row>
        <row r="543">
          <cell r="C543">
            <v>42089</v>
          </cell>
        </row>
        <row r="544">
          <cell r="C544">
            <v>42090</v>
          </cell>
        </row>
        <row r="545">
          <cell r="C545">
            <v>42091</v>
          </cell>
        </row>
        <row r="546">
          <cell r="C546">
            <v>42092</v>
          </cell>
        </row>
        <row r="547">
          <cell r="C547">
            <v>42093</v>
          </cell>
        </row>
        <row r="548">
          <cell r="C548">
            <v>42094</v>
          </cell>
        </row>
        <row r="549">
          <cell r="C549">
            <v>42095</v>
          </cell>
        </row>
        <row r="550">
          <cell r="C550">
            <v>42096</v>
          </cell>
        </row>
        <row r="551">
          <cell r="C551">
            <v>42097</v>
          </cell>
        </row>
        <row r="552">
          <cell r="C552">
            <v>42098</v>
          </cell>
        </row>
        <row r="553">
          <cell r="C553">
            <v>42099</v>
          </cell>
        </row>
        <row r="554">
          <cell r="C554">
            <v>42100</v>
          </cell>
        </row>
        <row r="555">
          <cell r="C555">
            <v>42101</v>
          </cell>
        </row>
        <row r="556">
          <cell r="C556">
            <v>42102</v>
          </cell>
        </row>
        <row r="557">
          <cell r="C557">
            <v>42103</v>
          </cell>
        </row>
        <row r="558">
          <cell r="C558">
            <v>42104</v>
          </cell>
        </row>
        <row r="559">
          <cell r="C559">
            <v>42105</v>
          </cell>
        </row>
        <row r="560">
          <cell r="C560">
            <v>42106</v>
          </cell>
        </row>
        <row r="561">
          <cell r="C561">
            <v>42107</v>
          </cell>
        </row>
        <row r="562">
          <cell r="C562">
            <v>42108</v>
          </cell>
        </row>
        <row r="563">
          <cell r="C563">
            <v>42109</v>
          </cell>
        </row>
        <row r="564">
          <cell r="C564">
            <v>42110</v>
          </cell>
        </row>
        <row r="565">
          <cell r="C565">
            <v>42111</v>
          </cell>
        </row>
        <row r="566">
          <cell r="C566">
            <v>42112</v>
          </cell>
        </row>
        <row r="567">
          <cell r="C567">
            <v>42113</v>
          </cell>
        </row>
        <row r="568">
          <cell r="C568">
            <v>42114</v>
          </cell>
        </row>
        <row r="569">
          <cell r="C569">
            <v>42115</v>
          </cell>
        </row>
        <row r="570">
          <cell r="C570">
            <v>42116</v>
          </cell>
        </row>
        <row r="571">
          <cell r="C571">
            <v>42117</v>
          </cell>
        </row>
        <row r="572">
          <cell r="C572">
            <v>42118</v>
          </cell>
        </row>
        <row r="573">
          <cell r="C573">
            <v>42119</v>
          </cell>
        </row>
        <row r="574">
          <cell r="C574">
            <v>42120</v>
          </cell>
        </row>
        <row r="575">
          <cell r="C575">
            <v>42121</v>
          </cell>
        </row>
        <row r="576">
          <cell r="C576">
            <v>42122</v>
          </cell>
        </row>
        <row r="577">
          <cell r="C577">
            <v>42123</v>
          </cell>
        </row>
        <row r="578">
          <cell r="C578">
            <v>42124</v>
          </cell>
        </row>
        <row r="579">
          <cell r="C579">
            <v>42125</v>
          </cell>
        </row>
        <row r="580">
          <cell r="C580">
            <v>42126</v>
          </cell>
        </row>
        <row r="581">
          <cell r="C581">
            <v>42127</v>
          </cell>
        </row>
        <row r="582">
          <cell r="C582">
            <v>42128</v>
          </cell>
        </row>
        <row r="583">
          <cell r="C583">
            <v>42129</v>
          </cell>
        </row>
        <row r="584">
          <cell r="C584">
            <v>42130</v>
          </cell>
        </row>
        <row r="585">
          <cell r="C585">
            <v>42131</v>
          </cell>
        </row>
        <row r="586">
          <cell r="C586">
            <v>42132</v>
          </cell>
        </row>
        <row r="587">
          <cell r="C587">
            <v>42133</v>
          </cell>
        </row>
        <row r="588">
          <cell r="C588">
            <v>42134</v>
          </cell>
        </row>
        <row r="589">
          <cell r="C589">
            <v>42135</v>
          </cell>
        </row>
        <row r="590">
          <cell r="C590">
            <v>42136</v>
          </cell>
        </row>
        <row r="591">
          <cell r="C591">
            <v>42137</v>
          </cell>
        </row>
        <row r="592">
          <cell r="C592">
            <v>42138</v>
          </cell>
        </row>
        <row r="593">
          <cell r="C593">
            <v>42139</v>
          </cell>
        </row>
        <row r="594">
          <cell r="C594">
            <v>42140</v>
          </cell>
        </row>
        <row r="595">
          <cell r="C595">
            <v>42141</v>
          </cell>
        </row>
        <row r="596">
          <cell r="C596">
            <v>42142</v>
          </cell>
        </row>
        <row r="597">
          <cell r="C597">
            <v>42143</v>
          </cell>
        </row>
        <row r="598">
          <cell r="C598">
            <v>42144</v>
          </cell>
        </row>
        <row r="599">
          <cell r="C599">
            <v>42145</v>
          </cell>
        </row>
        <row r="600">
          <cell r="C600">
            <v>42146</v>
          </cell>
        </row>
        <row r="601">
          <cell r="C601">
            <v>42147</v>
          </cell>
        </row>
        <row r="602">
          <cell r="C602">
            <v>42148</v>
          </cell>
        </row>
        <row r="603">
          <cell r="C603">
            <v>42149</v>
          </cell>
        </row>
        <row r="604">
          <cell r="C604">
            <v>42150</v>
          </cell>
        </row>
        <row r="605">
          <cell r="C605">
            <v>42151</v>
          </cell>
        </row>
        <row r="606">
          <cell r="C606">
            <v>42152</v>
          </cell>
        </row>
        <row r="607">
          <cell r="C607">
            <v>42153</v>
          </cell>
        </row>
        <row r="608">
          <cell r="C608">
            <v>42154</v>
          </cell>
        </row>
        <row r="609">
          <cell r="C609">
            <v>42155</v>
          </cell>
        </row>
        <row r="610">
          <cell r="C610">
            <v>42156</v>
          </cell>
        </row>
        <row r="611">
          <cell r="C611">
            <v>42157</v>
          </cell>
        </row>
        <row r="612">
          <cell r="C612">
            <v>42158</v>
          </cell>
        </row>
        <row r="613">
          <cell r="C613">
            <v>42159</v>
          </cell>
        </row>
        <row r="614">
          <cell r="C614">
            <v>42160</v>
          </cell>
        </row>
        <row r="615">
          <cell r="C615">
            <v>42161</v>
          </cell>
        </row>
        <row r="616">
          <cell r="C616">
            <v>42162</v>
          </cell>
        </row>
        <row r="617">
          <cell r="C617">
            <v>42163</v>
          </cell>
        </row>
        <row r="618">
          <cell r="C618">
            <v>42164</v>
          </cell>
        </row>
        <row r="619">
          <cell r="C619">
            <v>42165</v>
          </cell>
        </row>
        <row r="620">
          <cell r="C620">
            <v>42166</v>
          </cell>
        </row>
        <row r="621">
          <cell r="C621">
            <v>42167</v>
          </cell>
        </row>
        <row r="622">
          <cell r="C622">
            <v>42168</v>
          </cell>
        </row>
        <row r="623">
          <cell r="C623">
            <v>42169</v>
          </cell>
        </row>
        <row r="624">
          <cell r="C624">
            <v>42170</v>
          </cell>
        </row>
        <row r="625">
          <cell r="C625">
            <v>42171</v>
          </cell>
        </row>
        <row r="626">
          <cell r="C626">
            <v>42172</v>
          </cell>
        </row>
        <row r="627">
          <cell r="C627">
            <v>42173</v>
          </cell>
        </row>
        <row r="628">
          <cell r="C628">
            <v>42174</v>
          </cell>
        </row>
        <row r="629">
          <cell r="C629">
            <v>42175</v>
          </cell>
        </row>
        <row r="630">
          <cell r="C630">
            <v>42176</v>
          </cell>
        </row>
        <row r="631">
          <cell r="C631">
            <v>42177</v>
          </cell>
        </row>
        <row r="632">
          <cell r="C632">
            <v>42178</v>
          </cell>
        </row>
        <row r="633">
          <cell r="C633">
            <v>42179</v>
          </cell>
        </row>
        <row r="634">
          <cell r="C634">
            <v>42180</v>
          </cell>
        </row>
        <row r="635">
          <cell r="C635">
            <v>42181</v>
          </cell>
        </row>
        <row r="636">
          <cell r="C636">
            <v>42182</v>
          </cell>
        </row>
        <row r="637">
          <cell r="C637">
            <v>42183</v>
          </cell>
        </row>
        <row r="638">
          <cell r="C638">
            <v>42184</v>
          </cell>
        </row>
        <row r="639">
          <cell r="C639">
            <v>42185</v>
          </cell>
        </row>
        <row r="640">
          <cell r="C640">
            <v>42186</v>
          </cell>
        </row>
        <row r="641">
          <cell r="C641">
            <v>42187</v>
          </cell>
        </row>
        <row r="642">
          <cell r="C642">
            <v>42188</v>
          </cell>
        </row>
        <row r="643">
          <cell r="C643">
            <v>42189</v>
          </cell>
        </row>
        <row r="644">
          <cell r="C644">
            <v>42190</v>
          </cell>
        </row>
        <row r="645">
          <cell r="C645">
            <v>42191</v>
          </cell>
        </row>
        <row r="646">
          <cell r="C646">
            <v>42192</v>
          </cell>
        </row>
        <row r="647">
          <cell r="C647">
            <v>42193</v>
          </cell>
        </row>
        <row r="648">
          <cell r="C648">
            <v>42194</v>
          </cell>
        </row>
        <row r="649">
          <cell r="C649">
            <v>42195</v>
          </cell>
        </row>
        <row r="650">
          <cell r="C650">
            <v>42196</v>
          </cell>
        </row>
        <row r="651">
          <cell r="C651">
            <v>42197</v>
          </cell>
        </row>
        <row r="652">
          <cell r="C652">
            <v>42198</v>
          </cell>
        </row>
        <row r="653">
          <cell r="C653">
            <v>42199</v>
          </cell>
        </row>
        <row r="654">
          <cell r="C654">
            <v>42200</v>
          </cell>
        </row>
        <row r="655">
          <cell r="C655">
            <v>42201</v>
          </cell>
        </row>
        <row r="656">
          <cell r="C656">
            <v>42202</v>
          </cell>
        </row>
        <row r="657">
          <cell r="C657">
            <v>42203</v>
          </cell>
        </row>
        <row r="658">
          <cell r="C658">
            <v>42204</v>
          </cell>
        </row>
        <row r="659">
          <cell r="C659">
            <v>42205</v>
          </cell>
        </row>
        <row r="660">
          <cell r="C660">
            <v>42206</v>
          </cell>
        </row>
        <row r="661">
          <cell r="C661">
            <v>42207</v>
          </cell>
        </row>
        <row r="662">
          <cell r="C662">
            <v>42208</v>
          </cell>
        </row>
        <row r="663">
          <cell r="C663">
            <v>42209</v>
          </cell>
        </row>
        <row r="664">
          <cell r="C664">
            <v>42210</v>
          </cell>
        </row>
        <row r="665">
          <cell r="C665">
            <v>42211</v>
          </cell>
        </row>
        <row r="666">
          <cell r="C666">
            <v>42212</v>
          </cell>
        </row>
        <row r="667">
          <cell r="C667">
            <v>42213</v>
          </cell>
        </row>
        <row r="668">
          <cell r="C668">
            <v>42214</v>
          </cell>
        </row>
        <row r="669">
          <cell r="C669">
            <v>42215</v>
          </cell>
        </row>
        <row r="670">
          <cell r="C670">
            <v>42216</v>
          </cell>
        </row>
        <row r="671">
          <cell r="C671">
            <v>42217</v>
          </cell>
        </row>
        <row r="672">
          <cell r="C672">
            <v>42218</v>
          </cell>
        </row>
        <row r="673">
          <cell r="C673">
            <v>42219</v>
          </cell>
        </row>
        <row r="674">
          <cell r="C674">
            <v>42220</v>
          </cell>
        </row>
        <row r="675">
          <cell r="C675">
            <v>42221</v>
          </cell>
        </row>
        <row r="676">
          <cell r="C676">
            <v>42222</v>
          </cell>
        </row>
        <row r="677">
          <cell r="C677">
            <v>42223</v>
          </cell>
        </row>
        <row r="678">
          <cell r="C678">
            <v>42224</v>
          </cell>
        </row>
        <row r="679">
          <cell r="C679">
            <v>42225</v>
          </cell>
        </row>
        <row r="680">
          <cell r="C680">
            <v>42226</v>
          </cell>
        </row>
        <row r="681">
          <cell r="C681">
            <v>42227</v>
          </cell>
        </row>
        <row r="682">
          <cell r="C682">
            <v>42228</v>
          </cell>
        </row>
        <row r="683">
          <cell r="C683">
            <v>42229</v>
          </cell>
        </row>
        <row r="684">
          <cell r="C684">
            <v>42230</v>
          </cell>
        </row>
        <row r="685">
          <cell r="C685">
            <v>42231</v>
          </cell>
        </row>
        <row r="686">
          <cell r="C686">
            <v>42232</v>
          </cell>
        </row>
        <row r="687">
          <cell r="C687">
            <v>42233</v>
          </cell>
        </row>
        <row r="688">
          <cell r="C688">
            <v>42234</v>
          </cell>
        </row>
        <row r="689">
          <cell r="C689">
            <v>42235</v>
          </cell>
        </row>
        <row r="690">
          <cell r="C690">
            <v>42236</v>
          </cell>
        </row>
        <row r="691">
          <cell r="C691">
            <v>42237</v>
          </cell>
        </row>
        <row r="692">
          <cell r="C692">
            <v>42238</v>
          </cell>
        </row>
        <row r="693">
          <cell r="C693">
            <v>42239</v>
          </cell>
        </row>
        <row r="694">
          <cell r="C694">
            <v>42240</v>
          </cell>
        </row>
        <row r="695">
          <cell r="C695">
            <v>42241</v>
          </cell>
        </row>
        <row r="696">
          <cell r="C696">
            <v>42242</v>
          </cell>
        </row>
        <row r="697">
          <cell r="C697">
            <v>42243</v>
          </cell>
        </row>
        <row r="698">
          <cell r="C698">
            <v>42244</v>
          </cell>
        </row>
        <row r="699">
          <cell r="C699">
            <v>42245</v>
          </cell>
        </row>
        <row r="700">
          <cell r="C700">
            <v>42246</v>
          </cell>
        </row>
        <row r="701">
          <cell r="C701">
            <v>42247</v>
          </cell>
        </row>
        <row r="702">
          <cell r="C702">
            <v>42248</v>
          </cell>
        </row>
        <row r="703">
          <cell r="C703">
            <v>42249</v>
          </cell>
        </row>
        <row r="704">
          <cell r="C704">
            <v>42250</v>
          </cell>
        </row>
        <row r="705">
          <cell r="C705">
            <v>42251</v>
          </cell>
        </row>
        <row r="706">
          <cell r="C706">
            <v>42252</v>
          </cell>
        </row>
        <row r="707">
          <cell r="C707">
            <v>42253</v>
          </cell>
        </row>
        <row r="708">
          <cell r="C708">
            <v>42254</v>
          </cell>
        </row>
        <row r="709">
          <cell r="C709">
            <v>42255</v>
          </cell>
        </row>
        <row r="710">
          <cell r="C710">
            <v>42256</v>
          </cell>
        </row>
        <row r="711">
          <cell r="C711">
            <v>42257</v>
          </cell>
        </row>
        <row r="712">
          <cell r="C712">
            <v>42258</v>
          </cell>
        </row>
        <row r="713">
          <cell r="C713">
            <v>42259</v>
          </cell>
        </row>
        <row r="714">
          <cell r="C714">
            <v>42260</v>
          </cell>
        </row>
        <row r="715">
          <cell r="C715">
            <v>42261</v>
          </cell>
        </row>
        <row r="716">
          <cell r="C716">
            <v>42262</v>
          </cell>
        </row>
        <row r="717">
          <cell r="C717">
            <v>42263</v>
          </cell>
        </row>
        <row r="718">
          <cell r="C718">
            <v>42264</v>
          </cell>
        </row>
        <row r="719">
          <cell r="C719">
            <v>42265</v>
          </cell>
        </row>
        <row r="720">
          <cell r="C720">
            <v>42266</v>
          </cell>
        </row>
        <row r="721">
          <cell r="C721">
            <v>42267</v>
          </cell>
        </row>
        <row r="722">
          <cell r="C722">
            <v>42268</v>
          </cell>
        </row>
        <row r="723">
          <cell r="C723">
            <v>42269</v>
          </cell>
        </row>
        <row r="724">
          <cell r="C724">
            <v>42270</v>
          </cell>
        </row>
        <row r="725">
          <cell r="C725">
            <v>42271</v>
          </cell>
        </row>
        <row r="726">
          <cell r="C726">
            <v>42272</v>
          </cell>
        </row>
        <row r="727">
          <cell r="C727">
            <v>42273</v>
          </cell>
        </row>
        <row r="728">
          <cell r="C728">
            <v>42274</v>
          </cell>
        </row>
        <row r="729">
          <cell r="C729">
            <v>42275</v>
          </cell>
        </row>
        <row r="730">
          <cell r="C730">
            <v>42276</v>
          </cell>
        </row>
        <row r="731">
          <cell r="C731">
            <v>42277</v>
          </cell>
        </row>
        <row r="732">
          <cell r="C732">
            <v>42278</v>
          </cell>
        </row>
        <row r="733">
          <cell r="C733">
            <v>42279</v>
          </cell>
        </row>
        <row r="734">
          <cell r="C734">
            <v>42280</v>
          </cell>
        </row>
        <row r="735">
          <cell r="C735">
            <v>42281</v>
          </cell>
        </row>
        <row r="736">
          <cell r="C736">
            <v>42282</v>
          </cell>
        </row>
        <row r="737">
          <cell r="C737">
            <v>42283</v>
          </cell>
        </row>
        <row r="738">
          <cell r="C738">
            <v>42284</v>
          </cell>
        </row>
        <row r="739">
          <cell r="C739">
            <v>42285</v>
          </cell>
        </row>
        <row r="740">
          <cell r="C740">
            <v>42286</v>
          </cell>
        </row>
        <row r="741">
          <cell r="C741">
            <v>42287</v>
          </cell>
        </row>
        <row r="742">
          <cell r="C742">
            <v>42288</v>
          </cell>
        </row>
        <row r="743">
          <cell r="C743">
            <v>42289</v>
          </cell>
        </row>
        <row r="744">
          <cell r="C744">
            <v>42290</v>
          </cell>
        </row>
        <row r="745">
          <cell r="C745">
            <v>42291</v>
          </cell>
        </row>
        <row r="746">
          <cell r="C746">
            <v>42292</v>
          </cell>
        </row>
        <row r="747">
          <cell r="C747">
            <v>42293</v>
          </cell>
        </row>
        <row r="748">
          <cell r="C748">
            <v>42294</v>
          </cell>
        </row>
        <row r="749">
          <cell r="C749">
            <v>42295</v>
          </cell>
        </row>
        <row r="750">
          <cell r="C750">
            <v>42296</v>
          </cell>
        </row>
        <row r="751">
          <cell r="C751">
            <v>42297</v>
          </cell>
        </row>
        <row r="752">
          <cell r="C752">
            <v>42298</v>
          </cell>
        </row>
        <row r="753">
          <cell r="C753">
            <v>42299</v>
          </cell>
        </row>
        <row r="754">
          <cell r="C754">
            <v>42300</v>
          </cell>
        </row>
        <row r="755">
          <cell r="C755">
            <v>42301</v>
          </cell>
        </row>
        <row r="756">
          <cell r="C756">
            <v>42302</v>
          </cell>
        </row>
        <row r="757">
          <cell r="C757">
            <v>42303</v>
          </cell>
        </row>
        <row r="758">
          <cell r="C758">
            <v>42304</v>
          </cell>
        </row>
        <row r="759">
          <cell r="C759">
            <v>42305</v>
          </cell>
        </row>
        <row r="760">
          <cell r="C760">
            <v>42306</v>
          </cell>
        </row>
        <row r="761">
          <cell r="C761">
            <v>42307</v>
          </cell>
        </row>
        <row r="762">
          <cell r="C762">
            <v>42308</v>
          </cell>
        </row>
        <row r="763">
          <cell r="C763">
            <v>42309</v>
          </cell>
        </row>
        <row r="764">
          <cell r="C764">
            <v>42310</v>
          </cell>
        </row>
        <row r="765">
          <cell r="C765">
            <v>42311</v>
          </cell>
        </row>
        <row r="766">
          <cell r="C766">
            <v>42312</v>
          </cell>
        </row>
        <row r="767">
          <cell r="C767">
            <v>42313</v>
          </cell>
        </row>
        <row r="768">
          <cell r="C768">
            <v>42314</v>
          </cell>
        </row>
        <row r="769">
          <cell r="C769">
            <v>42315</v>
          </cell>
        </row>
        <row r="770">
          <cell r="C770">
            <v>42316</v>
          </cell>
        </row>
        <row r="771">
          <cell r="C771">
            <v>42317</v>
          </cell>
        </row>
        <row r="772">
          <cell r="C772">
            <v>42318</v>
          </cell>
        </row>
        <row r="773">
          <cell r="C773">
            <v>42319</v>
          </cell>
        </row>
        <row r="774">
          <cell r="C774">
            <v>42320</v>
          </cell>
        </row>
        <row r="775">
          <cell r="C775">
            <v>42321</v>
          </cell>
        </row>
        <row r="776">
          <cell r="C776">
            <v>42322</v>
          </cell>
        </row>
        <row r="777">
          <cell r="C777">
            <v>42323</v>
          </cell>
        </row>
        <row r="778">
          <cell r="C778">
            <v>42324</v>
          </cell>
        </row>
        <row r="779">
          <cell r="C779">
            <v>42325</v>
          </cell>
        </row>
        <row r="780">
          <cell r="C780">
            <v>42326</v>
          </cell>
        </row>
        <row r="781">
          <cell r="C781">
            <v>42327</v>
          </cell>
        </row>
        <row r="782">
          <cell r="C782">
            <v>42328</v>
          </cell>
        </row>
        <row r="783">
          <cell r="C783">
            <v>42329</v>
          </cell>
        </row>
        <row r="784">
          <cell r="C784">
            <v>42330</v>
          </cell>
        </row>
        <row r="785">
          <cell r="C785">
            <v>42331</v>
          </cell>
        </row>
        <row r="786">
          <cell r="C786">
            <v>42332</v>
          </cell>
        </row>
        <row r="787">
          <cell r="C787">
            <v>42333</v>
          </cell>
        </row>
        <row r="788">
          <cell r="C788">
            <v>42334</v>
          </cell>
        </row>
        <row r="789">
          <cell r="C789">
            <v>42335</v>
          </cell>
        </row>
        <row r="790">
          <cell r="C790">
            <v>42336</v>
          </cell>
        </row>
        <row r="791">
          <cell r="C791">
            <v>42337</v>
          </cell>
        </row>
        <row r="792">
          <cell r="C792">
            <v>42338</v>
          </cell>
        </row>
        <row r="793">
          <cell r="C793">
            <v>42339</v>
          </cell>
        </row>
        <row r="794">
          <cell r="C794">
            <v>42340</v>
          </cell>
        </row>
        <row r="795">
          <cell r="C795">
            <v>42341</v>
          </cell>
        </row>
        <row r="796">
          <cell r="C796">
            <v>42342</v>
          </cell>
        </row>
        <row r="797">
          <cell r="C797">
            <v>42343</v>
          </cell>
        </row>
        <row r="798">
          <cell r="C798">
            <v>42344</v>
          </cell>
        </row>
        <row r="799">
          <cell r="C799">
            <v>42345</v>
          </cell>
        </row>
        <row r="800">
          <cell r="C800">
            <v>42346</v>
          </cell>
        </row>
        <row r="801">
          <cell r="C801">
            <v>42347</v>
          </cell>
        </row>
        <row r="802">
          <cell r="C802">
            <v>42348</v>
          </cell>
        </row>
        <row r="803">
          <cell r="C803">
            <v>42349</v>
          </cell>
        </row>
        <row r="804">
          <cell r="C804">
            <v>42350</v>
          </cell>
        </row>
        <row r="805">
          <cell r="C805">
            <v>42351</v>
          </cell>
        </row>
        <row r="806">
          <cell r="C806">
            <v>42352</v>
          </cell>
        </row>
        <row r="807">
          <cell r="C807">
            <v>42353</v>
          </cell>
        </row>
        <row r="808">
          <cell r="C808">
            <v>42354</v>
          </cell>
        </row>
        <row r="809">
          <cell r="C809">
            <v>42355</v>
          </cell>
        </row>
        <row r="810">
          <cell r="C810">
            <v>42356</v>
          </cell>
        </row>
        <row r="811">
          <cell r="C811">
            <v>42357</v>
          </cell>
        </row>
        <row r="812">
          <cell r="C812">
            <v>42358</v>
          </cell>
        </row>
        <row r="813">
          <cell r="C813">
            <v>42359</v>
          </cell>
        </row>
        <row r="814">
          <cell r="C814">
            <v>42360</v>
          </cell>
        </row>
        <row r="815">
          <cell r="C815">
            <v>42361</v>
          </cell>
        </row>
        <row r="816">
          <cell r="C816">
            <v>42362</v>
          </cell>
        </row>
        <row r="817">
          <cell r="C817">
            <v>42363</v>
          </cell>
        </row>
        <row r="818">
          <cell r="C818">
            <v>42364</v>
          </cell>
        </row>
        <row r="819">
          <cell r="C819">
            <v>42365</v>
          </cell>
        </row>
        <row r="820">
          <cell r="C820">
            <v>42366</v>
          </cell>
        </row>
        <row r="821">
          <cell r="C821">
            <v>42367</v>
          </cell>
        </row>
        <row r="822">
          <cell r="C822">
            <v>42368</v>
          </cell>
        </row>
        <row r="823">
          <cell r="C823">
            <v>42369</v>
          </cell>
        </row>
        <row r="824">
          <cell r="C824">
            <v>42370</v>
          </cell>
        </row>
        <row r="825">
          <cell r="C825">
            <v>42371</v>
          </cell>
        </row>
        <row r="826">
          <cell r="C826">
            <v>42372</v>
          </cell>
        </row>
        <row r="827">
          <cell r="C827">
            <v>42373</v>
          </cell>
        </row>
        <row r="828">
          <cell r="C828">
            <v>42374</v>
          </cell>
        </row>
        <row r="829">
          <cell r="C829">
            <v>42375</v>
          </cell>
        </row>
        <row r="830">
          <cell r="C830">
            <v>42376</v>
          </cell>
        </row>
        <row r="831">
          <cell r="C831">
            <v>42377</v>
          </cell>
        </row>
        <row r="832">
          <cell r="C832">
            <v>42378</v>
          </cell>
        </row>
        <row r="833">
          <cell r="C833">
            <v>42379</v>
          </cell>
        </row>
        <row r="834">
          <cell r="C834">
            <v>42380</v>
          </cell>
        </row>
        <row r="835">
          <cell r="C835">
            <v>42381</v>
          </cell>
        </row>
        <row r="836">
          <cell r="C836">
            <v>42382</v>
          </cell>
        </row>
        <row r="837">
          <cell r="C837">
            <v>42383</v>
          </cell>
        </row>
        <row r="838">
          <cell r="C838">
            <v>42384</v>
          </cell>
        </row>
        <row r="839">
          <cell r="C839">
            <v>42385</v>
          </cell>
        </row>
        <row r="840">
          <cell r="C840">
            <v>42386</v>
          </cell>
        </row>
        <row r="841">
          <cell r="C841">
            <v>42387</v>
          </cell>
        </row>
        <row r="842">
          <cell r="C842">
            <v>42388</v>
          </cell>
        </row>
        <row r="843">
          <cell r="C843">
            <v>42389</v>
          </cell>
        </row>
        <row r="844">
          <cell r="C844">
            <v>42390</v>
          </cell>
        </row>
        <row r="845">
          <cell r="C845">
            <v>42391</v>
          </cell>
        </row>
        <row r="846">
          <cell r="C846">
            <v>42392</v>
          </cell>
        </row>
        <row r="847">
          <cell r="C847">
            <v>42393</v>
          </cell>
        </row>
        <row r="848">
          <cell r="C848">
            <v>42394</v>
          </cell>
        </row>
        <row r="849">
          <cell r="C849">
            <v>42395</v>
          </cell>
        </row>
        <row r="850">
          <cell r="C850">
            <v>42396</v>
          </cell>
        </row>
        <row r="851">
          <cell r="C851">
            <v>42397</v>
          </cell>
        </row>
        <row r="852">
          <cell r="C852">
            <v>42398</v>
          </cell>
        </row>
        <row r="853">
          <cell r="C853">
            <v>42399</v>
          </cell>
        </row>
        <row r="854">
          <cell r="C854">
            <v>42400</v>
          </cell>
        </row>
        <row r="855">
          <cell r="C855">
            <v>42401</v>
          </cell>
        </row>
        <row r="856">
          <cell r="C856">
            <v>42402</v>
          </cell>
        </row>
        <row r="857">
          <cell r="C857">
            <v>42403</v>
          </cell>
        </row>
        <row r="858">
          <cell r="C858">
            <v>42404</v>
          </cell>
        </row>
        <row r="859">
          <cell r="C859">
            <v>42405</v>
          </cell>
        </row>
        <row r="860">
          <cell r="C860">
            <v>42406</v>
          </cell>
        </row>
        <row r="861">
          <cell r="C861">
            <v>42407</v>
          </cell>
        </row>
        <row r="862">
          <cell r="C862">
            <v>42408</v>
          </cell>
        </row>
        <row r="863">
          <cell r="C863">
            <v>42409</v>
          </cell>
        </row>
        <row r="864">
          <cell r="C864">
            <v>42410</v>
          </cell>
        </row>
        <row r="865">
          <cell r="C865">
            <v>42411</v>
          </cell>
        </row>
        <row r="866">
          <cell r="C866">
            <v>42412</v>
          </cell>
        </row>
        <row r="867">
          <cell r="C867">
            <v>42413</v>
          </cell>
        </row>
        <row r="868">
          <cell r="C868">
            <v>42414</v>
          </cell>
        </row>
        <row r="869">
          <cell r="C869">
            <v>42415</v>
          </cell>
        </row>
        <row r="870">
          <cell r="C870">
            <v>42416</v>
          </cell>
        </row>
        <row r="871">
          <cell r="C871">
            <v>42417</v>
          </cell>
        </row>
        <row r="872">
          <cell r="C872">
            <v>42418</v>
          </cell>
        </row>
        <row r="873">
          <cell r="C873">
            <v>42419</v>
          </cell>
        </row>
        <row r="874">
          <cell r="C874">
            <v>42420</v>
          </cell>
        </row>
        <row r="875">
          <cell r="C875">
            <v>42421</v>
          </cell>
        </row>
        <row r="876">
          <cell r="C876">
            <v>42422</v>
          </cell>
        </row>
        <row r="877">
          <cell r="C877">
            <v>42423</v>
          </cell>
        </row>
        <row r="878">
          <cell r="C878">
            <v>42424</v>
          </cell>
        </row>
        <row r="879">
          <cell r="C879">
            <v>42425</v>
          </cell>
        </row>
        <row r="880">
          <cell r="C880">
            <v>42426</v>
          </cell>
        </row>
        <row r="881">
          <cell r="C881">
            <v>42427</v>
          </cell>
        </row>
        <row r="882">
          <cell r="C882">
            <v>42428</v>
          </cell>
        </row>
        <row r="883">
          <cell r="C883">
            <v>42429</v>
          </cell>
        </row>
        <row r="884">
          <cell r="C884">
            <v>42430</v>
          </cell>
        </row>
        <row r="885">
          <cell r="C885">
            <v>42431</v>
          </cell>
        </row>
        <row r="886">
          <cell r="C886">
            <v>42432</v>
          </cell>
        </row>
        <row r="887">
          <cell r="C887">
            <v>42433</v>
          </cell>
        </row>
        <row r="888">
          <cell r="C888">
            <v>42434</v>
          </cell>
        </row>
        <row r="889">
          <cell r="C889">
            <v>42435</v>
          </cell>
        </row>
        <row r="890">
          <cell r="C890">
            <v>42436</v>
          </cell>
        </row>
        <row r="891">
          <cell r="C891">
            <v>42437</v>
          </cell>
        </row>
        <row r="892">
          <cell r="C892">
            <v>42438</v>
          </cell>
        </row>
        <row r="893">
          <cell r="C893">
            <v>42439</v>
          </cell>
        </row>
        <row r="894">
          <cell r="C894">
            <v>42440</v>
          </cell>
        </row>
        <row r="895">
          <cell r="C895">
            <v>42441</v>
          </cell>
        </row>
        <row r="896">
          <cell r="C896">
            <v>42442</v>
          </cell>
        </row>
        <row r="897">
          <cell r="C897">
            <v>42443</v>
          </cell>
        </row>
        <row r="898">
          <cell r="C898">
            <v>42444</v>
          </cell>
        </row>
        <row r="899">
          <cell r="C899">
            <v>42445</v>
          </cell>
        </row>
        <row r="900">
          <cell r="C900">
            <v>42446</v>
          </cell>
        </row>
        <row r="901">
          <cell r="C901">
            <v>42447</v>
          </cell>
        </row>
        <row r="902">
          <cell r="C902">
            <v>42448</v>
          </cell>
        </row>
        <row r="903">
          <cell r="C903">
            <v>42449</v>
          </cell>
        </row>
        <row r="904">
          <cell r="C904">
            <v>42450</v>
          </cell>
        </row>
        <row r="905">
          <cell r="C905">
            <v>42451</v>
          </cell>
        </row>
        <row r="906">
          <cell r="C906">
            <v>42452</v>
          </cell>
        </row>
        <row r="907">
          <cell r="C907">
            <v>42453</v>
          </cell>
        </row>
        <row r="908">
          <cell r="C908">
            <v>42454</v>
          </cell>
        </row>
        <row r="909">
          <cell r="C909">
            <v>42455</v>
          </cell>
        </row>
        <row r="910">
          <cell r="C910">
            <v>42456</v>
          </cell>
        </row>
        <row r="911">
          <cell r="C911">
            <v>42457</v>
          </cell>
        </row>
        <row r="912">
          <cell r="C912">
            <v>42458</v>
          </cell>
        </row>
        <row r="913">
          <cell r="C913">
            <v>42459</v>
          </cell>
        </row>
        <row r="914">
          <cell r="C914">
            <v>42460</v>
          </cell>
        </row>
        <row r="915">
          <cell r="C915">
            <v>42461</v>
          </cell>
        </row>
        <row r="916">
          <cell r="C916">
            <v>42462</v>
          </cell>
        </row>
        <row r="917">
          <cell r="C917">
            <v>42463</v>
          </cell>
        </row>
        <row r="918">
          <cell r="C918">
            <v>42464</v>
          </cell>
        </row>
        <row r="919">
          <cell r="C919">
            <v>42465</v>
          </cell>
        </row>
        <row r="920">
          <cell r="C920">
            <v>42466</v>
          </cell>
        </row>
        <row r="921">
          <cell r="C921">
            <v>42467</v>
          </cell>
        </row>
        <row r="922">
          <cell r="C922">
            <v>42468</v>
          </cell>
        </row>
        <row r="923">
          <cell r="C923">
            <v>42469</v>
          </cell>
        </row>
        <row r="924">
          <cell r="C924">
            <v>42470</v>
          </cell>
        </row>
        <row r="925">
          <cell r="C925">
            <v>42471</v>
          </cell>
        </row>
        <row r="926">
          <cell r="C926">
            <v>42472</v>
          </cell>
        </row>
        <row r="927">
          <cell r="C927">
            <v>42473</v>
          </cell>
        </row>
        <row r="928">
          <cell r="C928">
            <v>42474</v>
          </cell>
        </row>
        <row r="929">
          <cell r="C929">
            <v>42475</v>
          </cell>
        </row>
        <row r="930">
          <cell r="C930">
            <v>42476</v>
          </cell>
        </row>
        <row r="931">
          <cell r="C931">
            <v>42477</v>
          </cell>
        </row>
        <row r="932">
          <cell r="C932">
            <v>42478</v>
          </cell>
        </row>
        <row r="933">
          <cell r="C933">
            <v>42479</v>
          </cell>
        </row>
        <row r="934">
          <cell r="C934">
            <v>42480</v>
          </cell>
        </row>
        <row r="935">
          <cell r="C935">
            <v>42481</v>
          </cell>
        </row>
        <row r="936">
          <cell r="C936">
            <v>42482</v>
          </cell>
        </row>
        <row r="937">
          <cell r="C937">
            <v>42483</v>
          </cell>
        </row>
        <row r="938">
          <cell r="C938">
            <v>42484</v>
          </cell>
        </row>
        <row r="939">
          <cell r="C939">
            <v>42485</v>
          </cell>
        </row>
        <row r="940">
          <cell r="C940">
            <v>42486</v>
          </cell>
        </row>
        <row r="941">
          <cell r="C941">
            <v>42487</v>
          </cell>
        </row>
        <row r="942">
          <cell r="C942">
            <v>42488</v>
          </cell>
        </row>
        <row r="943">
          <cell r="C943">
            <v>42489</v>
          </cell>
        </row>
        <row r="944">
          <cell r="C944">
            <v>42490</v>
          </cell>
        </row>
        <row r="945">
          <cell r="C945">
            <v>42491</v>
          </cell>
        </row>
        <row r="946">
          <cell r="C946">
            <v>42492</v>
          </cell>
        </row>
        <row r="947">
          <cell r="C947">
            <v>42493</v>
          </cell>
        </row>
        <row r="948">
          <cell r="C948">
            <v>42494</v>
          </cell>
        </row>
        <row r="949">
          <cell r="C949">
            <v>42495</v>
          </cell>
        </row>
        <row r="950">
          <cell r="C950">
            <v>42496</v>
          </cell>
        </row>
        <row r="951">
          <cell r="C951">
            <v>42497</v>
          </cell>
        </row>
        <row r="952">
          <cell r="C952">
            <v>42498</v>
          </cell>
        </row>
        <row r="953">
          <cell r="C953">
            <v>42499</v>
          </cell>
        </row>
        <row r="954">
          <cell r="C954">
            <v>42500</v>
          </cell>
        </row>
        <row r="955">
          <cell r="C955">
            <v>42501</v>
          </cell>
        </row>
        <row r="956">
          <cell r="C956">
            <v>42502</v>
          </cell>
        </row>
        <row r="957">
          <cell r="C957">
            <v>42503</v>
          </cell>
        </row>
        <row r="958">
          <cell r="C958">
            <v>42504</v>
          </cell>
        </row>
        <row r="959">
          <cell r="C959">
            <v>42505</v>
          </cell>
        </row>
        <row r="960">
          <cell r="C960">
            <v>42506</v>
          </cell>
        </row>
        <row r="961">
          <cell r="C961">
            <v>42507</v>
          </cell>
        </row>
        <row r="962">
          <cell r="C962">
            <v>42508</v>
          </cell>
        </row>
        <row r="963">
          <cell r="C963">
            <v>42509</v>
          </cell>
        </row>
        <row r="964">
          <cell r="C964">
            <v>42510</v>
          </cell>
        </row>
        <row r="965">
          <cell r="C965">
            <v>42511</v>
          </cell>
        </row>
        <row r="966">
          <cell r="C966">
            <v>42512</v>
          </cell>
        </row>
        <row r="967">
          <cell r="C967">
            <v>42513</v>
          </cell>
        </row>
        <row r="968">
          <cell r="C968">
            <v>42514</v>
          </cell>
        </row>
        <row r="969">
          <cell r="C969">
            <v>42515</v>
          </cell>
        </row>
        <row r="970">
          <cell r="C970">
            <v>42516</v>
          </cell>
        </row>
        <row r="971">
          <cell r="C971">
            <v>42517</v>
          </cell>
        </row>
        <row r="972">
          <cell r="C972">
            <v>42518</v>
          </cell>
        </row>
        <row r="973">
          <cell r="C973">
            <v>42519</v>
          </cell>
        </row>
        <row r="974">
          <cell r="C974">
            <v>42520</v>
          </cell>
        </row>
        <row r="975">
          <cell r="C975">
            <v>42521</v>
          </cell>
        </row>
        <row r="976">
          <cell r="C976">
            <v>42522</v>
          </cell>
        </row>
        <row r="977">
          <cell r="C977">
            <v>42523</v>
          </cell>
        </row>
        <row r="978">
          <cell r="C978">
            <v>42524</v>
          </cell>
        </row>
        <row r="979">
          <cell r="C979">
            <v>42525</v>
          </cell>
        </row>
        <row r="980">
          <cell r="C980">
            <v>42526</v>
          </cell>
        </row>
        <row r="981">
          <cell r="C981">
            <v>42527</v>
          </cell>
        </row>
        <row r="982">
          <cell r="C982">
            <v>42528</v>
          </cell>
        </row>
        <row r="983">
          <cell r="C983">
            <v>42529</v>
          </cell>
        </row>
        <row r="984">
          <cell r="C984">
            <v>42530</v>
          </cell>
        </row>
        <row r="985">
          <cell r="C985">
            <v>42531</v>
          </cell>
        </row>
        <row r="986">
          <cell r="C986">
            <v>42532</v>
          </cell>
        </row>
        <row r="987">
          <cell r="C987">
            <v>42533</v>
          </cell>
        </row>
        <row r="988">
          <cell r="C988">
            <v>42534</v>
          </cell>
        </row>
        <row r="989">
          <cell r="C989">
            <v>42535</v>
          </cell>
        </row>
        <row r="990">
          <cell r="C990">
            <v>42536</v>
          </cell>
        </row>
        <row r="991">
          <cell r="C991">
            <v>42537</v>
          </cell>
        </row>
        <row r="992">
          <cell r="C992">
            <v>42538</v>
          </cell>
        </row>
        <row r="993">
          <cell r="C993">
            <v>42539</v>
          </cell>
        </row>
        <row r="994">
          <cell r="C994">
            <v>42540</v>
          </cell>
        </row>
        <row r="995">
          <cell r="C995">
            <v>42541</v>
          </cell>
        </row>
        <row r="996">
          <cell r="C996">
            <v>42542</v>
          </cell>
        </row>
        <row r="997">
          <cell r="C997">
            <v>42543</v>
          </cell>
        </row>
        <row r="998">
          <cell r="C998">
            <v>42544</v>
          </cell>
        </row>
        <row r="999">
          <cell r="C999">
            <v>42545</v>
          </cell>
        </row>
        <row r="1000">
          <cell r="C1000">
            <v>42546</v>
          </cell>
        </row>
        <row r="1001">
          <cell r="C1001">
            <v>42547</v>
          </cell>
        </row>
        <row r="1002">
          <cell r="C1002">
            <v>42548</v>
          </cell>
        </row>
        <row r="1003">
          <cell r="C1003">
            <v>42549</v>
          </cell>
        </row>
        <row r="1004">
          <cell r="C1004">
            <v>42550</v>
          </cell>
        </row>
        <row r="1005">
          <cell r="C1005">
            <v>42551</v>
          </cell>
        </row>
        <row r="1006">
          <cell r="C1006">
            <v>42552</v>
          </cell>
        </row>
        <row r="1007">
          <cell r="C1007">
            <v>42553</v>
          </cell>
        </row>
        <row r="1008">
          <cell r="C1008">
            <v>42554</v>
          </cell>
        </row>
        <row r="1009">
          <cell r="C1009">
            <v>42555</v>
          </cell>
        </row>
        <row r="1010">
          <cell r="C1010">
            <v>42556</v>
          </cell>
        </row>
        <row r="1011">
          <cell r="C1011">
            <v>42557</v>
          </cell>
        </row>
        <row r="1012">
          <cell r="C1012">
            <v>42558</v>
          </cell>
        </row>
        <row r="1013">
          <cell r="C1013">
            <v>42559</v>
          </cell>
        </row>
        <row r="1014">
          <cell r="C1014">
            <v>42560</v>
          </cell>
        </row>
        <row r="1015">
          <cell r="C1015">
            <v>42561</v>
          </cell>
        </row>
        <row r="1016">
          <cell r="C1016">
            <v>42562</v>
          </cell>
        </row>
        <row r="1017">
          <cell r="C1017">
            <v>42563</v>
          </cell>
        </row>
        <row r="1018">
          <cell r="C1018">
            <v>42564</v>
          </cell>
        </row>
        <row r="1019">
          <cell r="C1019">
            <v>42565</v>
          </cell>
        </row>
        <row r="1020">
          <cell r="C1020">
            <v>42566</v>
          </cell>
        </row>
        <row r="1021">
          <cell r="C1021">
            <v>42567</v>
          </cell>
        </row>
        <row r="1022">
          <cell r="C1022">
            <v>42568</v>
          </cell>
        </row>
        <row r="1023">
          <cell r="C1023">
            <v>42569</v>
          </cell>
        </row>
        <row r="1024">
          <cell r="C1024">
            <v>42570</v>
          </cell>
        </row>
        <row r="1025">
          <cell r="C1025">
            <v>42571</v>
          </cell>
        </row>
        <row r="1026">
          <cell r="C1026">
            <v>42572</v>
          </cell>
        </row>
        <row r="1027">
          <cell r="C1027">
            <v>42573</v>
          </cell>
        </row>
        <row r="1028">
          <cell r="C1028">
            <v>42574</v>
          </cell>
        </row>
        <row r="1029">
          <cell r="C1029">
            <v>42575</v>
          </cell>
        </row>
        <row r="1030">
          <cell r="C1030">
            <v>42576</v>
          </cell>
        </row>
        <row r="1031">
          <cell r="C1031">
            <v>42577</v>
          </cell>
        </row>
        <row r="1032">
          <cell r="C1032">
            <v>42578</v>
          </cell>
        </row>
        <row r="1033">
          <cell r="C1033">
            <v>42579</v>
          </cell>
        </row>
        <row r="1034">
          <cell r="C1034">
            <v>42580</v>
          </cell>
        </row>
        <row r="1035">
          <cell r="C1035">
            <v>42581</v>
          </cell>
        </row>
        <row r="1036">
          <cell r="C1036">
            <v>42582</v>
          </cell>
        </row>
        <row r="1037">
          <cell r="C1037">
            <v>42583</v>
          </cell>
        </row>
        <row r="1038">
          <cell r="C1038">
            <v>42584</v>
          </cell>
        </row>
        <row r="1039">
          <cell r="C1039">
            <v>42585</v>
          </cell>
        </row>
        <row r="1040">
          <cell r="C1040">
            <v>42586</v>
          </cell>
        </row>
        <row r="1041">
          <cell r="C1041">
            <v>42587</v>
          </cell>
        </row>
        <row r="1042">
          <cell r="C1042">
            <v>42588</v>
          </cell>
        </row>
        <row r="1043">
          <cell r="C1043">
            <v>42589</v>
          </cell>
        </row>
        <row r="1044">
          <cell r="C1044">
            <v>42590</v>
          </cell>
        </row>
        <row r="1045">
          <cell r="C1045">
            <v>42591</v>
          </cell>
        </row>
        <row r="1046">
          <cell r="C1046">
            <v>42592</v>
          </cell>
        </row>
        <row r="1047">
          <cell r="C1047">
            <v>42593</v>
          </cell>
        </row>
        <row r="1048">
          <cell r="C1048">
            <v>42594</v>
          </cell>
        </row>
        <row r="1049">
          <cell r="C1049">
            <v>42595</v>
          </cell>
        </row>
        <row r="1050">
          <cell r="C1050">
            <v>42596</v>
          </cell>
        </row>
        <row r="1051">
          <cell r="C1051">
            <v>42597</v>
          </cell>
        </row>
        <row r="1052">
          <cell r="C1052">
            <v>42598</v>
          </cell>
        </row>
        <row r="1053">
          <cell r="C1053">
            <v>42599</v>
          </cell>
        </row>
        <row r="1054">
          <cell r="C1054">
            <v>42600</v>
          </cell>
        </row>
        <row r="1055">
          <cell r="C1055">
            <v>42601</v>
          </cell>
        </row>
        <row r="1056">
          <cell r="C1056">
            <v>42602</v>
          </cell>
        </row>
        <row r="1057">
          <cell r="C1057">
            <v>42603</v>
          </cell>
        </row>
        <row r="1058">
          <cell r="C1058">
            <v>42604</v>
          </cell>
        </row>
        <row r="1059">
          <cell r="C1059">
            <v>42605</v>
          </cell>
        </row>
        <row r="1060">
          <cell r="C1060">
            <v>42606</v>
          </cell>
        </row>
        <row r="1061">
          <cell r="C1061">
            <v>42607</v>
          </cell>
        </row>
        <row r="1062">
          <cell r="C1062">
            <v>42608</v>
          </cell>
        </row>
        <row r="1063">
          <cell r="C1063">
            <v>42609</v>
          </cell>
        </row>
        <row r="1064">
          <cell r="C1064">
            <v>42610</v>
          </cell>
        </row>
        <row r="1065">
          <cell r="C1065">
            <v>42611</v>
          </cell>
        </row>
        <row r="1066">
          <cell r="C1066">
            <v>42612</v>
          </cell>
        </row>
        <row r="1067">
          <cell r="C1067">
            <v>42613</v>
          </cell>
        </row>
        <row r="1068">
          <cell r="C1068">
            <v>42614</v>
          </cell>
        </row>
        <row r="1069">
          <cell r="C1069">
            <v>42615</v>
          </cell>
        </row>
        <row r="1070">
          <cell r="C1070">
            <v>42616</v>
          </cell>
        </row>
        <row r="1071">
          <cell r="C1071">
            <v>42617</v>
          </cell>
        </row>
        <row r="1072">
          <cell r="C1072">
            <v>42618</v>
          </cell>
        </row>
        <row r="1073">
          <cell r="C1073">
            <v>42619</v>
          </cell>
        </row>
        <row r="1074">
          <cell r="C1074">
            <v>42620</v>
          </cell>
        </row>
        <row r="1075">
          <cell r="C1075">
            <v>42621</v>
          </cell>
        </row>
        <row r="1076">
          <cell r="C1076">
            <v>42622</v>
          </cell>
        </row>
        <row r="1077">
          <cell r="C1077">
            <v>42623</v>
          </cell>
        </row>
        <row r="1078">
          <cell r="C1078">
            <v>42624</v>
          </cell>
        </row>
        <row r="1079">
          <cell r="C1079">
            <v>42625</v>
          </cell>
        </row>
        <row r="1080">
          <cell r="C1080">
            <v>42626</v>
          </cell>
        </row>
        <row r="1081">
          <cell r="C1081">
            <v>42627</v>
          </cell>
        </row>
        <row r="1082">
          <cell r="C1082">
            <v>42628</v>
          </cell>
        </row>
        <row r="1083">
          <cell r="C1083">
            <v>42629</v>
          </cell>
        </row>
        <row r="1084">
          <cell r="C1084">
            <v>42630</v>
          </cell>
        </row>
        <row r="1085">
          <cell r="C1085">
            <v>42631</v>
          </cell>
        </row>
        <row r="1086">
          <cell r="C1086">
            <v>42632</v>
          </cell>
        </row>
        <row r="1087">
          <cell r="C1087">
            <v>42633</v>
          </cell>
        </row>
        <row r="1088">
          <cell r="C1088">
            <v>42634</v>
          </cell>
        </row>
        <row r="1089">
          <cell r="C1089">
            <v>42635</v>
          </cell>
        </row>
        <row r="1090">
          <cell r="C1090">
            <v>42636</v>
          </cell>
        </row>
        <row r="1091">
          <cell r="C1091">
            <v>42637</v>
          </cell>
        </row>
        <row r="1092">
          <cell r="C1092">
            <v>42638</v>
          </cell>
        </row>
        <row r="1093">
          <cell r="C1093">
            <v>42639</v>
          </cell>
        </row>
        <row r="1094">
          <cell r="C1094">
            <v>42640</v>
          </cell>
        </row>
        <row r="1095">
          <cell r="C1095">
            <v>42641</v>
          </cell>
        </row>
        <row r="1096">
          <cell r="C1096">
            <v>42642</v>
          </cell>
        </row>
        <row r="1097">
          <cell r="C1097">
            <v>42643</v>
          </cell>
        </row>
        <row r="1098">
          <cell r="C1098">
            <v>42644</v>
          </cell>
        </row>
        <row r="1099">
          <cell r="C1099">
            <v>42645</v>
          </cell>
        </row>
        <row r="1100">
          <cell r="C1100">
            <v>42646</v>
          </cell>
        </row>
        <row r="1101">
          <cell r="C1101">
            <v>42647</v>
          </cell>
        </row>
        <row r="1102">
          <cell r="C1102">
            <v>42648</v>
          </cell>
        </row>
        <row r="1103">
          <cell r="C1103">
            <v>42649</v>
          </cell>
        </row>
        <row r="1104">
          <cell r="C1104">
            <v>42650</v>
          </cell>
        </row>
        <row r="1105">
          <cell r="C1105">
            <v>42651</v>
          </cell>
        </row>
        <row r="1106">
          <cell r="C1106">
            <v>42652</v>
          </cell>
        </row>
        <row r="1107">
          <cell r="C1107">
            <v>42653</v>
          </cell>
        </row>
        <row r="1108">
          <cell r="C1108">
            <v>42654</v>
          </cell>
        </row>
        <row r="1109">
          <cell r="C1109">
            <v>42655</v>
          </cell>
        </row>
        <row r="1110">
          <cell r="C1110">
            <v>42656</v>
          </cell>
        </row>
        <row r="1111">
          <cell r="C1111">
            <v>42657</v>
          </cell>
        </row>
        <row r="1112">
          <cell r="C1112">
            <v>42658</v>
          </cell>
        </row>
        <row r="1113">
          <cell r="C1113">
            <v>42659</v>
          </cell>
        </row>
        <row r="1114">
          <cell r="C1114">
            <v>42660</v>
          </cell>
        </row>
        <row r="1115">
          <cell r="C1115">
            <v>42661</v>
          </cell>
        </row>
        <row r="1116">
          <cell r="C1116">
            <v>42662</v>
          </cell>
        </row>
        <row r="1117">
          <cell r="C1117">
            <v>42663</v>
          </cell>
        </row>
        <row r="1118">
          <cell r="C1118">
            <v>42664</v>
          </cell>
        </row>
        <row r="1119">
          <cell r="C1119">
            <v>42665</v>
          </cell>
        </row>
        <row r="1120">
          <cell r="C1120">
            <v>42666</v>
          </cell>
        </row>
        <row r="1121">
          <cell r="C1121">
            <v>42667</v>
          </cell>
        </row>
        <row r="1122">
          <cell r="C1122">
            <v>42668</v>
          </cell>
        </row>
        <row r="1123">
          <cell r="C1123">
            <v>42669</v>
          </cell>
        </row>
        <row r="1124">
          <cell r="C1124">
            <v>42670</v>
          </cell>
        </row>
        <row r="1125">
          <cell r="C1125">
            <v>42671</v>
          </cell>
        </row>
        <row r="1126">
          <cell r="C1126">
            <v>42672</v>
          </cell>
        </row>
        <row r="1127">
          <cell r="C1127">
            <v>42673</v>
          </cell>
        </row>
        <row r="1128">
          <cell r="C1128">
            <v>42674</v>
          </cell>
        </row>
        <row r="1129">
          <cell r="C1129">
            <v>42675</v>
          </cell>
        </row>
        <row r="1130">
          <cell r="C1130">
            <v>42676</v>
          </cell>
        </row>
        <row r="1131">
          <cell r="C1131">
            <v>42677</v>
          </cell>
        </row>
        <row r="1132">
          <cell r="C1132">
            <v>42678</v>
          </cell>
        </row>
        <row r="1133">
          <cell r="C1133">
            <v>42679</v>
          </cell>
        </row>
        <row r="1134">
          <cell r="C1134">
            <v>42680</v>
          </cell>
        </row>
        <row r="1135">
          <cell r="C1135">
            <v>42681</v>
          </cell>
        </row>
        <row r="1136">
          <cell r="C1136">
            <v>42682</v>
          </cell>
        </row>
        <row r="1137">
          <cell r="C1137">
            <v>42683</v>
          </cell>
        </row>
        <row r="1138">
          <cell r="C1138">
            <v>42684</v>
          </cell>
        </row>
        <row r="1139">
          <cell r="C1139">
            <v>42685</v>
          </cell>
        </row>
        <row r="1140">
          <cell r="C1140">
            <v>42686</v>
          </cell>
        </row>
        <row r="1141">
          <cell r="C1141">
            <v>42687</v>
          </cell>
        </row>
        <row r="1142">
          <cell r="C1142">
            <v>42688</v>
          </cell>
        </row>
        <row r="1143">
          <cell r="C1143">
            <v>42689</v>
          </cell>
        </row>
        <row r="1144">
          <cell r="C1144">
            <v>42690</v>
          </cell>
        </row>
        <row r="1145">
          <cell r="C1145">
            <v>42691</v>
          </cell>
        </row>
        <row r="1146">
          <cell r="C1146">
            <v>42692</v>
          </cell>
        </row>
        <row r="1147">
          <cell r="C1147">
            <v>42693</v>
          </cell>
        </row>
        <row r="1148">
          <cell r="C1148">
            <v>42694</v>
          </cell>
        </row>
        <row r="1149">
          <cell r="C1149">
            <v>42695</v>
          </cell>
        </row>
        <row r="1150">
          <cell r="C1150">
            <v>42696</v>
          </cell>
        </row>
        <row r="1151">
          <cell r="C1151">
            <v>42697</v>
          </cell>
        </row>
        <row r="1152">
          <cell r="C1152">
            <v>42698</v>
          </cell>
        </row>
        <row r="1153">
          <cell r="C1153">
            <v>42699</v>
          </cell>
        </row>
        <row r="1154">
          <cell r="C1154">
            <v>42700</v>
          </cell>
        </row>
        <row r="1155">
          <cell r="C1155">
            <v>42701</v>
          </cell>
        </row>
        <row r="1156">
          <cell r="C1156">
            <v>42702</v>
          </cell>
        </row>
        <row r="1157">
          <cell r="C1157">
            <v>42703</v>
          </cell>
        </row>
        <row r="1158">
          <cell r="C1158">
            <v>42704</v>
          </cell>
        </row>
        <row r="1159">
          <cell r="C1159">
            <v>42705</v>
          </cell>
        </row>
        <row r="1160">
          <cell r="C1160">
            <v>42706</v>
          </cell>
        </row>
        <row r="1161">
          <cell r="C1161">
            <v>42707</v>
          </cell>
        </row>
        <row r="1162">
          <cell r="C1162">
            <v>42708</v>
          </cell>
        </row>
        <row r="1163">
          <cell r="C1163">
            <v>42709</v>
          </cell>
        </row>
        <row r="1164">
          <cell r="C1164">
            <v>42710</v>
          </cell>
        </row>
        <row r="1165">
          <cell r="C1165">
            <v>42711</v>
          </cell>
        </row>
        <row r="1166">
          <cell r="C1166">
            <v>42712</v>
          </cell>
        </row>
        <row r="1167">
          <cell r="C1167">
            <v>42713</v>
          </cell>
        </row>
        <row r="1168">
          <cell r="C1168">
            <v>42714</v>
          </cell>
        </row>
        <row r="1169">
          <cell r="C1169">
            <v>42715</v>
          </cell>
        </row>
        <row r="1170">
          <cell r="C1170">
            <v>42716</v>
          </cell>
        </row>
        <row r="1171">
          <cell r="C1171">
            <v>42717</v>
          </cell>
        </row>
        <row r="1172">
          <cell r="C1172">
            <v>42718</v>
          </cell>
        </row>
        <row r="1173">
          <cell r="C1173">
            <v>42719</v>
          </cell>
        </row>
        <row r="1174">
          <cell r="C1174">
            <v>42720</v>
          </cell>
        </row>
        <row r="1175">
          <cell r="C1175">
            <v>42721</v>
          </cell>
        </row>
        <row r="1176">
          <cell r="C1176">
            <v>42722</v>
          </cell>
        </row>
        <row r="1177">
          <cell r="C1177">
            <v>42723</v>
          </cell>
        </row>
        <row r="1178">
          <cell r="C1178">
            <v>42724</v>
          </cell>
        </row>
        <row r="1179">
          <cell r="C1179">
            <v>42725</v>
          </cell>
        </row>
        <row r="1180">
          <cell r="C1180">
            <v>42726</v>
          </cell>
        </row>
        <row r="1181">
          <cell r="C1181">
            <v>42727</v>
          </cell>
        </row>
        <row r="1182">
          <cell r="C1182">
            <v>42728</v>
          </cell>
        </row>
        <row r="1183">
          <cell r="C1183">
            <v>42729</v>
          </cell>
        </row>
        <row r="1184">
          <cell r="C1184">
            <v>42730</v>
          </cell>
        </row>
        <row r="1185">
          <cell r="C1185">
            <v>42731</v>
          </cell>
        </row>
        <row r="1186">
          <cell r="C1186">
            <v>42732</v>
          </cell>
        </row>
        <row r="1187">
          <cell r="C1187">
            <v>42733</v>
          </cell>
        </row>
        <row r="1188">
          <cell r="C1188">
            <v>42734</v>
          </cell>
        </row>
        <row r="1189">
          <cell r="C1189">
            <v>42735</v>
          </cell>
        </row>
        <row r="1190">
          <cell r="C1190">
            <v>42736</v>
          </cell>
        </row>
        <row r="1191">
          <cell r="C1191">
            <v>42737</v>
          </cell>
        </row>
        <row r="1192">
          <cell r="C1192">
            <v>42738</v>
          </cell>
        </row>
        <row r="1193">
          <cell r="C1193">
            <v>42739</v>
          </cell>
        </row>
        <row r="1194">
          <cell r="C1194">
            <v>42740</v>
          </cell>
        </row>
        <row r="1195">
          <cell r="C1195">
            <v>42741</v>
          </cell>
        </row>
        <row r="1196">
          <cell r="C1196">
            <v>42742</v>
          </cell>
        </row>
        <row r="1197">
          <cell r="C1197">
            <v>42743</v>
          </cell>
        </row>
        <row r="1198">
          <cell r="C1198">
            <v>42744</v>
          </cell>
        </row>
        <row r="1199">
          <cell r="C1199">
            <v>42745</v>
          </cell>
        </row>
        <row r="1200">
          <cell r="C1200">
            <v>42746</v>
          </cell>
        </row>
        <row r="1201">
          <cell r="C1201">
            <v>42747</v>
          </cell>
        </row>
        <row r="1202">
          <cell r="C1202">
            <v>42748</v>
          </cell>
        </row>
        <row r="1203">
          <cell r="C1203">
            <v>42749</v>
          </cell>
        </row>
        <row r="1204">
          <cell r="C1204">
            <v>42750</v>
          </cell>
        </row>
        <row r="1205">
          <cell r="C1205">
            <v>42751</v>
          </cell>
        </row>
        <row r="1206">
          <cell r="C1206">
            <v>42752</v>
          </cell>
        </row>
        <row r="1207">
          <cell r="C1207">
            <v>42753</v>
          </cell>
        </row>
        <row r="1208">
          <cell r="C1208">
            <v>42754</v>
          </cell>
        </row>
        <row r="1209">
          <cell r="C1209">
            <v>42755</v>
          </cell>
        </row>
        <row r="1210">
          <cell r="C1210">
            <v>42756</v>
          </cell>
        </row>
        <row r="1211">
          <cell r="C1211">
            <v>42757</v>
          </cell>
        </row>
        <row r="1212">
          <cell r="C1212">
            <v>42758</v>
          </cell>
        </row>
        <row r="1213">
          <cell r="C1213">
            <v>42759</v>
          </cell>
        </row>
        <row r="1214">
          <cell r="C1214">
            <v>42760</v>
          </cell>
        </row>
        <row r="1215">
          <cell r="C1215">
            <v>42761</v>
          </cell>
        </row>
        <row r="1216">
          <cell r="C1216">
            <v>42762</v>
          </cell>
        </row>
        <row r="1217">
          <cell r="C1217">
            <v>42763</v>
          </cell>
        </row>
        <row r="1218">
          <cell r="C1218">
            <v>42764</v>
          </cell>
        </row>
        <row r="1219">
          <cell r="C1219">
            <v>42765</v>
          </cell>
        </row>
        <row r="1220">
          <cell r="C1220">
            <v>42766</v>
          </cell>
        </row>
        <row r="1221">
          <cell r="C1221">
            <v>42767</v>
          </cell>
        </row>
        <row r="1222">
          <cell r="C1222">
            <v>42768</v>
          </cell>
        </row>
        <row r="1223">
          <cell r="C1223">
            <v>42769</v>
          </cell>
        </row>
        <row r="1224">
          <cell r="C1224">
            <v>42770</v>
          </cell>
        </row>
        <row r="1225">
          <cell r="C1225">
            <v>42771</v>
          </cell>
        </row>
        <row r="1226">
          <cell r="C1226">
            <v>42772</v>
          </cell>
        </row>
        <row r="1227">
          <cell r="C1227">
            <v>42773</v>
          </cell>
        </row>
        <row r="1228">
          <cell r="C1228">
            <v>42774</v>
          </cell>
        </row>
        <row r="1229">
          <cell r="C1229">
            <v>42775</v>
          </cell>
        </row>
        <row r="1230">
          <cell r="C1230">
            <v>42776</v>
          </cell>
        </row>
        <row r="1231">
          <cell r="C1231">
            <v>42777</v>
          </cell>
        </row>
        <row r="1232">
          <cell r="C1232">
            <v>42778</v>
          </cell>
        </row>
        <row r="1233">
          <cell r="C1233">
            <v>42779</v>
          </cell>
        </row>
        <row r="1234">
          <cell r="C1234">
            <v>42780</v>
          </cell>
        </row>
        <row r="1235">
          <cell r="C1235">
            <v>42781</v>
          </cell>
        </row>
        <row r="1236">
          <cell r="C1236">
            <v>42782</v>
          </cell>
        </row>
        <row r="1237">
          <cell r="C1237">
            <v>42783</v>
          </cell>
        </row>
        <row r="1238">
          <cell r="C1238">
            <v>42784</v>
          </cell>
        </row>
        <row r="1239">
          <cell r="C1239">
            <v>42785</v>
          </cell>
        </row>
        <row r="1240">
          <cell r="C1240">
            <v>42786</v>
          </cell>
        </row>
        <row r="1241">
          <cell r="C1241">
            <v>42787</v>
          </cell>
        </row>
        <row r="1242">
          <cell r="C1242">
            <v>42788</v>
          </cell>
        </row>
        <row r="1243">
          <cell r="C1243">
            <v>42789</v>
          </cell>
        </row>
        <row r="1244">
          <cell r="C1244">
            <v>42790</v>
          </cell>
        </row>
        <row r="1245">
          <cell r="C1245">
            <v>42791</v>
          </cell>
        </row>
        <row r="1246">
          <cell r="C1246">
            <v>42792</v>
          </cell>
        </row>
        <row r="1247">
          <cell r="C1247">
            <v>42793</v>
          </cell>
        </row>
        <row r="1248">
          <cell r="C1248">
            <v>42794</v>
          </cell>
        </row>
        <row r="1249">
          <cell r="C1249">
            <v>42795</v>
          </cell>
        </row>
        <row r="1250">
          <cell r="C1250">
            <v>42796</v>
          </cell>
        </row>
        <row r="1251">
          <cell r="C1251">
            <v>42797</v>
          </cell>
        </row>
        <row r="1252">
          <cell r="C1252">
            <v>42798</v>
          </cell>
        </row>
        <row r="1253">
          <cell r="C1253">
            <v>42799</v>
          </cell>
        </row>
        <row r="1254">
          <cell r="C1254">
            <v>42800</v>
          </cell>
        </row>
        <row r="1255">
          <cell r="C1255">
            <v>42801</v>
          </cell>
        </row>
        <row r="1256">
          <cell r="C1256">
            <v>42802</v>
          </cell>
        </row>
        <row r="1257">
          <cell r="C1257">
            <v>42803</v>
          </cell>
        </row>
        <row r="1258">
          <cell r="C1258">
            <v>42804</v>
          </cell>
        </row>
        <row r="1259">
          <cell r="C1259">
            <v>42805</v>
          </cell>
        </row>
        <row r="1260">
          <cell r="C1260">
            <v>42806</v>
          </cell>
        </row>
        <row r="1261">
          <cell r="C1261">
            <v>42807</v>
          </cell>
        </row>
        <row r="1262">
          <cell r="C1262">
            <v>42808</v>
          </cell>
        </row>
        <row r="1263">
          <cell r="C1263">
            <v>42809</v>
          </cell>
        </row>
        <row r="1264">
          <cell r="C1264">
            <v>42810</v>
          </cell>
        </row>
        <row r="1265">
          <cell r="C1265">
            <v>42811</v>
          </cell>
        </row>
        <row r="1266">
          <cell r="C1266">
            <v>42812</v>
          </cell>
        </row>
        <row r="1267">
          <cell r="C1267">
            <v>42813</v>
          </cell>
        </row>
        <row r="1268">
          <cell r="C1268">
            <v>42814</v>
          </cell>
        </row>
        <row r="1269">
          <cell r="C1269">
            <v>42815</v>
          </cell>
        </row>
        <row r="1270">
          <cell r="C1270">
            <v>42816</v>
          </cell>
        </row>
        <row r="1271">
          <cell r="C1271">
            <v>42817</v>
          </cell>
        </row>
        <row r="1272">
          <cell r="C1272">
            <v>42818</v>
          </cell>
        </row>
        <row r="1273">
          <cell r="C1273">
            <v>42819</v>
          </cell>
        </row>
        <row r="1274">
          <cell r="C1274">
            <v>42820</v>
          </cell>
        </row>
        <row r="1275">
          <cell r="C1275">
            <v>42821</v>
          </cell>
        </row>
        <row r="1276">
          <cell r="C1276">
            <v>42822</v>
          </cell>
        </row>
        <row r="1277">
          <cell r="C1277">
            <v>42823</v>
          </cell>
        </row>
        <row r="1278">
          <cell r="C1278">
            <v>42824</v>
          </cell>
        </row>
        <row r="1279">
          <cell r="C1279">
            <v>42825</v>
          </cell>
        </row>
        <row r="1280">
          <cell r="C1280">
            <v>42826</v>
          </cell>
        </row>
        <row r="1281">
          <cell r="C1281">
            <v>42827</v>
          </cell>
        </row>
        <row r="1282">
          <cell r="C1282">
            <v>42828</v>
          </cell>
        </row>
        <row r="1283">
          <cell r="C1283">
            <v>42829</v>
          </cell>
        </row>
        <row r="1284">
          <cell r="C1284">
            <v>42830</v>
          </cell>
        </row>
        <row r="1285">
          <cell r="C1285">
            <v>42831</v>
          </cell>
        </row>
        <row r="1286">
          <cell r="C1286">
            <v>42832</v>
          </cell>
        </row>
        <row r="1287">
          <cell r="C1287">
            <v>42833</v>
          </cell>
        </row>
        <row r="1288">
          <cell r="C1288">
            <v>42834</v>
          </cell>
        </row>
        <row r="1289">
          <cell r="C1289">
            <v>42835</v>
          </cell>
        </row>
        <row r="1290">
          <cell r="C1290">
            <v>42836</v>
          </cell>
        </row>
        <row r="1291">
          <cell r="C1291">
            <v>42837</v>
          </cell>
        </row>
        <row r="1292">
          <cell r="C1292">
            <v>42838</v>
          </cell>
        </row>
        <row r="1293">
          <cell r="C1293">
            <v>42839</v>
          </cell>
        </row>
        <row r="1294">
          <cell r="C1294">
            <v>42840</v>
          </cell>
        </row>
        <row r="1295">
          <cell r="C1295">
            <v>42841</v>
          </cell>
        </row>
        <row r="1296">
          <cell r="C1296">
            <v>42842</v>
          </cell>
        </row>
        <row r="1297">
          <cell r="C1297">
            <v>42843</v>
          </cell>
        </row>
        <row r="1298">
          <cell r="C1298">
            <v>42844</v>
          </cell>
        </row>
        <row r="1299">
          <cell r="C1299">
            <v>42845</v>
          </cell>
        </row>
        <row r="1300">
          <cell r="C1300">
            <v>42846</v>
          </cell>
        </row>
        <row r="1301">
          <cell r="C1301">
            <v>42847</v>
          </cell>
        </row>
        <row r="1302">
          <cell r="C1302">
            <v>42848</v>
          </cell>
        </row>
        <row r="1303">
          <cell r="C1303">
            <v>42849</v>
          </cell>
        </row>
        <row r="1304">
          <cell r="C1304">
            <v>42850</v>
          </cell>
        </row>
        <row r="1305">
          <cell r="C1305">
            <v>42851</v>
          </cell>
        </row>
        <row r="1306">
          <cell r="C1306">
            <v>42852</v>
          </cell>
        </row>
        <row r="1307">
          <cell r="C1307">
            <v>42853</v>
          </cell>
        </row>
        <row r="1308">
          <cell r="C1308">
            <v>42854</v>
          </cell>
        </row>
        <row r="1309">
          <cell r="C1309">
            <v>42855</v>
          </cell>
        </row>
        <row r="1310">
          <cell r="C1310">
            <v>42856</v>
          </cell>
        </row>
        <row r="1311">
          <cell r="C1311">
            <v>42857</v>
          </cell>
        </row>
        <row r="1312">
          <cell r="C1312">
            <v>42858</v>
          </cell>
        </row>
        <row r="1313">
          <cell r="C1313">
            <v>42859</v>
          </cell>
        </row>
        <row r="1314">
          <cell r="C1314">
            <v>42860</v>
          </cell>
        </row>
        <row r="1315">
          <cell r="C1315">
            <v>42861</v>
          </cell>
        </row>
        <row r="1316">
          <cell r="C1316">
            <v>42862</v>
          </cell>
        </row>
        <row r="1317">
          <cell r="C1317">
            <v>42863</v>
          </cell>
        </row>
        <row r="1318">
          <cell r="C1318">
            <v>42864</v>
          </cell>
        </row>
        <row r="1319">
          <cell r="C1319">
            <v>42865</v>
          </cell>
        </row>
        <row r="1320">
          <cell r="C1320">
            <v>42866</v>
          </cell>
        </row>
        <row r="1321">
          <cell r="C1321">
            <v>42867</v>
          </cell>
        </row>
        <row r="1322">
          <cell r="C1322">
            <v>42868</v>
          </cell>
        </row>
        <row r="1323">
          <cell r="C1323">
            <v>42869</v>
          </cell>
        </row>
        <row r="1324">
          <cell r="C1324">
            <v>42870</v>
          </cell>
        </row>
        <row r="1325">
          <cell r="C1325">
            <v>42871</v>
          </cell>
        </row>
        <row r="1326">
          <cell r="C1326">
            <v>42872</v>
          </cell>
        </row>
        <row r="1327">
          <cell r="C1327">
            <v>42873</v>
          </cell>
        </row>
        <row r="1328">
          <cell r="C1328">
            <v>42874</v>
          </cell>
        </row>
        <row r="1329">
          <cell r="C1329">
            <v>42875</v>
          </cell>
        </row>
        <row r="1330">
          <cell r="C1330">
            <v>42876</v>
          </cell>
        </row>
        <row r="1331">
          <cell r="C1331">
            <v>42877</v>
          </cell>
        </row>
        <row r="1332">
          <cell r="C1332">
            <v>42878</v>
          </cell>
        </row>
        <row r="1333">
          <cell r="C1333">
            <v>42879</v>
          </cell>
        </row>
        <row r="1334">
          <cell r="C1334">
            <v>42880</v>
          </cell>
        </row>
        <row r="1335">
          <cell r="C1335">
            <v>42881</v>
          </cell>
        </row>
        <row r="1336">
          <cell r="C1336">
            <v>42882</v>
          </cell>
        </row>
        <row r="1337">
          <cell r="C1337">
            <v>42883</v>
          </cell>
        </row>
        <row r="1338">
          <cell r="C1338">
            <v>42884</v>
          </cell>
        </row>
        <row r="1339">
          <cell r="C1339">
            <v>42885</v>
          </cell>
        </row>
        <row r="1340">
          <cell r="C1340">
            <v>42886</v>
          </cell>
        </row>
        <row r="1341">
          <cell r="C1341">
            <v>42887</v>
          </cell>
        </row>
        <row r="1342">
          <cell r="C1342">
            <v>42888</v>
          </cell>
        </row>
        <row r="1343">
          <cell r="C1343">
            <v>42889</v>
          </cell>
        </row>
        <row r="1344">
          <cell r="C1344">
            <v>42890</v>
          </cell>
        </row>
        <row r="1345">
          <cell r="C1345">
            <v>42891</v>
          </cell>
        </row>
        <row r="1346">
          <cell r="C1346">
            <v>42892</v>
          </cell>
        </row>
        <row r="1347">
          <cell r="C1347">
            <v>42893</v>
          </cell>
        </row>
        <row r="1348">
          <cell r="C1348">
            <v>42894</v>
          </cell>
        </row>
        <row r="1349">
          <cell r="C1349">
            <v>42895</v>
          </cell>
        </row>
        <row r="1350">
          <cell r="C1350">
            <v>42896</v>
          </cell>
        </row>
        <row r="1351">
          <cell r="C1351">
            <v>42897</v>
          </cell>
        </row>
        <row r="1352">
          <cell r="C1352">
            <v>42898</v>
          </cell>
        </row>
        <row r="1353">
          <cell r="C1353">
            <v>42899</v>
          </cell>
        </row>
        <row r="1354">
          <cell r="C1354">
            <v>42900</v>
          </cell>
        </row>
        <row r="1355">
          <cell r="C1355">
            <v>42901</v>
          </cell>
        </row>
        <row r="1356">
          <cell r="C1356">
            <v>42902</v>
          </cell>
        </row>
        <row r="1357">
          <cell r="C1357">
            <v>42903</v>
          </cell>
        </row>
        <row r="1358">
          <cell r="C1358">
            <v>42904</v>
          </cell>
        </row>
        <row r="1359">
          <cell r="C1359">
            <v>42905</v>
          </cell>
        </row>
        <row r="1360">
          <cell r="C1360">
            <v>42906</v>
          </cell>
        </row>
        <row r="1361">
          <cell r="C1361">
            <v>42907</v>
          </cell>
        </row>
        <row r="1362">
          <cell r="C1362">
            <v>42908</v>
          </cell>
        </row>
        <row r="1363">
          <cell r="C1363">
            <v>42909</v>
          </cell>
        </row>
        <row r="1364">
          <cell r="C1364">
            <v>42910</v>
          </cell>
        </row>
        <row r="1365">
          <cell r="C1365">
            <v>42911</v>
          </cell>
        </row>
        <row r="1366">
          <cell r="C1366">
            <v>42912</v>
          </cell>
        </row>
        <row r="1367">
          <cell r="C1367">
            <v>42913</v>
          </cell>
        </row>
        <row r="1368">
          <cell r="C1368">
            <v>42914</v>
          </cell>
        </row>
        <row r="1369">
          <cell r="C1369">
            <v>42915</v>
          </cell>
        </row>
        <row r="1370">
          <cell r="C1370">
            <v>42916</v>
          </cell>
        </row>
        <row r="1371">
          <cell r="C1371">
            <v>42917</v>
          </cell>
        </row>
        <row r="1372">
          <cell r="C1372">
            <v>42918</v>
          </cell>
        </row>
        <row r="1373">
          <cell r="C1373">
            <v>42919</v>
          </cell>
        </row>
        <row r="1374">
          <cell r="C1374">
            <v>42920</v>
          </cell>
        </row>
        <row r="1375">
          <cell r="C1375">
            <v>42921</v>
          </cell>
        </row>
        <row r="1376">
          <cell r="C1376">
            <v>42922</v>
          </cell>
        </row>
        <row r="1377">
          <cell r="C1377">
            <v>42923</v>
          </cell>
        </row>
        <row r="1378">
          <cell r="C1378">
            <v>42924</v>
          </cell>
        </row>
        <row r="1379">
          <cell r="C1379">
            <v>42925</v>
          </cell>
        </row>
        <row r="1380">
          <cell r="C1380">
            <v>42926</v>
          </cell>
        </row>
        <row r="1381">
          <cell r="C1381">
            <v>42927</v>
          </cell>
        </row>
        <row r="1382">
          <cell r="C1382">
            <v>42928</v>
          </cell>
        </row>
        <row r="1383">
          <cell r="C1383">
            <v>42929</v>
          </cell>
        </row>
        <row r="1384">
          <cell r="C1384">
            <v>42930</v>
          </cell>
        </row>
        <row r="1385">
          <cell r="C1385">
            <v>42931</v>
          </cell>
        </row>
        <row r="1386">
          <cell r="C1386">
            <v>42932</v>
          </cell>
        </row>
        <row r="1387">
          <cell r="C1387">
            <v>42933</v>
          </cell>
        </row>
        <row r="1388">
          <cell r="C1388">
            <v>42934</v>
          </cell>
        </row>
        <row r="1389">
          <cell r="C1389">
            <v>42935</v>
          </cell>
        </row>
        <row r="1390">
          <cell r="C1390">
            <v>42936</v>
          </cell>
        </row>
        <row r="1391">
          <cell r="C1391">
            <v>42937</v>
          </cell>
        </row>
        <row r="1392">
          <cell r="C1392">
            <v>42938</v>
          </cell>
        </row>
        <row r="1393">
          <cell r="C1393">
            <v>42939</v>
          </cell>
        </row>
        <row r="1394">
          <cell r="C1394">
            <v>42940</v>
          </cell>
        </row>
        <row r="1395">
          <cell r="C1395">
            <v>42941</v>
          </cell>
        </row>
        <row r="1396">
          <cell r="C1396">
            <v>42942</v>
          </cell>
        </row>
        <row r="1397">
          <cell r="C1397">
            <v>42943</v>
          </cell>
        </row>
        <row r="1398">
          <cell r="C1398">
            <v>42944</v>
          </cell>
        </row>
        <row r="1399">
          <cell r="C1399">
            <v>42945</v>
          </cell>
        </row>
        <row r="1400">
          <cell r="C1400">
            <v>42946</v>
          </cell>
        </row>
        <row r="1401">
          <cell r="C1401">
            <v>42947</v>
          </cell>
        </row>
        <row r="1402">
          <cell r="C1402">
            <v>42948</v>
          </cell>
        </row>
        <row r="1403">
          <cell r="C1403">
            <v>42949</v>
          </cell>
        </row>
        <row r="1404">
          <cell r="C1404">
            <v>42950</v>
          </cell>
        </row>
        <row r="1405">
          <cell r="C1405">
            <v>42951</v>
          </cell>
        </row>
        <row r="1406">
          <cell r="C1406">
            <v>42952</v>
          </cell>
        </row>
        <row r="1407">
          <cell r="C1407">
            <v>42953</v>
          </cell>
        </row>
        <row r="1408">
          <cell r="C1408">
            <v>42954</v>
          </cell>
        </row>
        <row r="1409">
          <cell r="C1409">
            <v>42955</v>
          </cell>
        </row>
        <row r="1410">
          <cell r="C1410">
            <v>42956</v>
          </cell>
        </row>
        <row r="1411">
          <cell r="C1411">
            <v>42957</v>
          </cell>
        </row>
        <row r="1412">
          <cell r="C1412">
            <v>42958</v>
          </cell>
        </row>
        <row r="1413">
          <cell r="C1413">
            <v>42959</v>
          </cell>
        </row>
        <row r="1414">
          <cell r="C1414">
            <v>42960</v>
          </cell>
        </row>
        <row r="1415">
          <cell r="C1415">
            <v>42961</v>
          </cell>
        </row>
        <row r="1416">
          <cell r="C1416">
            <v>42962</v>
          </cell>
        </row>
        <row r="1417">
          <cell r="C1417">
            <v>42963</v>
          </cell>
        </row>
        <row r="1418">
          <cell r="C1418">
            <v>42964</v>
          </cell>
        </row>
        <row r="1419">
          <cell r="C1419">
            <v>42965</v>
          </cell>
        </row>
        <row r="1420">
          <cell r="C1420">
            <v>42966</v>
          </cell>
        </row>
        <row r="1421">
          <cell r="C1421">
            <v>42967</v>
          </cell>
        </row>
        <row r="1422">
          <cell r="C1422">
            <v>42968</v>
          </cell>
        </row>
        <row r="1423">
          <cell r="C1423">
            <v>42969</v>
          </cell>
        </row>
        <row r="1424">
          <cell r="C1424">
            <v>42970</v>
          </cell>
        </row>
        <row r="1425">
          <cell r="C1425">
            <v>42971</v>
          </cell>
        </row>
        <row r="1426">
          <cell r="C1426">
            <v>42972</v>
          </cell>
        </row>
        <row r="1427">
          <cell r="C1427">
            <v>42973</v>
          </cell>
        </row>
        <row r="1428">
          <cell r="C1428">
            <v>42974</v>
          </cell>
        </row>
        <row r="1429">
          <cell r="C1429">
            <v>42975</v>
          </cell>
        </row>
        <row r="1430">
          <cell r="C1430">
            <v>42976</v>
          </cell>
        </row>
        <row r="1431">
          <cell r="C1431">
            <v>42977</v>
          </cell>
        </row>
        <row r="1432">
          <cell r="C1432">
            <v>42978</v>
          </cell>
        </row>
        <row r="1433">
          <cell r="C1433">
            <v>42979</v>
          </cell>
        </row>
        <row r="1434">
          <cell r="C1434">
            <v>42980</v>
          </cell>
        </row>
        <row r="1435">
          <cell r="C1435">
            <v>42981</v>
          </cell>
        </row>
        <row r="1436">
          <cell r="C1436">
            <v>42982</v>
          </cell>
        </row>
        <row r="1437">
          <cell r="C1437">
            <v>42983</v>
          </cell>
        </row>
        <row r="1438">
          <cell r="C1438">
            <v>42984</v>
          </cell>
        </row>
        <row r="1439">
          <cell r="C1439">
            <v>42985</v>
          </cell>
        </row>
        <row r="1440">
          <cell r="C1440">
            <v>42986</v>
          </cell>
        </row>
        <row r="1441">
          <cell r="C1441">
            <v>42987</v>
          </cell>
        </row>
        <row r="1442">
          <cell r="C1442">
            <v>42988</v>
          </cell>
        </row>
        <row r="1443">
          <cell r="C1443">
            <v>42989</v>
          </cell>
        </row>
        <row r="1444">
          <cell r="C1444">
            <v>42990</v>
          </cell>
        </row>
        <row r="1445">
          <cell r="C1445">
            <v>42991</v>
          </cell>
        </row>
        <row r="1446">
          <cell r="C1446">
            <v>42992</v>
          </cell>
        </row>
        <row r="1447">
          <cell r="C1447">
            <v>42993</v>
          </cell>
        </row>
        <row r="1448">
          <cell r="C1448">
            <v>42994</v>
          </cell>
        </row>
        <row r="1449">
          <cell r="C1449">
            <v>42995</v>
          </cell>
        </row>
        <row r="1450">
          <cell r="C1450">
            <v>42996</v>
          </cell>
        </row>
        <row r="1451">
          <cell r="C1451">
            <v>42997</v>
          </cell>
        </row>
        <row r="1452">
          <cell r="C1452">
            <v>42998</v>
          </cell>
        </row>
        <row r="1453">
          <cell r="C1453">
            <v>42999</v>
          </cell>
        </row>
        <row r="1454">
          <cell r="C1454">
            <v>43000</v>
          </cell>
        </row>
        <row r="1455">
          <cell r="C1455">
            <v>43001</v>
          </cell>
        </row>
        <row r="1456">
          <cell r="C1456">
            <v>43002</v>
          </cell>
        </row>
        <row r="1457">
          <cell r="C1457">
            <v>43003</v>
          </cell>
        </row>
        <row r="1458">
          <cell r="C1458">
            <v>43004</v>
          </cell>
        </row>
        <row r="1459">
          <cell r="C1459">
            <v>43005</v>
          </cell>
        </row>
        <row r="1460">
          <cell r="C1460">
            <v>43006</v>
          </cell>
        </row>
        <row r="1461">
          <cell r="C1461">
            <v>43007</v>
          </cell>
        </row>
        <row r="1462">
          <cell r="C1462">
            <v>43008</v>
          </cell>
        </row>
      </sheetData>
      <sheetData sheetId="3" refreshError="1"/>
      <sheetData sheetId="4">
        <row r="4">
          <cell r="D4">
            <v>43132</v>
          </cell>
        </row>
        <row r="36">
          <cell r="B36" t="str">
            <v>LKB01326B011(9.1)</v>
          </cell>
        </row>
        <row r="38">
          <cell r="B38" t="str">
            <v>LKB02033F013(11)</v>
          </cell>
        </row>
        <row r="39">
          <cell r="B39" t="str">
            <v>LKB03043F011(10)</v>
          </cell>
        </row>
        <row r="40">
          <cell r="B40" t="str">
            <v>LKB02033K013(72)</v>
          </cell>
        </row>
        <row r="41">
          <cell r="B41" t="str">
            <v>LKB03044A010(74)</v>
          </cell>
        </row>
        <row r="42">
          <cell r="B42" t="str">
            <v>LKB01529E014(75)</v>
          </cell>
        </row>
        <row r="43">
          <cell r="B43" t="str">
            <v>LKB03044F019(76)</v>
          </cell>
        </row>
        <row r="44">
          <cell r="B44" t="str">
            <v>LKB03044A010(79)</v>
          </cell>
        </row>
        <row r="45">
          <cell r="B45" t="str">
            <v>LKB03044A010(81)</v>
          </cell>
        </row>
        <row r="46">
          <cell r="B46" t="str">
            <v>LKB02032A016(82)</v>
          </cell>
        </row>
        <row r="47">
          <cell r="B47" t="str">
            <v>LKB03044A010(83)</v>
          </cell>
        </row>
        <row r="48">
          <cell r="B48" t="str">
            <v>LKB00922G017(85)</v>
          </cell>
        </row>
        <row r="49">
          <cell r="B49" t="str">
            <v>LKB01123I017(89)</v>
          </cell>
        </row>
        <row r="50">
          <cell r="B50" t="str">
            <v>LKB01529A012(93)</v>
          </cell>
        </row>
        <row r="51">
          <cell r="B51" t="str">
            <v>LKB01529E014(94)</v>
          </cell>
        </row>
        <row r="52">
          <cell r="B52" t="str">
            <v>LKB01529E014(95)</v>
          </cell>
        </row>
        <row r="54">
          <cell r="B54" t="str">
            <v>LKB01530E152(107)</v>
          </cell>
        </row>
        <row r="55">
          <cell r="B55" t="str">
            <v>LKB02035C155(108)</v>
          </cell>
        </row>
        <row r="56">
          <cell r="B56" t="str">
            <v>LKB02035C155(109)</v>
          </cell>
        </row>
        <row r="57">
          <cell r="B57" t="str">
            <v>LKB02035C155(110)</v>
          </cell>
        </row>
        <row r="58">
          <cell r="B58" t="str">
            <v>LKB01530E152 (115)</v>
          </cell>
        </row>
        <row r="59">
          <cell r="B59" t="str">
            <v>LKB01528I017 (116)</v>
          </cell>
        </row>
        <row r="60">
          <cell r="B60" t="str">
            <v>LKB01529A012 (117)</v>
          </cell>
        </row>
        <row r="61">
          <cell r="B61" t="str">
            <v>LKB00922G017 (119)</v>
          </cell>
        </row>
        <row r="62">
          <cell r="B62" t="str">
            <v>LKB01023I019 (120)</v>
          </cell>
        </row>
        <row r="64">
          <cell r="B64" t="str">
            <v>LKB01025H016 (122)</v>
          </cell>
        </row>
        <row r="65">
          <cell r="B65" t="str">
            <v>LKB01628G019(124)</v>
          </cell>
        </row>
        <row r="72">
          <cell r="B72" t="str">
            <v>LKB03044F019 (132)</v>
          </cell>
        </row>
        <row r="73">
          <cell r="B73" t="str">
            <v>LKB03044F019 (132.1)</v>
          </cell>
        </row>
        <row r="74">
          <cell r="B74" t="str">
            <v>LKB01530E152 (133)</v>
          </cell>
        </row>
        <row r="75">
          <cell r="B75" t="str">
            <v>LKB01530E152 (134)</v>
          </cell>
        </row>
        <row r="76">
          <cell r="B76" t="str">
            <v>LKB00921E014(129)</v>
          </cell>
        </row>
        <row r="78">
          <cell r="B78" t="str">
            <v>LKB01326B011(127)</v>
          </cell>
        </row>
        <row r="79">
          <cell r="B79" t="str">
            <v>LKB00921E014(126)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0-11"/>
      <sheetName val="1210-1211"/>
      <sheetName val="10-11 C"/>
      <sheetName val="1211-1212"/>
      <sheetName val="11-12 C"/>
      <sheetName val="1212-1213"/>
      <sheetName val="12-13 C"/>
      <sheetName val="1213-1214"/>
      <sheetName val="13-14 C"/>
      <sheetName val="1214-1215"/>
      <sheetName val="14-15 C"/>
      <sheetName val="2015-16"/>
      <sheetName val="2016-17"/>
      <sheetName val="2017-18"/>
      <sheetName val="2011-12"/>
      <sheetName val="2012-13"/>
      <sheetName val="2013-14"/>
      <sheetName val="2014-15"/>
      <sheetName val="Avg matrix"/>
      <sheetName val="Empirical TR"/>
      <sheetName val="Avg TR"/>
      <sheetName val="Index"/>
      <sheetName val="Correlation"/>
      <sheetName val="Regression data"/>
      <sheetName val="Forecasting"/>
      <sheetName val="Masters"/>
      <sheetName val="Expected Loss"/>
      <sheetName val="Lookupsheet and assumptions"/>
      <sheetName val="LGD"/>
      <sheetName val="Stage Allocation"/>
      <sheetName val="Base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6">
          <cell r="B6">
            <v>0.6</v>
          </cell>
        </row>
      </sheetData>
      <sheetData sheetId="27"/>
      <sheetData sheetId="28"/>
      <sheetData sheetId="29"/>
      <sheetData sheetId="30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ios"/>
      <sheetName val="ANALYSIS"/>
      <sheetName val="MONTHLY PROFIT &amp; LOSS "/>
      <sheetName val="CASH FLOW"/>
      <sheetName val="SYS PL"/>
      <sheetName val="SYS BS"/>
      <sheetName val="BALANCE SHEET"/>
      <sheetName val="LOANS"/>
      <sheetName val="FG VALUATION"/>
      <sheetName val="2"/>
      <sheetName val="3"/>
      <sheetName val="4"/>
      <sheetName val="5"/>
      <sheetName val="12"/>
      <sheetName val="13"/>
      <sheetName val="14"/>
      <sheetName val="15"/>
      <sheetName val="17"/>
      <sheetName val="18"/>
      <sheetName val="16"/>
      <sheetName val="20"/>
      <sheetName val="19"/>
      <sheetName val="21"/>
      <sheetName val="DETAIL P&amp;L"/>
      <sheetName val="STA I"/>
      <sheetName val="STAII"/>
      <sheetName val="STA III "/>
      <sheetName val="CF"/>
      <sheetName val="CF WORKING"/>
      <sheetName val="Lease"/>
      <sheetName val="305200 mar"/>
      <sheetName val="305200"/>
      <sheetName val="300200"/>
      <sheetName val="300100"/>
      <sheetName val="Ld_Lcy"/>
      <sheetName val="Currency"/>
      <sheetName val="Non-Statistical Sampling"/>
      <sheetName val="AR Drop Downs"/>
      <sheetName val="DropDown"/>
      <sheetName val="Bank _Inst_Master"/>
      <sheetName val="PPE"/>
      <sheetName val="P&amp;L"/>
      <sheetName val="Bal Sheet Consolidation"/>
      <sheetName val="PP&amp;E 2007"/>
      <sheetName val="ASH"/>
      <sheetName val="P_L for 3 M"/>
      <sheetName val="KU-P"/>
      <sheetName val="BT-P"/>
      <sheetName val="BS - Openning - Int"/>
      <sheetName val="Total Consol"/>
      <sheetName val="ML"/>
      <sheetName val="Sat Lab Consol"/>
      <sheetName val="NG-P"/>
      <sheetName val="JF-P"/>
      <sheetName val="PW-P"/>
      <sheetName val="WP-P"/>
      <sheetName val="KD-P"/>
      <sheetName val="WT-P"/>
      <sheetName val="GP-P "/>
      <sheetName val="JV Consol"/>
      <sheetName val="RG"/>
      <sheetName val="KB"/>
      <sheetName val="Sheet1"/>
      <sheetName val="ADMIN"/>
      <sheetName val="MONTHLY_PROFIT_&amp;_LOSS_"/>
      <sheetName val="CASH_FLOW"/>
      <sheetName val="SYS_PL"/>
      <sheetName val="SYS_BS"/>
      <sheetName val="BALANCE_SHEET"/>
      <sheetName val="FG_VALUATION"/>
      <sheetName val="DETAIL_P&amp;L"/>
      <sheetName val="STA_I"/>
      <sheetName val="STA_III_"/>
      <sheetName val="CF_WORKING"/>
      <sheetName val="305200_mar"/>
      <sheetName val="Non-Statistical_Sampling"/>
      <sheetName val="AR_Drop_Downs"/>
      <sheetName val="Bank__Inst_Master"/>
      <sheetName val="Bal_Sheet_Consolidation"/>
      <sheetName val="PP&amp;E_2007"/>
      <sheetName val="P_L_for_3_M"/>
      <sheetName val="BS_-_Openning_-_Int"/>
      <sheetName val="Total_Consol"/>
      <sheetName val="Sat_Lab_Consol"/>
      <sheetName val="GP-P_"/>
      <sheetName val="JV_Consol"/>
      <sheetName val="MONTHLY_PROFIT_&amp;_LOSS_1"/>
      <sheetName val="CASH_FLOW1"/>
      <sheetName val="SYS_PL1"/>
      <sheetName val="SYS_BS1"/>
      <sheetName val="BALANCE_SHEET1"/>
      <sheetName val="FG_VALUATION1"/>
      <sheetName val="DETAIL_P&amp;L1"/>
      <sheetName val="STA_I1"/>
      <sheetName val="STA_III_1"/>
      <sheetName val="CF_WORKING1"/>
      <sheetName val="305200_mar1"/>
      <sheetName val="Non-Statistical_Sampling1"/>
      <sheetName val="AR_Drop_Downs1"/>
      <sheetName val="Bank__Inst_Master1"/>
      <sheetName val="Bal_Sheet_Consolidation1"/>
      <sheetName val="PP&amp;E_20071"/>
      <sheetName val="P_L_for_3_M1"/>
      <sheetName val="BS_-_Openning_-_Int1"/>
      <sheetName val="Total_Consol1"/>
      <sheetName val="Sat_Lab_Consol1"/>
      <sheetName val="GP-P_1"/>
      <sheetName val="JV_Consol1"/>
      <sheetName val="MONTHLY_PROFIT_&amp;_LOSS_2"/>
      <sheetName val="CASH_FLOW2"/>
      <sheetName val="SYS_PL2"/>
      <sheetName val="SYS_BS2"/>
      <sheetName val="BALANCE_SHEET2"/>
      <sheetName val="FG_VALUATION2"/>
      <sheetName val="DETAIL_P&amp;L2"/>
      <sheetName val="STA_I2"/>
      <sheetName val="STA_III_2"/>
      <sheetName val="CF_WORKING2"/>
      <sheetName val="305200_mar2"/>
      <sheetName val="Non-Statistical_Sampling2"/>
      <sheetName val="AR_Drop_Downs2"/>
      <sheetName val="Bank__Inst_Master2"/>
      <sheetName val="Bal_Sheet_Consolidation2"/>
      <sheetName val="PP&amp;E_20072"/>
      <sheetName val="P_L_for_3_M2"/>
      <sheetName val="BS_-_Openning_-_Int2"/>
      <sheetName val="Total_Consol2"/>
      <sheetName val="Sat_Lab_Consol2"/>
      <sheetName val="GP-P_2"/>
      <sheetName val="JV_Consol2"/>
      <sheetName val="MONTHLY_PROFIT_&amp;_LOSS_3"/>
      <sheetName val="CASH_FLOW3"/>
      <sheetName val="SYS_PL3"/>
      <sheetName val="SYS_BS3"/>
      <sheetName val="BALANCE_SHEET3"/>
      <sheetName val="FG_VALUATION3"/>
      <sheetName val="DETAIL_P&amp;L3"/>
      <sheetName val="STA_I3"/>
      <sheetName val="STA_III_3"/>
      <sheetName val="CF_WORKING3"/>
      <sheetName val="305200_mar3"/>
      <sheetName val="Non-Statistical_Sampling3"/>
      <sheetName val="AR_Drop_Downs3"/>
      <sheetName val="Bank__Inst_Master3"/>
      <sheetName val="Bal_Sheet_Consolidation3"/>
      <sheetName val="PP&amp;E_20073"/>
      <sheetName val="P_L_for_3_M3"/>
      <sheetName val="BS_-_Openning_-_Int3"/>
      <sheetName val="Total_Consol3"/>
      <sheetName val="Sat_Lab_Consol3"/>
      <sheetName val="GP-P_3"/>
      <sheetName val="JV_Consol3"/>
      <sheetName val="Sheet3"/>
      <sheetName val="BUD"/>
      <sheetName val="Dept P&amp;L"/>
      <sheetName val="Consol CF"/>
      <sheetName val="Lab "/>
      <sheetName val="DownLoad"/>
      <sheetName val=" Accrued Schedule"/>
      <sheetName val="FEB 16"/>
      <sheetName val="Loan Amortization Schedule"/>
      <sheetName val="Dept_P&amp;L1"/>
      <sheetName val="Consol_CF1"/>
      <sheetName val="Lab_1"/>
      <sheetName val="_Accrued_Schedule1"/>
      <sheetName val="FEB_161"/>
      <sheetName val="Loan_Amortization_Schedule1"/>
      <sheetName val="Dept_P&amp;L"/>
      <sheetName val="Lab_"/>
      <sheetName val="Consol_CF"/>
      <sheetName val="_Accrued_Schedule"/>
      <sheetName val="FEB_16"/>
      <sheetName val="Loan_Amortization_Schedule"/>
      <sheetName val="1000 BEDS"/>
      <sheetName val="GND"/>
      <sheetName val="CP"/>
      <sheetName val="LAK"/>
      <sheetName val="MC"/>
      <sheetName val="WTC"/>
      <sheetName val="MUS"/>
      <sheetName val="BARS"/>
      <sheetName val="IC PURCHASE"/>
      <sheetName val="IC OTHER OPERATING INCOME"/>
      <sheetName val="Summery-Dec 20"/>
      <sheetName val="Quoted Debt"/>
      <sheetName val="Bond Prices"/>
      <sheetName val="RIOTAB2"/>
      <sheetName val="RIOTAB3"/>
      <sheetName val="Individual Clients"/>
      <sheetName val="JOB CLOSE"/>
      <sheetName val="BUD-D.XLS"/>
      <sheetName val="Article"/>
    </sheetNames>
    <sheetDataSet>
      <sheetData sheetId="0">
        <row r="5">
          <cell r="D5">
            <v>6790479</v>
          </cell>
        </row>
      </sheetData>
      <sheetData sheetId="1"/>
      <sheetData sheetId="2"/>
      <sheetData sheetId="3"/>
      <sheetData sheetId="4"/>
      <sheetData sheetId="5"/>
      <sheetData sheetId="6">
        <row r="8">
          <cell r="M8">
            <v>1256452813.5800002</v>
          </cell>
        </row>
      </sheetData>
      <sheetData sheetId="7">
        <row r="8">
          <cell r="M8">
            <v>1256452813.5800002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1">
          <cell r="A1" t="str">
            <v xml:space="preserve">Royal Porcelain (Pvt) Limited </v>
          </cell>
        </row>
      </sheetData>
      <sheetData sheetId="15">
        <row r="1">
          <cell r="A1" t="str">
            <v xml:space="preserve">Royal Porcelain (Pvt) Limited </v>
          </cell>
        </row>
      </sheetData>
      <sheetData sheetId="16">
        <row r="1">
          <cell r="A1" t="str">
            <v xml:space="preserve">Royal Porcelain (Pvt) Limited 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>
        <row r="5">
          <cell r="D5">
            <v>6790479</v>
          </cell>
          <cell r="H5">
            <v>1.6666666666666666E-2</v>
          </cell>
        </row>
        <row r="7">
          <cell r="D7">
            <v>3.9166666600000002</v>
          </cell>
        </row>
        <row r="8">
          <cell r="D8">
            <v>39395</v>
          </cell>
        </row>
        <row r="9">
          <cell r="D9" t="str">
            <v>Monthly</v>
          </cell>
        </row>
        <row r="11">
          <cell r="D11">
            <v>209520.51</v>
          </cell>
        </row>
      </sheetData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>
        <row r="8">
          <cell r="M8">
            <v>1256452813.5800002</v>
          </cell>
        </row>
      </sheetData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>
        <row r="8">
          <cell r="M8">
            <v>1256452813.5800002</v>
          </cell>
        </row>
      </sheetData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>
        <row r="8">
          <cell r="M8">
            <v>1256452813.5800002</v>
          </cell>
        </row>
      </sheetData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>
        <row r="8">
          <cell r="M8">
            <v>1256452813.5800002</v>
          </cell>
        </row>
      </sheetData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>
        <row r="5">
          <cell r="D5">
            <v>149.62</v>
          </cell>
        </row>
      </sheetData>
      <sheetData sheetId="176">
        <row r="5">
          <cell r="D5">
            <v>149.62</v>
          </cell>
        </row>
      </sheetData>
      <sheetData sheetId="177">
        <row r="5">
          <cell r="D5">
            <v>149.62</v>
          </cell>
        </row>
      </sheetData>
      <sheetData sheetId="178">
        <row r="5">
          <cell r="D5">
            <v>149.62</v>
          </cell>
        </row>
      </sheetData>
      <sheetData sheetId="179">
        <row r="5">
          <cell r="D5">
            <v>149.62</v>
          </cell>
        </row>
      </sheetData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 flow"/>
      <sheetName val="CUMAA"/>
      <sheetName val="STOCKS"/>
      <sheetName val="P&amp;L"/>
      <sheetName val="Down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shboard"/>
      <sheetName val="Assets"/>
      <sheetName val="Liabilities"/>
      <sheetName val="calculations"/>
    </sheetNames>
    <sheetDataSet>
      <sheetData sheetId="0"/>
      <sheetData sheetId="1"/>
      <sheetData sheetId="2"/>
      <sheetData sheetId="3">
        <row r="11">
          <cell r="B11" t="str">
            <v>CASH</v>
          </cell>
        </row>
        <row r="15">
          <cell r="C15">
            <v>380800</v>
          </cell>
        </row>
        <row r="20">
          <cell r="C20">
            <v>221200</v>
          </cell>
        </row>
        <row r="23">
          <cell r="C23">
            <v>159600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&amp;M2"/>
      <sheetName val="S&amp;M"/>
      <sheetName val="S&amp;M-BUD"/>
      <sheetName val="PA"/>
      <sheetName val="PA2"/>
      <sheetName val="PA-BUD"/>
      <sheetName val="WS"/>
      <sheetName val="WS2"/>
      <sheetName val="WS-BUD"/>
      <sheetName val="SET"/>
      <sheetName val="SET2"/>
      <sheetName val="SET-BUD"/>
      <sheetName val="AV"/>
      <sheetName val="AV2"/>
      <sheetName val="AV-BUD"/>
      <sheetName val="DPMCO"/>
      <sheetName val="DPMCO2"/>
      <sheetName val="DPMCO-BUD"/>
      <sheetName val="EXPENCE PL"/>
      <sheetName val="WORKING SHEET"/>
      <sheetName val="TB-PL"/>
      <sheetName val="tbcumulative for stocks"/>
      <sheetName val="TB"/>
      <sheetName val="May"/>
      <sheetName val="June"/>
      <sheetName val="July"/>
      <sheetName val="Aug"/>
      <sheetName val="Loan"/>
      <sheetName val="GL"/>
      <sheetName val="Bank _Inst_Master"/>
      <sheetName val="EXPENCE_PL"/>
      <sheetName val="WORKING_SHEET"/>
      <sheetName val="tbcumulative_for_stocks"/>
      <sheetName val="Bank__Inst_Master"/>
      <sheetName val="EXPENCE_PL1"/>
      <sheetName val="WORKING_SHEET1"/>
      <sheetName val="tbcumulative_for_stocks1"/>
      <sheetName val="Bank__Inst_Master1"/>
      <sheetName val="EXPENCE_PL2"/>
      <sheetName val="WORKING_SHEET2"/>
      <sheetName val="tbcumulative_for_stocks2"/>
      <sheetName val="Bank__Inst_Master2"/>
      <sheetName val="EXPENCE_PL3"/>
      <sheetName val="WORKING_SHEET3"/>
      <sheetName val="tbcumulative_for_stocks3"/>
      <sheetName val="Bank__Inst_Master3"/>
      <sheetName val="EXPENCE_PL4"/>
      <sheetName val="WORKING_SHEET4"/>
      <sheetName val="tbcumulative_for_stocks4"/>
      <sheetName val="Bank__Inst_Master4"/>
      <sheetName val="EXPENCE_PL5"/>
      <sheetName val="WORKING_SHEET5"/>
      <sheetName val="tbcumulative_for_stocks5"/>
      <sheetName val="Bank__Inst_Master5"/>
      <sheetName val="EXPENCE_PL6"/>
      <sheetName val="WORKING_SHEET6"/>
      <sheetName val="tbcumulative_for_stocks6"/>
      <sheetName val="Bank__Inst_Master6"/>
      <sheetName val="EXPENCE_PL7"/>
      <sheetName val="WORKING_SHEET7"/>
      <sheetName val="tbcumulative_for_stocks7"/>
      <sheetName val="Bank__Inst_Master7"/>
      <sheetName val="EXPENCE_PL8"/>
      <sheetName val="WORKING_SHEET8"/>
      <sheetName val="tbcumulative_for_stocks8"/>
      <sheetName val="Bank__Inst_Master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nsaction"/>
      <sheetName val="Sheet2"/>
      <sheetName val="Sheet1"/>
      <sheetName val="Bank _Inst_Master"/>
      <sheetName val="Client Master"/>
      <sheetName val="TB-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nsaction"/>
      <sheetName val="Sheet2"/>
      <sheetName val="Sheet1"/>
      <sheetName val="Bank _Inst_Master"/>
      <sheetName val="Client Master"/>
      <sheetName val="GL"/>
      <sheetName val="TB-PL"/>
      <sheetName val="Data"/>
      <sheetName val="B_TB"/>
    </sheetNames>
    <sheetDataSet>
      <sheetData sheetId="0"/>
      <sheetData sheetId="1"/>
      <sheetData sheetId="2"/>
      <sheetData sheetId="3">
        <row r="51">
          <cell r="B51" t="str">
            <v>CP_Repo</v>
          </cell>
        </row>
        <row r="52">
          <cell r="B52" t="str">
            <v>Loans</v>
          </cell>
        </row>
        <row r="53">
          <cell r="B53" t="str">
            <v>Pro_Notes</v>
          </cell>
        </row>
        <row r="54">
          <cell r="B54" t="str">
            <v>Pro_Notes_Lend</v>
          </cell>
        </row>
        <row r="55">
          <cell r="B55" t="str">
            <v>Purchase</v>
          </cell>
        </row>
        <row r="56">
          <cell r="B56" t="str">
            <v>R/Repo</v>
          </cell>
        </row>
        <row r="57">
          <cell r="B57" t="str">
            <v>Repo</v>
          </cell>
        </row>
        <row r="58">
          <cell r="B58" t="str">
            <v>Sale</v>
          </cell>
        </row>
        <row r="59">
          <cell r="B59" t="str">
            <v>Trust_Crt</v>
          </cell>
        </row>
        <row r="60">
          <cell r="B60" t="str">
            <v>CP_Borrow</v>
          </cell>
        </row>
        <row r="61">
          <cell r="B61" t="str">
            <v>CP_R/Repo</v>
          </cell>
        </row>
        <row r="62">
          <cell r="B62" t="str">
            <v xml:space="preserve">TB_Repo </v>
          </cell>
        </row>
      </sheetData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t Confirmation"/>
      <sheetName val="VS Models"/>
      <sheetName val="VS"/>
      <sheetName val="Sheet1"/>
      <sheetName val="PA"/>
      <sheetName val="VA"/>
      <sheetName val="WS"/>
      <sheetName val="Bank _Inst_Master"/>
      <sheetName val="TB-PL"/>
    </sheetNames>
    <sheetDataSet>
      <sheetData sheetId="0"/>
      <sheetData sheetId="1"/>
      <sheetData sheetId="2">
        <row r="73">
          <cell r="E73" t="str">
            <v>Colombo Region</v>
          </cell>
        </row>
        <row r="74">
          <cell r="E74" t="str">
            <v xml:space="preserve">Gampaha Region </v>
          </cell>
        </row>
        <row r="75">
          <cell r="E75" t="str">
            <v>Kalutata Region</v>
          </cell>
        </row>
        <row r="76">
          <cell r="E76" t="str">
            <v>Anuradhapura</v>
          </cell>
        </row>
        <row r="77">
          <cell r="E77" t="str">
            <v xml:space="preserve">Kandy Region </v>
          </cell>
        </row>
        <row r="78">
          <cell r="E78" t="str">
            <v xml:space="preserve">Matara Region </v>
          </cell>
        </row>
        <row r="79">
          <cell r="E79" t="str">
            <v xml:space="preserve">Jaffna Region 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verdime" refreshedDate="45978.404242824072" createdVersion="8" refreshedVersion="8" minRefreshableVersion="3" recordCount="1025" xr:uid="{00000000-000A-0000-FFFF-FFFF00000000}">
  <cacheSource type="worksheet">
    <worksheetSource ref="A2:G1027" sheet="Borrowings"/>
  </cacheSource>
  <cacheFields count="7">
    <cacheField name="Source of Facility" numFmtId="0">
      <sharedItems/>
    </cacheField>
    <cacheField name="Type of Rate" numFmtId="0">
      <sharedItems/>
    </cacheField>
    <cacheField name="Amount" numFmtId="0">
      <sharedItems containsSemiMixedTypes="0" containsString="0" containsNumber="1" minValue="8250000" maxValue="907339500"/>
    </cacheField>
    <cacheField name="Rate" numFmtId="0">
      <sharedItems containsSemiMixedTypes="0" containsString="0" containsNumber="1" minValue="7.4700000000000003E-2" maxValue="0.12"/>
    </cacheField>
    <cacheField name="Maturity Date" numFmtId="0">
      <sharedItems containsSemiMixedTypes="0" containsNonDate="0" containsDate="1" containsString="0" minDate="2025-09-04T00:00:00" maxDate="2029-03-25T00:00:00"/>
    </cacheField>
    <cacheField name="Residual Period" numFmtId="164">
      <sharedItems containsSemiMixedTypes="0" containsString="0" containsNumber="1" containsInteger="1" minValue="4" maxValue="1301"/>
    </cacheField>
    <cacheField name="Bucket" numFmtId="0">
      <sharedItems containsBlank="1" count="9">
        <s v="1. Less than 7 Days"/>
        <s v="2. 7-30 Days"/>
        <s v="3. 1-3 Months"/>
        <s v="4. 3-6 Months"/>
        <s v="5. 6-12 Months"/>
        <s v="6. 1-3 Years"/>
        <s v="7. 3-5 Years"/>
        <e v="#N/A" u="1"/>
        <m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5">
  <r>
    <s v="BOC"/>
    <s v="STL"/>
    <n v="250000000"/>
    <n v="7.4999999999999997E-2"/>
    <d v="2025-09-04T00:00:00"/>
    <n v="4"/>
    <x v="0"/>
  </r>
  <r>
    <s v="HNB"/>
    <s v="STL"/>
    <n v="500000000"/>
    <n v="7.6999999999999999E-2"/>
    <d v="2025-09-09T00:00:00"/>
    <n v="9"/>
    <x v="1"/>
  </r>
  <r>
    <s v="HNB"/>
    <s v="STL"/>
    <n v="500000000"/>
    <n v="7.6999999999999999E-2"/>
    <d v="2025-09-09T00:00:00"/>
    <n v="9"/>
    <x v="1"/>
  </r>
  <r>
    <s v="Sampath"/>
    <s v="STL"/>
    <n v="500000000"/>
    <n v="7.4700000000000003E-2"/>
    <d v="2025-09-12T00:00:00"/>
    <n v="12"/>
    <x v="1"/>
  </r>
  <r>
    <s v="Seylan"/>
    <s v="STL"/>
    <n v="500000000"/>
    <n v="7.6999999999999999E-2"/>
    <d v="2025-09-12T00:00:00"/>
    <n v="12"/>
    <x v="1"/>
  </r>
  <r>
    <s v="Seylan LT 3"/>
    <s v="LTL"/>
    <n v="50000000"/>
    <n v="0.12"/>
    <d v="2025-09-13T00:00:00"/>
    <n v="13"/>
    <x v="1"/>
  </r>
  <r>
    <s v="Seylan LT 3"/>
    <s v="LTL"/>
    <n v="25000000"/>
    <n v="0.12"/>
    <d v="2025-09-14T00:00:00"/>
    <n v="14"/>
    <x v="1"/>
  </r>
  <r>
    <s v="DFCC LT"/>
    <s v="LTL"/>
    <n v="12500000"/>
    <n v="9.2499999999999999E-2"/>
    <d v="2025-09-15T00:00:00"/>
    <n v="15"/>
    <x v="1"/>
  </r>
  <r>
    <s v="DFCC LT"/>
    <s v="LTL"/>
    <n v="12500000"/>
    <n v="9.2499999999999999E-2"/>
    <d v="2025-09-15T00:00:00"/>
    <n v="15"/>
    <x v="1"/>
  </r>
  <r>
    <s v="DFCC LT"/>
    <s v="LTL"/>
    <n v="8333334"/>
    <n v="9.2499999999999999E-2"/>
    <d v="2025-09-15T00:00:00"/>
    <n v="15"/>
    <x v="1"/>
  </r>
  <r>
    <s v="HNB"/>
    <s v="STL"/>
    <n v="500000000"/>
    <n v="7.6999999999999999E-2"/>
    <d v="2025-09-15T00:00:00"/>
    <n v="15"/>
    <x v="1"/>
  </r>
  <r>
    <s v="NTB LT 3"/>
    <s v="LTL"/>
    <n v="16666666.67"/>
    <n v="8.0199999999999994E-2"/>
    <d v="2025-09-15T00:00:00"/>
    <n v="15"/>
    <x v="1"/>
  </r>
  <r>
    <s v="Seylan LT"/>
    <s v="LTL"/>
    <n v="25000000"/>
    <n v="8.5000000000000006E-2"/>
    <d v="2025-09-15T00:00:00"/>
    <n v="15"/>
    <x v="1"/>
  </r>
  <r>
    <s v="Commercial Bank"/>
    <s v="STL"/>
    <n v="300000000"/>
    <n v="7.4999999999999997E-2"/>
    <d v="2025-09-18T00:00:00"/>
    <n v="18"/>
    <x v="1"/>
  </r>
  <r>
    <s v="NTB LT 2"/>
    <s v="LTL"/>
    <n v="25000000"/>
    <n v="8.0199999999999994E-2"/>
    <d v="2025-09-18T00:00:00"/>
    <n v="18"/>
    <x v="1"/>
  </r>
  <r>
    <s v="Seylan"/>
    <s v="STL"/>
    <n v="200000000"/>
    <n v="7.4999999999999997E-2"/>
    <d v="2025-09-18T00:00:00"/>
    <n v="18"/>
    <x v="1"/>
  </r>
  <r>
    <s v="Seylan"/>
    <s v="STL"/>
    <n v="200000000"/>
    <n v="7.4999999999999997E-2"/>
    <d v="2025-09-18T00:00:00"/>
    <n v="18"/>
    <x v="1"/>
  </r>
  <r>
    <s v="Seylan"/>
    <s v="STL"/>
    <n v="500000000"/>
    <n v="7.4999999999999997E-2"/>
    <d v="2025-09-18T00:00:00"/>
    <n v="18"/>
    <x v="1"/>
  </r>
  <r>
    <s v="Cargills LT"/>
    <s v="LTL"/>
    <n v="13775273.41"/>
    <n v="0.12"/>
    <d v="2025-09-19T00:00:00"/>
    <n v="19"/>
    <x v="1"/>
  </r>
  <r>
    <s v="Commercial Bank"/>
    <s v="STL"/>
    <n v="400000000"/>
    <n v="7.4999999999999997E-2"/>
    <d v="2025-09-19T00:00:00"/>
    <n v="19"/>
    <x v="1"/>
  </r>
  <r>
    <s v="NDB"/>
    <s v="STL"/>
    <n v="500000000"/>
    <n v="7.4999999999999997E-2"/>
    <d v="2025-09-19T00:00:00"/>
    <n v="19"/>
    <x v="1"/>
  </r>
  <r>
    <s v="Sampath"/>
    <s v="STL"/>
    <n v="400000000"/>
    <n v="7.4700000000000003E-2"/>
    <d v="2025-09-19T00:00:00"/>
    <n v="19"/>
    <x v="1"/>
  </r>
  <r>
    <s v="Sampath"/>
    <s v="STL"/>
    <n v="550000000"/>
    <n v="7.4700000000000003E-2"/>
    <d v="2025-09-19T00:00:00"/>
    <n v="19"/>
    <x v="1"/>
  </r>
  <r>
    <s v="Seylan"/>
    <s v="STL"/>
    <n v="500000000"/>
    <n v="7.4999999999999997E-2"/>
    <d v="2025-09-19T00:00:00"/>
    <n v="19"/>
    <x v="1"/>
  </r>
  <r>
    <s v="Seylan LT"/>
    <s v="LTL"/>
    <n v="25000000"/>
    <n v="8.5000000000000006E-2"/>
    <d v="2025-09-21T00:00:00"/>
    <n v="21"/>
    <x v="1"/>
  </r>
  <r>
    <s v="Commercial Bank LT 3"/>
    <s v="LTL"/>
    <n v="20800000"/>
    <n v="0.1075"/>
    <d v="2025-09-22T00:00:00"/>
    <n v="22"/>
    <x v="1"/>
  </r>
  <r>
    <s v="Commercial Bank LT 3"/>
    <s v="LTL"/>
    <n v="20800000"/>
    <n v="0.1075"/>
    <d v="2025-09-24T00:00:00"/>
    <n v="24"/>
    <x v="1"/>
  </r>
  <r>
    <s v="Commercial Bank LT 2"/>
    <s v="LTL"/>
    <n v="16650000"/>
    <n v="0.09"/>
    <d v="2025-09-25T00:00:00"/>
    <n v="25"/>
    <x v="1"/>
  </r>
  <r>
    <s v="Commercial Bank LT 2"/>
    <s v="LTL"/>
    <n v="16650000"/>
    <n v="0.09"/>
    <d v="2025-09-26T00:00:00"/>
    <n v="26"/>
    <x v="1"/>
  </r>
  <r>
    <s v="Commercial Bank"/>
    <s v="STL"/>
    <n v="200000000"/>
    <n v="7.5999999999999998E-2"/>
    <d v="2025-09-26T00:00:00"/>
    <n v="26"/>
    <x v="1"/>
  </r>
  <r>
    <s v="Commercial Bank"/>
    <s v="STL"/>
    <n v="200000000"/>
    <n v="7.5999999999999998E-2"/>
    <d v="2025-09-26T00:00:00"/>
    <n v="26"/>
    <x v="1"/>
  </r>
  <r>
    <s v="HNB"/>
    <s v="STL"/>
    <n v="300000000"/>
    <n v="7.6999999999999999E-2"/>
    <d v="2025-09-26T00:00:00"/>
    <n v="26"/>
    <x v="1"/>
  </r>
  <r>
    <s v="Sampath Bank LT"/>
    <s v="LTL"/>
    <n v="20833000"/>
    <n v="8.0699999999999994E-2"/>
    <d v="2025-09-26T00:00:00"/>
    <n v="26"/>
    <x v="1"/>
  </r>
  <r>
    <s v="Sampath Bank LT"/>
    <s v="LTL"/>
    <n v="20833000"/>
    <n v="8.0699999999999994E-2"/>
    <d v="2025-09-26T00:00:00"/>
    <n v="26"/>
    <x v="1"/>
  </r>
  <r>
    <s v="Sampath Bank LT"/>
    <s v="LTL"/>
    <n v="20833000"/>
    <n v="8.0699999999999994E-2"/>
    <d v="2025-09-26T00:00:00"/>
    <n v="26"/>
    <x v="1"/>
  </r>
  <r>
    <s v="Seylan"/>
    <s v="STL"/>
    <n v="500000000"/>
    <n v="7.4999999999999997E-2"/>
    <d v="2025-09-26T00:00:00"/>
    <n v="26"/>
    <x v="1"/>
  </r>
  <r>
    <s v="HNB LT 2"/>
    <s v="LTL"/>
    <n v="20833333.333333328"/>
    <n v="0.1075"/>
    <d v="2025-09-27T00:00:00"/>
    <n v="27"/>
    <x v="1"/>
  </r>
  <r>
    <s v="HNB LT 2"/>
    <s v="LTL"/>
    <n v="20833333.333333328"/>
    <n v="0.1075"/>
    <d v="2025-09-27T00:00:00"/>
    <n v="27"/>
    <x v="1"/>
  </r>
  <r>
    <s v="HNB LT 2"/>
    <s v="LTL"/>
    <n v="10416666.66666667"/>
    <n v="0.1075"/>
    <d v="2025-09-27T00:00:00"/>
    <n v="27"/>
    <x v="1"/>
  </r>
  <r>
    <s v="HNB LT 2"/>
    <s v="LTL"/>
    <n v="10416666.66666667"/>
    <n v="0.1075"/>
    <d v="2025-09-27T00:00:00"/>
    <n v="27"/>
    <x v="1"/>
  </r>
  <r>
    <s v="PABC"/>
    <s v="LTL"/>
    <n v="13888000"/>
    <n v="8.2199999999999995E-2"/>
    <d v="2025-09-28T00:00:00"/>
    <n v="28"/>
    <x v="1"/>
  </r>
  <r>
    <s v="NTB LT 3"/>
    <s v="LTL"/>
    <n v="16666666.470000001"/>
    <n v="8.0199999999999994E-2"/>
    <d v="2025-09-29T00:00:00"/>
    <n v="29"/>
    <x v="1"/>
  </r>
  <r>
    <s v="NDB LT"/>
    <s v="LTL"/>
    <n v="8250000"/>
    <n v="0.12"/>
    <d v="2025-09-30T00:00:00"/>
    <n v="30"/>
    <x v="1"/>
  </r>
  <r>
    <s v="NDB LT"/>
    <s v="LTL"/>
    <n v="8250000"/>
    <n v="0.12"/>
    <d v="2025-09-30T00:00:00"/>
    <n v="30"/>
    <x v="1"/>
  </r>
  <r>
    <s v="NDB LT"/>
    <s v="LTL"/>
    <n v="8250000"/>
    <n v="0.12"/>
    <d v="2025-09-30T00:00:00"/>
    <n v="30"/>
    <x v="1"/>
  </r>
  <r>
    <s v="NDB LT"/>
    <s v="LTL"/>
    <n v="8250000"/>
    <n v="0.12"/>
    <d v="2025-09-30T00:00:00"/>
    <n v="30"/>
    <x v="1"/>
  </r>
  <r>
    <s v="Seylan LT"/>
    <s v="LTL"/>
    <n v="25000000"/>
    <n v="8.5000000000000006E-2"/>
    <d v="2025-09-30T00:00:00"/>
    <n v="30"/>
    <x v="1"/>
  </r>
  <r>
    <s v="Seylan LT 4"/>
    <s v="LTL"/>
    <n v="145833333.34"/>
    <n v="0.11"/>
    <d v="2025-09-30T00:00:00"/>
    <n v="30"/>
    <x v="1"/>
  </r>
  <r>
    <s v="HNB"/>
    <s v="STL"/>
    <n v="400000000"/>
    <n v="7.6999999999999999E-2"/>
    <d v="2025-10-03T00:00:00"/>
    <n v="33"/>
    <x v="2"/>
  </r>
  <r>
    <s v="DFCC LT"/>
    <s v="LTL"/>
    <n v="12500000"/>
    <n v="9.2499999999999999E-2"/>
    <d v="2025-10-15T00:00:00"/>
    <n v="45"/>
    <x v="2"/>
  </r>
  <r>
    <s v="DFCC LT"/>
    <s v="LTL"/>
    <n v="12500000"/>
    <n v="9.2499999999999999E-2"/>
    <d v="2025-10-15T00:00:00"/>
    <n v="45"/>
    <x v="2"/>
  </r>
  <r>
    <s v="DFCC LT"/>
    <s v="LTL"/>
    <n v="8333334"/>
    <n v="9.2499999999999999E-2"/>
    <d v="2025-10-15T00:00:00"/>
    <n v="45"/>
    <x v="2"/>
  </r>
  <r>
    <s v="NTB LT 3"/>
    <s v="LTL"/>
    <n v="16666666.67"/>
    <n v="8.0199999999999994E-2"/>
    <d v="2025-10-15T00:00:00"/>
    <n v="45"/>
    <x v="2"/>
  </r>
  <r>
    <s v="NTB LT 2"/>
    <s v="LTL"/>
    <n v="25000000"/>
    <n v="8.0199999999999994E-2"/>
    <d v="2025-10-18T00:00:00"/>
    <n v="48"/>
    <x v="2"/>
  </r>
  <r>
    <s v="Cargills LT"/>
    <s v="LTL"/>
    <n v="14184338.380000001"/>
    <n v="0.12"/>
    <d v="2025-10-19T00:00:00"/>
    <n v="49"/>
    <x v="2"/>
  </r>
  <r>
    <s v="Commercial Bank LT 3"/>
    <s v="LTL"/>
    <n v="20800000"/>
    <n v="0.1075"/>
    <d v="2025-10-22T00:00:00"/>
    <n v="52"/>
    <x v="2"/>
  </r>
  <r>
    <s v="HNB LT"/>
    <s v="LTL"/>
    <n v="50000000"/>
    <n v="0.12"/>
    <d v="2025-10-23T00:00:00"/>
    <n v="53"/>
    <x v="2"/>
  </r>
  <r>
    <s v="HNB LT"/>
    <s v="LTL"/>
    <n v="50000000"/>
    <n v="0.12"/>
    <d v="2025-10-23T00:00:00"/>
    <n v="53"/>
    <x v="2"/>
  </r>
  <r>
    <s v="HNB LT"/>
    <s v="LTL"/>
    <n v="50000000"/>
    <n v="0.12"/>
    <d v="2025-10-23T00:00:00"/>
    <n v="53"/>
    <x v="2"/>
  </r>
  <r>
    <s v="Commercial Bank LT 3"/>
    <s v="LTL"/>
    <n v="20800000"/>
    <n v="0.1075"/>
    <d v="2025-10-24T00:00:00"/>
    <n v="54"/>
    <x v="2"/>
  </r>
  <r>
    <s v="HNB"/>
    <s v="STL"/>
    <n v="500000000"/>
    <n v="7.5999999999999998E-2"/>
    <d v="2025-10-24T00:00:00"/>
    <n v="54"/>
    <x v="2"/>
  </r>
  <r>
    <s v="HNB"/>
    <s v="STL"/>
    <n v="400000000"/>
    <n v="7.5999999999999998E-2"/>
    <d v="2025-10-24T00:00:00"/>
    <n v="54"/>
    <x v="2"/>
  </r>
  <r>
    <s v="Commercial Bank LT 2"/>
    <s v="LTL"/>
    <n v="16650000"/>
    <n v="0.09"/>
    <d v="2025-10-25T00:00:00"/>
    <n v="55"/>
    <x v="2"/>
  </r>
  <r>
    <s v="Commercial Bank LT 2"/>
    <s v="LTL"/>
    <n v="16650000"/>
    <n v="0.09"/>
    <d v="2025-10-26T00:00:00"/>
    <n v="56"/>
    <x v="2"/>
  </r>
  <r>
    <s v="Sampath Bank LT"/>
    <s v="LTL"/>
    <n v="20833000"/>
    <n v="8.0699999999999994E-2"/>
    <d v="2025-10-26T00:00:00"/>
    <n v="56"/>
    <x v="2"/>
  </r>
  <r>
    <s v="Sampath Bank LT"/>
    <s v="LTL"/>
    <n v="20833000"/>
    <n v="8.0699999999999994E-2"/>
    <d v="2025-10-26T00:00:00"/>
    <n v="56"/>
    <x v="2"/>
  </r>
  <r>
    <s v="Sampath Bank LT"/>
    <s v="LTL"/>
    <n v="20833000"/>
    <n v="8.0699999999999994E-2"/>
    <d v="2025-10-26T00:00:00"/>
    <n v="56"/>
    <x v="2"/>
  </r>
  <r>
    <s v="HNB LT 2"/>
    <s v="LTL"/>
    <n v="20833333.333333328"/>
    <n v="0.1075"/>
    <d v="2025-10-27T00:00:00"/>
    <n v="57"/>
    <x v="2"/>
  </r>
  <r>
    <s v="HNB LT 2"/>
    <s v="LTL"/>
    <n v="20833333.333333328"/>
    <n v="0.1075"/>
    <d v="2025-10-27T00:00:00"/>
    <n v="57"/>
    <x v="2"/>
  </r>
  <r>
    <s v="HNB LT 2"/>
    <s v="LTL"/>
    <n v="10416666.66666667"/>
    <n v="0.1075"/>
    <d v="2025-10-27T00:00:00"/>
    <n v="57"/>
    <x v="2"/>
  </r>
  <r>
    <s v="HNB LT 2"/>
    <s v="LTL"/>
    <n v="10416666.66666667"/>
    <n v="0.1075"/>
    <d v="2025-10-27T00:00:00"/>
    <n v="57"/>
    <x v="2"/>
  </r>
  <r>
    <s v="PABC"/>
    <s v="LTL"/>
    <n v="13888000"/>
    <n v="8.2199999999999995E-2"/>
    <d v="2025-10-28T00:00:00"/>
    <n v="58"/>
    <x v="2"/>
  </r>
  <r>
    <s v="NTB LT 3"/>
    <s v="LTL"/>
    <n v="16666666.470000001"/>
    <n v="8.0199999999999994E-2"/>
    <d v="2025-10-29T00:00:00"/>
    <n v="59"/>
    <x v="2"/>
  </r>
  <r>
    <s v="HNB"/>
    <s v="STL"/>
    <n v="300000000"/>
    <n v="7.5999999999999998E-2"/>
    <d v="2025-10-30T00:00:00"/>
    <n v="60"/>
    <x v="2"/>
  </r>
  <r>
    <s v="NDB LT"/>
    <s v="LTL"/>
    <n v="8250000"/>
    <n v="0.12"/>
    <d v="2025-10-31T00:00:00"/>
    <n v="61"/>
    <x v="2"/>
  </r>
  <r>
    <s v="NDB LT"/>
    <s v="LTL"/>
    <n v="8250000"/>
    <n v="0.12"/>
    <d v="2025-10-31T00:00:00"/>
    <n v="61"/>
    <x v="2"/>
  </r>
  <r>
    <s v="NDB LT"/>
    <s v="LTL"/>
    <n v="8250000"/>
    <n v="0.12"/>
    <d v="2025-10-31T00:00:00"/>
    <n v="61"/>
    <x v="2"/>
  </r>
  <r>
    <s v="NDB LT"/>
    <s v="LTL"/>
    <n v="8250000"/>
    <n v="0.12"/>
    <d v="2025-10-31T00:00:00"/>
    <n v="61"/>
    <x v="2"/>
  </r>
  <r>
    <s v="NTB LT 3"/>
    <s v="LTL"/>
    <n v="16666666.67"/>
    <n v="8.0199999999999994E-2"/>
    <d v="2025-11-15T00:00:00"/>
    <n v="76"/>
    <x v="2"/>
  </r>
  <r>
    <s v="DFCC LT"/>
    <s v="LTL"/>
    <n v="12500000"/>
    <n v="9.2499999999999999E-2"/>
    <d v="2025-11-17T00:00:00"/>
    <n v="78"/>
    <x v="2"/>
  </r>
  <r>
    <s v="DFCC LT"/>
    <s v="LTL"/>
    <n v="12500000"/>
    <n v="9.2499999999999999E-2"/>
    <d v="2025-11-17T00:00:00"/>
    <n v="78"/>
    <x v="2"/>
  </r>
  <r>
    <s v="DFCC LT"/>
    <s v="LTL"/>
    <n v="8333334"/>
    <n v="9.2499999999999999E-2"/>
    <d v="2025-11-17T00:00:00"/>
    <n v="78"/>
    <x v="2"/>
  </r>
  <r>
    <s v="NTB LT 2"/>
    <s v="LTL"/>
    <n v="25000000"/>
    <n v="8.0199999999999994E-2"/>
    <d v="2025-11-18T00:00:00"/>
    <n v="79"/>
    <x v="2"/>
  </r>
  <r>
    <s v="Cargills LT"/>
    <s v="LTL"/>
    <n v="14060231.609999999"/>
    <n v="0.12"/>
    <d v="2025-11-19T00:00:00"/>
    <n v="80"/>
    <x v="2"/>
  </r>
  <r>
    <s v="Seylan LT"/>
    <s v="LTL"/>
    <n v="25000000"/>
    <n v="8.5000000000000006E-2"/>
    <d v="2025-11-20T00:00:00"/>
    <n v="81"/>
    <x v="2"/>
  </r>
  <r>
    <s v="Seylan LT 5"/>
    <s v="LTL"/>
    <n v="50000000"/>
    <n v="9.8500000000000004E-2"/>
    <d v="2025-11-21T00:00:00"/>
    <n v="82"/>
    <x v="2"/>
  </r>
  <r>
    <s v="Commercial Bank LT 3"/>
    <s v="LTL"/>
    <n v="20800000"/>
    <n v="0.1075"/>
    <d v="2025-11-22T00:00:00"/>
    <n v="83"/>
    <x v="2"/>
  </r>
  <r>
    <s v="Commercial Bank LT 3"/>
    <s v="LTL"/>
    <n v="20800000"/>
    <n v="0.1075"/>
    <d v="2025-11-24T00:00:00"/>
    <n v="85"/>
    <x v="2"/>
  </r>
  <r>
    <s v="Commercial Bank LT 2"/>
    <s v="LTL"/>
    <n v="16650000"/>
    <n v="0.09"/>
    <d v="2025-11-25T00:00:00"/>
    <n v="86"/>
    <x v="2"/>
  </r>
  <r>
    <s v="Commercial Bank LT 2"/>
    <s v="LTL"/>
    <n v="16650000"/>
    <n v="0.09"/>
    <d v="2025-11-26T00:00:00"/>
    <n v="87"/>
    <x v="2"/>
  </r>
  <r>
    <s v="Sampath Bank LT"/>
    <s v="LTL"/>
    <n v="20833000"/>
    <n v="8.0699999999999994E-2"/>
    <d v="2025-11-26T00:00:00"/>
    <n v="87"/>
    <x v="2"/>
  </r>
  <r>
    <s v="Sampath Bank LT"/>
    <s v="LTL"/>
    <n v="20833000"/>
    <n v="8.0699999999999994E-2"/>
    <d v="2025-11-26T00:00:00"/>
    <n v="87"/>
    <x v="2"/>
  </r>
  <r>
    <s v="Sampath Bank LT"/>
    <s v="LTL"/>
    <n v="20833000"/>
    <n v="8.0699999999999994E-2"/>
    <d v="2025-11-26T00:00:00"/>
    <n v="87"/>
    <x v="2"/>
  </r>
  <r>
    <s v="HNB LT 2"/>
    <s v="LTL"/>
    <n v="20833333.333333328"/>
    <n v="0.1075"/>
    <d v="2025-11-27T00:00:00"/>
    <n v="88"/>
    <x v="2"/>
  </r>
  <r>
    <s v="HNB LT 2"/>
    <s v="LTL"/>
    <n v="20833333.333333328"/>
    <n v="0.1075"/>
    <d v="2025-11-27T00:00:00"/>
    <n v="88"/>
    <x v="2"/>
  </r>
  <r>
    <s v="HNB LT 2"/>
    <s v="LTL"/>
    <n v="10416666.66666667"/>
    <n v="0.1075"/>
    <d v="2025-11-27T00:00:00"/>
    <n v="88"/>
    <x v="2"/>
  </r>
  <r>
    <s v="HNB LT 2"/>
    <s v="LTL"/>
    <n v="10416666.66666667"/>
    <n v="0.1075"/>
    <d v="2025-11-27T00:00:00"/>
    <n v="88"/>
    <x v="2"/>
  </r>
  <r>
    <s v="HNB"/>
    <s v="STL"/>
    <n v="250000000"/>
    <n v="7.6999999999999999E-2"/>
    <d v="2025-11-27T00:00:00"/>
    <n v="88"/>
    <x v="2"/>
  </r>
  <r>
    <s v="HNB"/>
    <s v="STL"/>
    <n v="500000000"/>
    <n v="7.6999999999999999E-2"/>
    <d v="2025-11-27T00:00:00"/>
    <n v="88"/>
    <x v="2"/>
  </r>
  <r>
    <s v="PABC"/>
    <s v="LTL"/>
    <n v="13888000"/>
    <n v="8.2199999999999995E-2"/>
    <d v="2025-11-28T00:00:00"/>
    <n v="89"/>
    <x v="2"/>
  </r>
  <r>
    <s v="Seylan LT 5"/>
    <s v="LTL"/>
    <n v="50000000"/>
    <n v="9.8500000000000004E-2"/>
    <d v="2025-11-28T00:00:00"/>
    <n v="89"/>
    <x v="2"/>
  </r>
  <r>
    <s v="NTB LT 3"/>
    <s v="LTL"/>
    <n v="16666666.470000001"/>
    <n v="8.0199999999999994E-2"/>
    <d v="2025-11-29T00:00:00"/>
    <n v="90"/>
    <x v="2"/>
  </r>
  <r>
    <s v="NDB LT"/>
    <s v="LTL"/>
    <n v="8250000"/>
    <n v="0.12"/>
    <d v="2025-11-30T00:00:00"/>
    <n v="91"/>
    <x v="3"/>
  </r>
  <r>
    <s v="NDB LT"/>
    <s v="LTL"/>
    <n v="8250000"/>
    <n v="0.12"/>
    <d v="2025-11-30T00:00:00"/>
    <n v="91"/>
    <x v="3"/>
  </r>
  <r>
    <s v="NDB LT"/>
    <s v="LTL"/>
    <n v="8250000"/>
    <n v="0.12"/>
    <d v="2025-11-30T00:00:00"/>
    <n v="91"/>
    <x v="3"/>
  </r>
  <r>
    <s v="NDB LT"/>
    <s v="LTL"/>
    <n v="8250000"/>
    <n v="0.12"/>
    <d v="2025-11-30T00:00:00"/>
    <n v="91"/>
    <x v="3"/>
  </r>
  <r>
    <s v="Seylan LT 3"/>
    <s v="LTL"/>
    <n v="50000000"/>
    <n v="0.12"/>
    <d v="2025-12-13T00:00:00"/>
    <n v="104"/>
    <x v="3"/>
  </r>
  <r>
    <s v="Seylan LT 3"/>
    <s v="LTL"/>
    <n v="25000000"/>
    <n v="0.12"/>
    <d v="2025-12-14T00:00:00"/>
    <n v="105"/>
    <x v="3"/>
  </r>
  <r>
    <s v="DFCC LT"/>
    <s v="LTL"/>
    <n v="12500000"/>
    <n v="9.2499999999999999E-2"/>
    <d v="2025-12-15T00:00:00"/>
    <n v="106"/>
    <x v="3"/>
  </r>
  <r>
    <s v="DFCC LT"/>
    <s v="LTL"/>
    <n v="12500000"/>
    <n v="9.2499999999999999E-2"/>
    <d v="2025-12-15T00:00:00"/>
    <n v="106"/>
    <x v="3"/>
  </r>
  <r>
    <s v="DFCC LT"/>
    <s v="LTL"/>
    <n v="8333334"/>
    <n v="9.2499999999999999E-2"/>
    <d v="2025-12-15T00:00:00"/>
    <n v="106"/>
    <x v="3"/>
  </r>
  <r>
    <s v="NTB LT 3"/>
    <s v="LTL"/>
    <n v="16666666.67"/>
    <n v="8.0199999999999994E-2"/>
    <d v="2025-12-15T00:00:00"/>
    <n v="106"/>
    <x v="3"/>
  </r>
  <r>
    <s v="Seylan LT"/>
    <s v="LTL"/>
    <n v="25000000"/>
    <n v="8.5000000000000006E-2"/>
    <d v="2025-12-15T00:00:00"/>
    <n v="106"/>
    <x v="3"/>
  </r>
  <r>
    <s v="NTB LT 2"/>
    <s v="LTL"/>
    <n v="25000000"/>
    <n v="8.0199999999999994E-2"/>
    <d v="2025-12-18T00:00:00"/>
    <n v="109"/>
    <x v="3"/>
  </r>
  <r>
    <s v="Cargills LT"/>
    <s v="LTL"/>
    <n v="14462915.08"/>
    <n v="0.12"/>
    <d v="2025-12-19T00:00:00"/>
    <n v="110"/>
    <x v="3"/>
  </r>
  <r>
    <s v="Seylan LT"/>
    <s v="LTL"/>
    <n v="25000000"/>
    <n v="8.5000000000000006E-2"/>
    <d v="2025-12-21T00:00:00"/>
    <n v="112"/>
    <x v="3"/>
  </r>
  <r>
    <s v="Commercial Bank LT 3"/>
    <s v="LTL"/>
    <n v="20800000"/>
    <n v="0.1075"/>
    <d v="2025-12-22T00:00:00"/>
    <n v="113"/>
    <x v="3"/>
  </r>
  <r>
    <s v="Commercial Bank LT 3"/>
    <s v="LTL"/>
    <n v="20800000"/>
    <n v="0.1075"/>
    <d v="2025-12-24T00:00:00"/>
    <n v="115"/>
    <x v="3"/>
  </r>
  <r>
    <s v="Commercial Bank LT 2"/>
    <s v="LTL"/>
    <n v="16650000"/>
    <n v="0.09"/>
    <d v="2025-12-25T00:00:00"/>
    <n v="116"/>
    <x v="3"/>
  </r>
  <r>
    <s v="Commercial Bank LT 2"/>
    <s v="LTL"/>
    <n v="16650000"/>
    <n v="0.09"/>
    <d v="2025-12-26T00:00:00"/>
    <n v="117"/>
    <x v="3"/>
  </r>
  <r>
    <s v="Sampath Bank LT"/>
    <s v="LTL"/>
    <n v="20833000"/>
    <n v="8.0699999999999994E-2"/>
    <d v="2025-12-26T00:00:00"/>
    <n v="117"/>
    <x v="3"/>
  </r>
  <r>
    <s v="Sampath Bank LT"/>
    <s v="LTL"/>
    <n v="20833000"/>
    <n v="8.0699999999999994E-2"/>
    <d v="2025-12-26T00:00:00"/>
    <n v="117"/>
    <x v="3"/>
  </r>
  <r>
    <s v="Sampath Bank LT"/>
    <s v="LTL"/>
    <n v="20833000"/>
    <n v="8.0699999999999994E-2"/>
    <d v="2025-12-26T00:00:00"/>
    <n v="117"/>
    <x v="3"/>
  </r>
  <r>
    <s v="HNB LT 2"/>
    <s v="LTL"/>
    <n v="20833333.333333328"/>
    <n v="0.1075"/>
    <d v="2025-12-27T00:00:00"/>
    <n v="118"/>
    <x v="3"/>
  </r>
  <r>
    <s v="HNB LT 2"/>
    <s v="LTL"/>
    <n v="20833333.333333328"/>
    <n v="0.1075"/>
    <d v="2025-12-27T00:00:00"/>
    <n v="118"/>
    <x v="3"/>
  </r>
  <r>
    <s v="HNB LT 2"/>
    <s v="LTL"/>
    <n v="10416666.66666667"/>
    <n v="0.1075"/>
    <d v="2025-12-27T00:00:00"/>
    <n v="118"/>
    <x v="3"/>
  </r>
  <r>
    <s v="HNB LT 2"/>
    <s v="LTL"/>
    <n v="10416666.66666667"/>
    <n v="0.1075"/>
    <d v="2025-12-27T00:00:00"/>
    <n v="118"/>
    <x v="3"/>
  </r>
  <r>
    <s v="PABC"/>
    <s v="LTL"/>
    <n v="13888000"/>
    <n v="8.2199999999999995E-2"/>
    <d v="2025-12-28T00:00:00"/>
    <n v="119"/>
    <x v="3"/>
  </r>
  <r>
    <s v="NTB LT 3"/>
    <s v="LTL"/>
    <n v="16666666.470000001"/>
    <n v="8.0199999999999994E-2"/>
    <d v="2025-12-29T00:00:00"/>
    <n v="120"/>
    <x v="3"/>
  </r>
  <r>
    <s v="Seylan LT"/>
    <s v="LTL"/>
    <n v="25000000"/>
    <n v="8.5000000000000006E-2"/>
    <d v="2025-12-30T00:00:00"/>
    <n v="121"/>
    <x v="3"/>
  </r>
  <r>
    <s v="Seylan LT 4"/>
    <s v="LTL"/>
    <n v="145833333.34"/>
    <n v="0.11"/>
    <d v="2025-12-30T00:00:00"/>
    <n v="121"/>
    <x v="3"/>
  </r>
  <r>
    <s v="NDB LT"/>
    <s v="LTL"/>
    <n v="8250000"/>
    <n v="0.12"/>
    <d v="2025-12-31T00:00:00"/>
    <n v="122"/>
    <x v="3"/>
  </r>
  <r>
    <s v="NDB LT"/>
    <s v="LTL"/>
    <n v="8250000"/>
    <n v="0.12"/>
    <d v="2025-12-31T00:00:00"/>
    <n v="122"/>
    <x v="3"/>
  </r>
  <r>
    <s v="NDB LT"/>
    <s v="LTL"/>
    <n v="8250000"/>
    <n v="0.12"/>
    <d v="2025-12-31T00:00:00"/>
    <n v="122"/>
    <x v="3"/>
  </r>
  <r>
    <s v="NDB LT"/>
    <s v="LTL"/>
    <n v="8250000"/>
    <n v="0.12"/>
    <d v="2025-12-31T00:00:00"/>
    <n v="122"/>
    <x v="3"/>
  </r>
  <r>
    <s v="NTB LT 3"/>
    <s v="LTL"/>
    <n v="16666666.67"/>
    <n v="8.0199999999999994E-2"/>
    <d v="2026-01-15T00:00:00"/>
    <n v="137"/>
    <x v="3"/>
  </r>
  <r>
    <s v="DFCC LT"/>
    <s v="LTL"/>
    <n v="12500000"/>
    <n v="9.2499999999999999E-2"/>
    <d v="2026-01-16T00:00:00"/>
    <n v="138"/>
    <x v="3"/>
  </r>
  <r>
    <s v="DFCC LT"/>
    <s v="LTL"/>
    <n v="12500000"/>
    <n v="9.2499999999999999E-2"/>
    <d v="2026-01-16T00:00:00"/>
    <n v="138"/>
    <x v="3"/>
  </r>
  <r>
    <s v="DFCC LT"/>
    <s v="LTL"/>
    <n v="8333334"/>
    <n v="9.2499999999999999E-2"/>
    <d v="2026-01-16T00:00:00"/>
    <n v="138"/>
    <x v="3"/>
  </r>
  <r>
    <s v="NTB LT 2"/>
    <s v="LTL"/>
    <n v="25000000"/>
    <n v="8.0199999999999994E-2"/>
    <d v="2026-01-18T00:00:00"/>
    <n v="140"/>
    <x v="3"/>
  </r>
  <r>
    <s v="Cargills LT"/>
    <s v="LTL"/>
    <n v="14350933.49"/>
    <n v="0.12"/>
    <d v="2026-01-19T00:00:00"/>
    <n v="141"/>
    <x v="3"/>
  </r>
  <r>
    <s v="Commercial Bank LT 3"/>
    <s v="LTL"/>
    <n v="20800000"/>
    <n v="0.1075"/>
    <d v="2026-01-22T00:00:00"/>
    <n v="144"/>
    <x v="3"/>
  </r>
  <r>
    <s v="HNB LT"/>
    <s v="LTL"/>
    <n v="50000000"/>
    <n v="0.12"/>
    <d v="2026-01-23T00:00:00"/>
    <n v="145"/>
    <x v="3"/>
  </r>
  <r>
    <s v="HNB LT"/>
    <s v="LTL"/>
    <n v="50000000"/>
    <n v="0.12"/>
    <d v="2026-01-23T00:00:00"/>
    <n v="145"/>
    <x v="3"/>
  </r>
  <r>
    <s v="HNB LT"/>
    <s v="LTL"/>
    <n v="50000000"/>
    <n v="0.12"/>
    <d v="2026-01-23T00:00:00"/>
    <n v="145"/>
    <x v="3"/>
  </r>
  <r>
    <s v="Commercial Bank LT 3"/>
    <s v="LTL"/>
    <n v="20800000"/>
    <n v="0.1075"/>
    <d v="2026-01-24T00:00:00"/>
    <n v="146"/>
    <x v="3"/>
  </r>
  <r>
    <s v="Commercial Bank LT 2"/>
    <s v="LTL"/>
    <n v="16650000"/>
    <n v="0.09"/>
    <d v="2026-01-25T00:00:00"/>
    <n v="147"/>
    <x v="3"/>
  </r>
  <r>
    <s v="Commercial Bank LT 2"/>
    <s v="LTL"/>
    <n v="16650000"/>
    <n v="0.09"/>
    <d v="2026-01-26T00:00:00"/>
    <n v="148"/>
    <x v="3"/>
  </r>
  <r>
    <s v="Sampath Bank LT"/>
    <s v="LTL"/>
    <n v="20833000"/>
    <n v="8.0699999999999994E-2"/>
    <d v="2026-01-26T00:00:00"/>
    <n v="148"/>
    <x v="3"/>
  </r>
  <r>
    <s v="Sampath Bank LT"/>
    <s v="LTL"/>
    <n v="20833000"/>
    <n v="8.0699999999999994E-2"/>
    <d v="2026-01-26T00:00:00"/>
    <n v="148"/>
    <x v="3"/>
  </r>
  <r>
    <s v="Sampath Bank LT"/>
    <s v="LTL"/>
    <n v="20833000"/>
    <n v="8.0699999999999994E-2"/>
    <d v="2026-01-26T00:00:00"/>
    <n v="148"/>
    <x v="3"/>
  </r>
  <r>
    <s v="HNB LT 2"/>
    <s v="LTL"/>
    <n v="20833333.333333328"/>
    <n v="0.1075"/>
    <d v="2026-01-27T00:00:00"/>
    <n v="149"/>
    <x v="3"/>
  </r>
  <r>
    <s v="HNB LT 2"/>
    <s v="LTL"/>
    <n v="20833333.333333328"/>
    <n v="0.1075"/>
    <d v="2026-01-27T00:00:00"/>
    <n v="149"/>
    <x v="3"/>
  </r>
  <r>
    <s v="HNB LT 2"/>
    <s v="LTL"/>
    <n v="10416666.66666667"/>
    <n v="0.1075"/>
    <d v="2026-01-27T00:00:00"/>
    <n v="149"/>
    <x v="3"/>
  </r>
  <r>
    <s v="HNB LT 2"/>
    <s v="LTL"/>
    <n v="10416666.66666667"/>
    <n v="0.1075"/>
    <d v="2026-01-27T00:00:00"/>
    <n v="149"/>
    <x v="3"/>
  </r>
  <r>
    <s v="PABC"/>
    <s v="LTL"/>
    <n v="13888000"/>
    <n v="8.2199999999999995E-2"/>
    <d v="2026-01-28T00:00:00"/>
    <n v="150"/>
    <x v="3"/>
  </r>
  <r>
    <s v="NTB LT 3"/>
    <s v="LTL"/>
    <n v="16666666.470000001"/>
    <n v="8.0199999999999994E-2"/>
    <d v="2026-01-29T00:00:00"/>
    <n v="151"/>
    <x v="3"/>
  </r>
  <r>
    <s v="NDB LT"/>
    <s v="LTL"/>
    <n v="8250000"/>
    <n v="0.12"/>
    <d v="2026-01-31T00:00:00"/>
    <n v="153"/>
    <x v="3"/>
  </r>
  <r>
    <s v="NDB LT"/>
    <s v="LTL"/>
    <n v="8250000"/>
    <n v="0.12"/>
    <d v="2026-01-31T00:00:00"/>
    <n v="153"/>
    <x v="3"/>
  </r>
  <r>
    <s v="NDB LT"/>
    <s v="LTL"/>
    <n v="8250000"/>
    <n v="0.12"/>
    <d v="2026-01-31T00:00:00"/>
    <n v="153"/>
    <x v="3"/>
  </r>
  <r>
    <s v="NDB LT"/>
    <s v="LTL"/>
    <n v="8250000"/>
    <n v="0.12"/>
    <d v="2026-01-31T00:00:00"/>
    <n v="153"/>
    <x v="3"/>
  </r>
  <r>
    <s v="NTB LT 3"/>
    <s v="LTL"/>
    <n v="16666666.67"/>
    <n v="8.0199999999999994E-2"/>
    <d v="2026-02-15T00:00:00"/>
    <n v="168"/>
    <x v="3"/>
  </r>
  <r>
    <s v="DFCC LT"/>
    <s v="LTL"/>
    <n v="12500000"/>
    <n v="9.2499999999999999E-2"/>
    <d v="2026-02-17T00:00:00"/>
    <n v="170"/>
    <x v="3"/>
  </r>
  <r>
    <s v="DFCC LT"/>
    <s v="LTL"/>
    <n v="12500000"/>
    <n v="9.2499999999999999E-2"/>
    <d v="2026-02-17T00:00:00"/>
    <n v="170"/>
    <x v="3"/>
  </r>
  <r>
    <s v="DFCC LT"/>
    <s v="LTL"/>
    <n v="8333334"/>
    <n v="9.2499999999999999E-2"/>
    <d v="2026-02-17T00:00:00"/>
    <n v="170"/>
    <x v="3"/>
  </r>
  <r>
    <s v="NTB LT 2"/>
    <s v="LTL"/>
    <n v="25000000"/>
    <n v="8.0199999999999994E-2"/>
    <d v="2026-02-18T00:00:00"/>
    <n v="171"/>
    <x v="3"/>
  </r>
  <r>
    <s v="Cargills LT"/>
    <s v="LTL"/>
    <n v="14497194.9"/>
    <n v="0.12"/>
    <d v="2026-02-19T00:00:00"/>
    <n v="172"/>
    <x v="3"/>
  </r>
  <r>
    <s v="Seylan LT"/>
    <s v="LTL"/>
    <n v="25000000"/>
    <n v="8.5000000000000006E-2"/>
    <d v="2026-02-20T00:00:00"/>
    <n v="173"/>
    <x v="3"/>
  </r>
  <r>
    <s v="Seylan LT 5"/>
    <s v="LTL"/>
    <n v="50000000"/>
    <n v="9.8500000000000004E-2"/>
    <d v="2026-02-21T00:00:00"/>
    <n v="174"/>
    <x v="3"/>
  </r>
  <r>
    <s v="Commercial Bank LT 3"/>
    <s v="LTL"/>
    <n v="20800000"/>
    <n v="0.1075"/>
    <d v="2026-02-22T00:00:00"/>
    <n v="175"/>
    <x v="3"/>
  </r>
  <r>
    <s v="Commercial Bank LT 3"/>
    <s v="LTL"/>
    <n v="20800000"/>
    <n v="0.1075"/>
    <d v="2026-02-24T00:00:00"/>
    <n v="177"/>
    <x v="3"/>
  </r>
  <r>
    <s v="Commercial Bank LT 2"/>
    <s v="LTL"/>
    <n v="16650000"/>
    <n v="0.09"/>
    <d v="2026-02-25T00:00:00"/>
    <n v="178"/>
    <x v="3"/>
  </r>
  <r>
    <s v="Commercial Bank LT 2"/>
    <s v="LTL"/>
    <n v="16650000"/>
    <n v="0.09"/>
    <d v="2026-02-26T00:00:00"/>
    <n v="179"/>
    <x v="3"/>
  </r>
  <r>
    <s v="Sampath Bank LT"/>
    <s v="LTL"/>
    <n v="20833000"/>
    <n v="8.0699999999999994E-2"/>
    <d v="2026-02-26T00:00:00"/>
    <n v="179"/>
    <x v="3"/>
  </r>
  <r>
    <s v="Sampath Bank LT"/>
    <s v="LTL"/>
    <n v="20833000"/>
    <n v="8.0699999999999994E-2"/>
    <d v="2026-02-26T00:00:00"/>
    <n v="179"/>
    <x v="3"/>
  </r>
  <r>
    <s v="Sampath Bank LT"/>
    <s v="LTL"/>
    <n v="20833000"/>
    <n v="8.0699999999999994E-2"/>
    <d v="2026-02-26T00:00:00"/>
    <n v="179"/>
    <x v="3"/>
  </r>
  <r>
    <s v="HNB LT 2"/>
    <s v="LTL"/>
    <n v="20833333.333333328"/>
    <n v="0.1075"/>
    <d v="2026-02-27T00:00:00"/>
    <n v="180"/>
    <x v="3"/>
  </r>
  <r>
    <s v="HNB LT 2"/>
    <s v="LTL"/>
    <n v="20833333.333333328"/>
    <n v="0.1075"/>
    <d v="2026-02-27T00:00:00"/>
    <n v="180"/>
    <x v="3"/>
  </r>
  <r>
    <s v="HNB LT 2"/>
    <s v="LTL"/>
    <n v="10416666.66666667"/>
    <n v="0.1075"/>
    <d v="2026-02-27T00:00:00"/>
    <n v="180"/>
    <x v="3"/>
  </r>
  <r>
    <s v="HNB LT 2"/>
    <s v="LTL"/>
    <n v="10416666.66666667"/>
    <n v="0.1075"/>
    <d v="2026-02-27T00:00:00"/>
    <n v="180"/>
    <x v="3"/>
  </r>
  <r>
    <s v="NDB LT"/>
    <s v="LTL"/>
    <n v="8250000"/>
    <n v="0.12"/>
    <d v="2026-02-28T00:00:00"/>
    <n v="181"/>
    <x v="4"/>
  </r>
  <r>
    <s v="NDB LT"/>
    <s v="LTL"/>
    <n v="8250000"/>
    <n v="0.12"/>
    <d v="2026-02-28T00:00:00"/>
    <n v="181"/>
    <x v="4"/>
  </r>
  <r>
    <s v="NDB LT"/>
    <s v="LTL"/>
    <n v="8250000"/>
    <n v="0.12"/>
    <d v="2026-02-28T00:00:00"/>
    <n v="181"/>
    <x v="4"/>
  </r>
  <r>
    <s v="NDB LT"/>
    <s v="LTL"/>
    <n v="8250000"/>
    <n v="0.12"/>
    <d v="2026-02-28T00:00:00"/>
    <n v="181"/>
    <x v="4"/>
  </r>
  <r>
    <s v="NTB LT 3"/>
    <s v="LTL"/>
    <n v="16666666.470000001"/>
    <n v="8.0199999999999994E-2"/>
    <d v="2026-02-28T00:00:00"/>
    <n v="181"/>
    <x v="4"/>
  </r>
  <r>
    <s v="PABC"/>
    <s v="LTL"/>
    <n v="13888000"/>
    <n v="8.2199999999999995E-2"/>
    <d v="2026-02-28T00:00:00"/>
    <n v="181"/>
    <x v="4"/>
  </r>
  <r>
    <s v="Seylan LT 5"/>
    <s v="LTL"/>
    <n v="50000000"/>
    <n v="9.8500000000000004E-2"/>
    <d v="2026-02-28T00:00:00"/>
    <n v="181"/>
    <x v="4"/>
  </r>
  <r>
    <s v="Seylan LT 3"/>
    <s v="LTL"/>
    <n v="50000000"/>
    <n v="0.12"/>
    <d v="2026-03-13T00:00:00"/>
    <n v="194"/>
    <x v="4"/>
  </r>
  <r>
    <s v="Seylan LT 3"/>
    <s v="LTL"/>
    <n v="25000000"/>
    <n v="0.12"/>
    <d v="2026-03-14T00:00:00"/>
    <n v="195"/>
    <x v="4"/>
  </r>
  <r>
    <s v="NTB LT 3"/>
    <s v="LTL"/>
    <n v="16666666.67"/>
    <n v="8.0199999999999994E-2"/>
    <d v="2026-03-15T00:00:00"/>
    <n v="196"/>
    <x v="4"/>
  </r>
  <r>
    <s v="Seylan LT"/>
    <s v="LTL"/>
    <n v="25000000"/>
    <n v="8.5000000000000006E-2"/>
    <d v="2026-03-15T00:00:00"/>
    <n v="196"/>
    <x v="4"/>
  </r>
  <r>
    <s v="DFCC LT"/>
    <s v="LTL"/>
    <n v="12500000"/>
    <n v="9.2499999999999999E-2"/>
    <d v="2026-03-16T00:00:00"/>
    <n v="197"/>
    <x v="4"/>
  </r>
  <r>
    <s v="DFCC LT"/>
    <s v="LTL"/>
    <n v="12500000"/>
    <n v="9.2499999999999999E-2"/>
    <d v="2026-03-16T00:00:00"/>
    <n v="197"/>
    <x v="4"/>
  </r>
  <r>
    <s v="DFCC LT"/>
    <s v="LTL"/>
    <n v="8333334"/>
    <n v="9.2499999999999999E-2"/>
    <d v="2026-03-16T00:00:00"/>
    <n v="197"/>
    <x v="4"/>
  </r>
  <r>
    <s v="NTB LT 2"/>
    <s v="LTL"/>
    <n v="25000000"/>
    <n v="8.0199999999999994E-2"/>
    <d v="2026-03-18T00:00:00"/>
    <n v="199"/>
    <x v="4"/>
  </r>
  <r>
    <s v="Cargills LT"/>
    <s v="LTL"/>
    <n v="15380382.640000001"/>
    <n v="0.12"/>
    <d v="2026-03-19T00:00:00"/>
    <n v="200"/>
    <x v="4"/>
  </r>
  <r>
    <s v="Seylan LT"/>
    <s v="LTL"/>
    <n v="25000000"/>
    <n v="8.5000000000000006E-2"/>
    <d v="2026-03-21T00:00:00"/>
    <n v="202"/>
    <x v="4"/>
  </r>
  <r>
    <s v="Commercial Bank LT 3"/>
    <s v="LTL"/>
    <n v="20800000"/>
    <n v="0.1075"/>
    <d v="2026-03-22T00:00:00"/>
    <n v="203"/>
    <x v="4"/>
  </r>
  <r>
    <s v="Commercial Bank LT 3"/>
    <s v="LTL"/>
    <n v="20800000"/>
    <n v="0.1075"/>
    <d v="2026-03-24T00:00:00"/>
    <n v="205"/>
    <x v="4"/>
  </r>
  <r>
    <s v="Commercial Bank LT 2"/>
    <s v="LTL"/>
    <n v="16650000"/>
    <n v="0.09"/>
    <d v="2026-03-25T00:00:00"/>
    <n v="206"/>
    <x v="4"/>
  </r>
  <r>
    <s v="Commercial Bank LT 2"/>
    <s v="LTL"/>
    <n v="16650000"/>
    <n v="0.09"/>
    <d v="2026-03-26T00:00:00"/>
    <n v="207"/>
    <x v="4"/>
  </r>
  <r>
    <s v="Sampath Bank LT"/>
    <s v="LTL"/>
    <n v="20833000"/>
    <n v="8.0699999999999994E-2"/>
    <d v="2026-03-26T00:00:00"/>
    <n v="207"/>
    <x v="4"/>
  </r>
  <r>
    <s v="Sampath Bank LT"/>
    <s v="LTL"/>
    <n v="20833000"/>
    <n v="8.0699999999999994E-2"/>
    <d v="2026-03-26T00:00:00"/>
    <n v="207"/>
    <x v="4"/>
  </r>
  <r>
    <s v="Sampath Bank LT"/>
    <s v="LTL"/>
    <n v="20833000"/>
    <n v="8.0699999999999994E-2"/>
    <d v="2026-03-26T00:00:00"/>
    <n v="207"/>
    <x v="4"/>
  </r>
  <r>
    <s v="HNB LT 2"/>
    <s v="LTL"/>
    <n v="20833333.333333328"/>
    <n v="0.1075"/>
    <d v="2026-03-27T00:00:00"/>
    <n v="208"/>
    <x v="4"/>
  </r>
  <r>
    <s v="HNB LT 2"/>
    <s v="LTL"/>
    <n v="20833333.333333328"/>
    <n v="0.1075"/>
    <d v="2026-03-27T00:00:00"/>
    <n v="208"/>
    <x v="4"/>
  </r>
  <r>
    <s v="HNB LT 2"/>
    <s v="LTL"/>
    <n v="10416666.66666667"/>
    <n v="0.1075"/>
    <d v="2026-03-27T00:00:00"/>
    <n v="208"/>
    <x v="4"/>
  </r>
  <r>
    <s v="HNB LT 2"/>
    <s v="LTL"/>
    <n v="10416666.66666667"/>
    <n v="0.1075"/>
    <d v="2026-03-27T00:00:00"/>
    <n v="208"/>
    <x v="4"/>
  </r>
  <r>
    <s v="PABC"/>
    <s v="LTL"/>
    <n v="13888000"/>
    <n v="8.2199999999999995E-2"/>
    <d v="2026-03-28T00:00:00"/>
    <n v="209"/>
    <x v="4"/>
  </r>
  <r>
    <s v="NTB LT 3"/>
    <s v="LTL"/>
    <n v="16666666.470000001"/>
    <n v="8.0199999999999994E-2"/>
    <d v="2026-03-29T00:00:00"/>
    <n v="210"/>
    <x v="4"/>
  </r>
  <r>
    <s v="Seylan LT"/>
    <s v="LTL"/>
    <n v="25000000"/>
    <n v="8.5000000000000006E-2"/>
    <d v="2026-03-30T00:00:00"/>
    <n v="211"/>
    <x v="4"/>
  </r>
  <r>
    <s v="Seylan LT 4"/>
    <s v="LTL"/>
    <n v="145833333.34"/>
    <n v="0.11"/>
    <d v="2026-03-30T00:00:00"/>
    <n v="211"/>
    <x v="4"/>
  </r>
  <r>
    <s v="NDB LT"/>
    <s v="LTL"/>
    <n v="8250000"/>
    <n v="0.12"/>
    <d v="2026-03-31T00:00:00"/>
    <n v="212"/>
    <x v="4"/>
  </r>
  <r>
    <s v="NDB LT"/>
    <s v="LTL"/>
    <n v="8250000"/>
    <n v="0.12"/>
    <d v="2026-03-31T00:00:00"/>
    <n v="212"/>
    <x v="4"/>
  </r>
  <r>
    <s v="NDB LT"/>
    <s v="LTL"/>
    <n v="8250000"/>
    <n v="0.12"/>
    <d v="2026-03-31T00:00:00"/>
    <n v="212"/>
    <x v="4"/>
  </r>
  <r>
    <s v="NDB LT"/>
    <s v="LTL"/>
    <n v="8250000"/>
    <n v="0.12"/>
    <d v="2026-03-31T00:00:00"/>
    <n v="212"/>
    <x v="4"/>
  </r>
  <r>
    <s v="DFCC LT"/>
    <s v="LTL"/>
    <n v="12500000"/>
    <n v="9.2499999999999999E-2"/>
    <d v="2026-04-15T00:00:00"/>
    <n v="227"/>
    <x v="4"/>
  </r>
  <r>
    <s v="DFCC LT"/>
    <s v="LTL"/>
    <n v="12500000"/>
    <n v="9.2499999999999999E-2"/>
    <d v="2026-04-15T00:00:00"/>
    <n v="227"/>
    <x v="4"/>
  </r>
  <r>
    <s v="DFCC LT"/>
    <s v="LTL"/>
    <n v="8333334"/>
    <n v="9.2499999999999999E-2"/>
    <d v="2026-04-15T00:00:00"/>
    <n v="227"/>
    <x v="4"/>
  </r>
  <r>
    <s v="NTB LT 3"/>
    <s v="LTL"/>
    <n v="16666666.67"/>
    <n v="8.0199999999999994E-2"/>
    <d v="2026-04-15T00:00:00"/>
    <n v="227"/>
    <x v="4"/>
  </r>
  <r>
    <s v="NTB LT 2"/>
    <s v="LTL"/>
    <n v="25000000"/>
    <n v="8.0199999999999994E-2"/>
    <d v="2026-04-18T00:00:00"/>
    <n v="230"/>
    <x v="4"/>
  </r>
  <r>
    <s v="Cargills LT"/>
    <s v="LTL"/>
    <n v="14801700.77"/>
    <n v="0.12"/>
    <d v="2026-04-19T00:00:00"/>
    <n v="231"/>
    <x v="4"/>
  </r>
  <r>
    <s v="Commercial Bank LT 3"/>
    <s v="LTL"/>
    <n v="20800000"/>
    <n v="0.1075"/>
    <d v="2026-04-22T00:00:00"/>
    <n v="234"/>
    <x v="4"/>
  </r>
  <r>
    <s v="HNB LT"/>
    <s v="LTL"/>
    <n v="50000000"/>
    <n v="0.12"/>
    <d v="2026-04-23T00:00:00"/>
    <n v="235"/>
    <x v="4"/>
  </r>
  <r>
    <s v="HNB LT"/>
    <s v="LTL"/>
    <n v="50000000"/>
    <n v="0.12"/>
    <d v="2026-04-23T00:00:00"/>
    <n v="235"/>
    <x v="4"/>
  </r>
  <r>
    <s v="HNB LT"/>
    <s v="LTL"/>
    <n v="50000000"/>
    <n v="0.12"/>
    <d v="2026-04-23T00:00:00"/>
    <n v="235"/>
    <x v="4"/>
  </r>
  <r>
    <s v="Commercial Bank LT 3"/>
    <s v="LTL"/>
    <n v="20800000"/>
    <n v="0.1075"/>
    <d v="2026-04-24T00:00:00"/>
    <n v="236"/>
    <x v="4"/>
  </r>
  <r>
    <s v="Commercial Bank LT 2"/>
    <s v="LTL"/>
    <n v="16650000"/>
    <n v="0.09"/>
    <d v="2026-04-25T00:00:00"/>
    <n v="237"/>
    <x v="4"/>
  </r>
  <r>
    <s v="Commercial Bank LT 2"/>
    <s v="LTL"/>
    <n v="16650000"/>
    <n v="0.09"/>
    <d v="2026-04-26T00:00:00"/>
    <n v="238"/>
    <x v="4"/>
  </r>
  <r>
    <s v="Sampath Bank LT"/>
    <s v="LTL"/>
    <n v="20833000"/>
    <n v="8.0699999999999994E-2"/>
    <d v="2026-04-26T00:00:00"/>
    <n v="238"/>
    <x v="4"/>
  </r>
  <r>
    <s v="Sampath Bank LT"/>
    <s v="LTL"/>
    <n v="20833000"/>
    <n v="8.0699999999999994E-2"/>
    <d v="2026-04-26T00:00:00"/>
    <n v="238"/>
    <x v="4"/>
  </r>
  <r>
    <s v="Sampath Bank LT"/>
    <s v="LTL"/>
    <n v="20833000"/>
    <n v="8.0699999999999994E-2"/>
    <d v="2026-04-26T00:00:00"/>
    <n v="238"/>
    <x v="4"/>
  </r>
  <r>
    <s v="HNB LT 2"/>
    <s v="LTL"/>
    <n v="20833333.333333328"/>
    <n v="0.1075"/>
    <d v="2026-04-27T00:00:00"/>
    <n v="239"/>
    <x v="4"/>
  </r>
  <r>
    <s v="HNB LT 2"/>
    <s v="LTL"/>
    <n v="20833333.333333328"/>
    <n v="0.1075"/>
    <d v="2026-04-27T00:00:00"/>
    <n v="239"/>
    <x v="4"/>
  </r>
  <r>
    <s v="HNB LT 2"/>
    <s v="LTL"/>
    <n v="10416666.66666667"/>
    <n v="0.1075"/>
    <d v="2026-04-27T00:00:00"/>
    <n v="239"/>
    <x v="4"/>
  </r>
  <r>
    <s v="HNB LT 2"/>
    <s v="LTL"/>
    <n v="10416666.66666667"/>
    <n v="0.1075"/>
    <d v="2026-04-27T00:00:00"/>
    <n v="239"/>
    <x v="4"/>
  </r>
  <r>
    <s v="PABC"/>
    <s v="LTL"/>
    <n v="13888000"/>
    <n v="8.2199999999999995E-2"/>
    <d v="2026-04-28T00:00:00"/>
    <n v="240"/>
    <x v="4"/>
  </r>
  <r>
    <s v="NTB LT 3"/>
    <s v="LTL"/>
    <n v="16666666.470000001"/>
    <n v="8.0199999999999994E-2"/>
    <d v="2026-04-29T00:00:00"/>
    <n v="241"/>
    <x v="4"/>
  </r>
  <r>
    <s v="NDB LT"/>
    <s v="LTL"/>
    <n v="8250000"/>
    <n v="0.12"/>
    <d v="2026-04-30T00:00:00"/>
    <n v="242"/>
    <x v="4"/>
  </r>
  <r>
    <s v="NDB LT"/>
    <s v="LTL"/>
    <n v="8250000"/>
    <n v="0.12"/>
    <d v="2026-04-30T00:00:00"/>
    <n v="242"/>
    <x v="4"/>
  </r>
  <r>
    <s v="NDB LT"/>
    <s v="LTL"/>
    <n v="8250000"/>
    <n v="0.12"/>
    <d v="2026-04-30T00:00:00"/>
    <n v="242"/>
    <x v="4"/>
  </r>
  <r>
    <s v="NDB LT"/>
    <s v="LTL"/>
    <n v="8250000"/>
    <n v="0.12"/>
    <d v="2026-04-30T00:00:00"/>
    <n v="242"/>
    <x v="4"/>
  </r>
  <r>
    <s v="DFCC LT"/>
    <s v="LTL"/>
    <n v="12500000"/>
    <n v="9.2499999999999999E-2"/>
    <d v="2026-05-15T00:00:00"/>
    <n v="257"/>
    <x v="4"/>
  </r>
  <r>
    <s v="DFCC LT"/>
    <s v="LTL"/>
    <n v="12500000"/>
    <n v="9.2499999999999999E-2"/>
    <d v="2026-05-15T00:00:00"/>
    <n v="257"/>
    <x v="4"/>
  </r>
  <r>
    <s v="DFCC LT"/>
    <s v="LTL"/>
    <n v="8333334"/>
    <n v="9.2499999999999999E-2"/>
    <d v="2026-05-15T00:00:00"/>
    <n v="257"/>
    <x v="4"/>
  </r>
  <r>
    <s v="NTB LT 3"/>
    <s v="LTL"/>
    <n v="16666666.67"/>
    <n v="8.0199999999999994E-2"/>
    <d v="2026-05-15T00:00:00"/>
    <n v="257"/>
    <x v="4"/>
  </r>
  <r>
    <s v="NTB LT 2"/>
    <s v="LTL"/>
    <n v="25000000"/>
    <n v="8.0199999999999994E-2"/>
    <d v="2026-05-18T00:00:00"/>
    <n v="260"/>
    <x v="4"/>
  </r>
  <r>
    <s v="Cargills LT"/>
    <s v="LTL"/>
    <n v="15187778.68"/>
    <n v="0.12"/>
    <d v="2026-05-19T00:00:00"/>
    <n v="261"/>
    <x v="4"/>
  </r>
  <r>
    <s v="Seylan LT"/>
    <s v="LTL"/>
    <n v="25000000"/>
    <n v="8.5000000000000006E-2"/>
    <d v="2026-05-20T00:00:00"/>
    <n v="262"/>
    <x v="4"/>
  </r>
  <r>
    <s v="Seylan LT 5"/>
    <s v="LTL"/>
    <n v="50000000"/>
    <n v="9.8500000000000004E-2"/>
    <d v="2026-05-21T00:00:00"/>
    <n v="263"/>
    <x v="4"/>
  </r>
  <r>
    <s v="Commercial Bank LT 3"/>
    <s v="LTL"/>
    <n v="20800000"/>
    <n v="0.1075"/>
    <d v="2026-05-22T00:00:00"/>
    <n v="264"/>
    <x v="4"/>
  </r>
  <r>
    <s v="Commercial Bank LT 3"/>
    <s v="LTL"/>
    <n v="20800000"/>
    <n v="0.1075"/>
    <d v="2026-05-24T00:00:00"/>
    <n v="266"/>
    <x v="4"/>
  </r>
  <r>
    <s v="Commercial Bank LT 2"/>
    <s v="LTL"/>
    <n v="16650000"/>
    <n v="0.09"/>
    <d v="2026-05-25T00:00:00"/>
    <n v="267"/>
    <x v="4"/>
  </r>
  <r>
    <s v="Commercial Bank LT 2"/>
    <s v="LTL"/>
    <n v="16650000"/>
    <n v="0.09"/>
    <d v="2026-05-26T00:00:00"/>
    <n v="268"/>
    <x v="4"/>
  </r>
  <r>
    <s v="Sampath Bank LT"/>
    <s v="LTL"/>
    <n v="20833000"/>
    <n v="8.0699999999999994E-2"/>
    <d v="2026-05-26T00:00:00"/>
    <n v="268"/>
    <x v="4"/>
  </r>
  <r>
    <s v="Sampath Bank LT"/>
    <s v="LTL"/>
    <n v="20833000"/>
    <n v="8.0699999999999994E-2"/>
    <d v="2026-05-26T00:00:00"/>
    <n v="268"/>
    <x v="4"/>
  </r>
  <r>
    <s v="Sampath Bank LT"/>
    <s v="LTL"/>
    <n v="20833000"/>
    <n v="8.0699999999999994E-2"/>
    <d v="2026-05-26T00:00:00"/>
    <n v="268"/>
    <x v="4"/>
  </r>
  <r>
    <s v="HNB LT 2"/>
    <s v="LTL"/>
    <n v="20833333.333333328"/>
    <n v="0.1075"/>
    <d v="2026-05-27T00:00:00"/>
    <n v="269"/>
    <x v="4"/>
  </r>
  <r>
    <s v="HNB LT 2"/>
    <s v="LTL"/>
    <n v="20833333.333333328"/>
    <n v="0.1075"/>
    <d v="2026-05-27T00:00:00"/>
    <n v="269"/>
    <x v="4"/>
  </r>
  <r>
    <s v="HNB LT 2"/>
    <s v="LTL"/>
    <n v="10416666.66666667"/>
    <n v="0.1075"/>
    <d v="2026-05-27T00:00:00"/>
    <n v="269"/>
    <x v="4"/>
  </r>
  <r>
    <s v="HNB LT 2"/>
    <s v="LTL"/>
    <n v="10416666.66666667"/>
    <n v="0.1075"/>
    <d v="2026-05-27T00:00:00"/>
    <n v="269"/>
    <x v="4"/>
  </r>
  <r>
    <s v="PABC"/>
    <s v="LTL"/>
    <n v="13888000"/>
    <n v="8.2199999999999995E-2"/>
    <d v="2026-05-28T00:00:00"/>
    <n v="270"/>
    <x v="4"/>
  </r>
  <r>
    <s v="Seylan LT 5"/>
    <s v="LTL"/>
    <n v="50000000"/>
    <n v="9.8500000000000004E-2"/>
    <d v="2026-05-28T00:00:00"/>
    <n v="270"/>
    <x v="4"/>
  </r>
  <r>
    <s v="NTB LT 3"/>
    <s v="LTL"/>
    <n v="16666666.470000001"/>
    <n v="8.0199999999999994E-2"/>
    <d v="2026-05-29T00:00:00"/>
    <n v="271"/>
    <x v="4"/>
  </r>
  <r>
    <s v="NDB LT"/>
    <s v="LTL"/>
    <n v="8250000"/>
    <n v="0.12"/>
    <d v="2026-05-31T00:00:00"/>
    <n v="273"/>
    <x v="4"/>
  </r>
  <r>
    <s v="NDB LT"/>
    <s v="LTL"/>
    <n v="8250000"/>
    <n v="0.12"/>
    <d v="2026-05-31T00:00:00"/>
    <n v="273"/>
    <x v="4"/>
  </r>
  <r>
    <s v="NDB LT"/>
    <s v="LTL"/>
    <n v="8250000"/>
    <n v="0.12"/>
    <d v="2026-05-31T00:00:00"/>
    <n v="273"/>
    <x v="4"/>
  </r>
  <r>
    <s v="NDB LT"/>
    <s v="LTL"/>
    <n v="8250000"/>
    <n v="0.12"/>
    <d v="2026-05-31T00:00:00"/>
    <n v="273"/>
    <x v="4"/>
  </r>
  <r>
    <s v="Seylan LT 3"/>
    <s v="LTL"/>
    <n v="50000000"/>
    <n v="0.12"/>
    <d v="2026-06-13T00:00:00"/>
    <n v="286"/>
    <x v="4"/>
  </r>
  <r>
    <s v="Seylan LT 3"/>
    <s v="LTL"/>
    <n v="25000000"/>
    <n v="0.12"/>
    <d v="2026-06-14T00:00:00"/>
    <n v="287"/>
    <x v="4"/>
  </r>
  <r>
    <s v="DFCC LT"/>
    <s v="LTL"/>
    <n v="12500000"/>
    <n v="9.2499999999999999E-2"/>
    <d v="2026-06-15T00:00:00"/>
    <n v="288"/>
    <x v="4"/>
  </r>
  <r>
    <s v="DFCC LT"/>
    <s v="LTL"/>
    <n v="12500000"/>
    <n v="9.2499999999999999E-2"/>
    <d v="2026-06-15T00:00:00"/>
    <n v="288"/>
    <x v="4"/>
  </r>
  <r>
    <s v="DFCC LT"/>
    <s v="LTL"/>
    <n v="8333334"/>
    <n v="9.2499999999999999E-2"/>
    <d v="2026-06-15T00:00:00"/>
    <n v="288"/>
    <x v="4"/>
  </r>
  <r>
    <s v="NTB LT 3"/>
    <s v="LTL"/>
    <n v="16666666.67"/>
    <n v="8.0199999999999994E-2"/>
    <d v="2026-06-15T00:00:00"/>
    <n v="288"/>
    <x v="4"/>
  </r>
  <r>
    <s v="NTB LT 2"/>
    <s v="LTL"/>
    <n v="25000000"/>
    <n v="8.0199999999999994E-2"/>
    <d v="2026-06-18T00:00:00"/>
    <n v="291"/>
    <x v="4"/>
  </r>
  <r>
    <s v="Cargills LT"/>
    <s v="LTL"/>
    <n v="15107346.82"/>
    <n v="0.12"/>
    <d v="2026-06-19T00:00:00"/>
    <n v="292"/>
    <x v="4"/>
  </r>
  <r>
    <s v="Seylan LT"/>
    <s v="LTL"/>
    <n v="25000000"/>
    <n v="8.5000000000000006E-2"/>
    <d v="2026-06-21T00:00:00"/>
    <n v="294"/>
    <x v="4"/>
  </r>
  <r>
    <s v="Commercial Bank LT 3"/>
    <s v="LTL"/>
    <n v="20800000"/>
    <n v="0.1075"/>
    <d v="2026-06-22T00:00:00"/>
    <n v="295"/>
    <x v="4"/>
  </r>
  <r>
    <s v="Commercial Bank LT 3"/>
    <s v="LTL"/>
    <n v="20800000"/>
    <n v="0.1075"/>
    <d v="2026-06-24T00:00:00"/>
    <n v="297"/>
    <x v="4"/>
  </r>
  <r>
    <s v="Commercial Bank LT 2"/>
    <s v="LTL"/>
    <n v="16650000"/>
    <n v="0.09"/>
    <d v="2026-06-25T00:00:00"/>
    <n v="298"/>
    <x v="4"/>
  </r>
  <r>
    <s v="Commercial Bank LT 2"/>
    <s v="LTL"/>
    <n v="16650000"/>
    <n v="0.09"/>
    <d v="2026-06-26T00:00:00"/>
    <n v="299"/>
    <x v="4"/>
  </r>
  <r>
    <s v="Sampath Bank LT"/>
    <s v="LTL"/>
    <n v="20833000"/>
    <n v="8.0699999999999994E-2"/>
    <d v="2026-06-26T00:00:00"/>
    <n v="299"/>
    <x v="4"/>
  </r>
  <r>
    <s v="Sampath Bank LT"/>
    <s v="LTL"/>
    <n v="20833000"/>
    <n v="8.0699999999999994E-2"/>
    <d v="2026-06-26T00:00:00"/>
    <n v="299"/>
    <x v="4"/>
  </r>
  <r>
    <s v="Sampath Bank LT"/>
    <s v="LTL"/>
    <n v="20833000"/>
    <n v="8.0699999999999994E-2"/>
    <d v="2026-06-26T00:00:00"/>
    <n v="299"/>
    <x v="4"/>
  </r>
  <r>
    <s v="HNB LT 2"/>
    <s v="LTL"/>
    <n v="20833333.333333328"/>
    <n v="0.1075"/>
    <d v="2026-06-27T00:00:00"/>
    <n v="300"/>
    <x v="4"/>
  </r>
  <r>
    <s v="HNB LT 2"/>
    <s v="LTL"/>
    <n v="20833333.333333328"/>
    <n v="0.1075"/>
    <d v="2026-06-27T00:00:00"/>
    <n v="300"/>
    <x v="4"/>
  </r>
  <r>
    <s v="HNB LT 2"/>
    <s v="LTL"/>
    <n v="10416666.66666667"/>
    <n v="0.1075"/>
    <d v="2026-06-27T00:00:00"/>
    <n v="300"/>
    <x v="4"/>
  </r>
  <r>
    <s v="HNB LT 2"/>
    <s v="LTL"/>
    <n v="10416666.66666667"/>
    <n v="0.1075"/>
    <d v="2026-06-27T00:00:00"/>
    <n v="300"/>
    <x v="4"/>
  </r>
  <r>
    <s v="PABC"/>
    <s v="LTL"/>
    <n v="13888000"/>
    <n v="8.2199999999999995E-2"/>
    <d v="2026-06-28T00:00:00"/>
    <n v="301"/>
    <x v="4"/>
  </r>
  <r>
    <s v="NTB LT 3"/>
    <s v="LTL"/>
    <n v="16666666.470000001"/>
    <n v="8.0199999999999994E-2"/>
    <d v="2026-06-29T00:00:00"/>
    <n v="302"/>
    <x v="4"/>
  </r>
  <r>
    <s v="NDB LT"/>
    <s v="LTL"/>
    <n v="8250000"/>
    <n v="0.12"/>
    <d v="2026-06-30T00:00:00"/>
    <n v="303"/>
    <x v="4"/>
  </r>
  <r>
    <s v="NDB LT"/>
    <s v="LTL"/>
    <n v="8250000"/>
    <n v="0.12"/>
    <d v="2026-06-30T00:00:00"/>
    <n v="303"/>
    <x v="4"/>
  </r>
  <r>
    <s v="NDB LT"/>
    <s v="LTL"/>
    <n v="8250000"/>
    <n v="0.12"/>
    <d v="2026-06-30T00:00:00"/>
    <n v="303"/>
    <x v="4"/>
  </r>
  <r>
    <s v="NDB LT"/>
    <s v="LTL"/>
    <n v="8250000"/>
    <n v="0.12"/>
    <d v="2026-06-30T00:00:00"/>
    <n v="303"/>
    <x v="4"/>
  </r>
  <r>
    <s v="Seylan LT 4"/>
    <s v="LTL"/>
    <n v="145833333.34"/>
    <n v="0.11"/>
    <d v="2026-06-30T00:00:00"/>
    <n v="303"/>
    <x v="4"/>
  </r>
  <r>
    <s v="DFCC LT"/>
    <s v="LTL"/>
    <n v="12500000"/>
    <n v="9.2499999999999999E-2"/>
    <d v="2026-07-15T00:00:00"/>
    <n v="318"/>
    <x v="4"/>
  </r>
  <r>
    <s v="DFCC LT"/>
    <s v="LTL"/>
    <n v="12500000"/>
    <n v="9.2499999999999999E-2"/>
    <d v="2026-07-15T00:00:00"/>
    <n v="318"/>
    <x v="4"/>
  </r>
  <r>
    <s v="DFCC LT"/>
    <s v="LTL"/>
    <n v="8333334"/>
    <n v="9.2499999999999999E-2"/>
    <d v="2026-07-15T00:00:00"/>
    <n v="318"/>
    <x v="4"/>
  </r>
  <r>
    <s v="NTB LT 3"/>
    <s v="LTL"/>
    <n v="16666666.67"/>
    <n v="8.0199999999999994E-2"/>
    <d v="2026-07-15T00:00:00"/>
    <n v="318"/>
    <x v="4"/>
  </r>
  <r>
    <s v="NTB LT 2"/>
    <s v="LTL"/>
    <n v="25000000"/>
    <n v="8.0199999999999994E-2"/>
    <d v="2026-07-18T00:00:00"/>
    <n v="321"/>
    <x v="4"/>
  </r>
  <r>
    <s v="Cargills LT"/>
    <s v="LTL"/>
    <n v="15486579.880000001"/>
    <n v="0.12"/>
    <d v="2026-07-19T00:00:00"/>
    <n v="322"/>
    <x v="4"/>
  </r>
  <r>
    <s v="Commercial Bank LT 3"/>
    <s v="LTL"/>
    <n v="20800000"/>
    <n v="0.1075"/>
    <d v="2026-07-22T00:00:00"/>
    <n v="325"/>
    <x v="4"/>
  </r>
  <r>
    <s v="HNB LT"/>
    <s v="LTL"/>
    <n v="50000000"/>
    <n v="0.12"/>
    <d v="2026-07-23T00:00:00"/>
    <n v="326"/>
    <x v="4"/>
  </r>
  <r>
    <s v="HNB LT"/>
    <s v="LTL"/>
    <n v="50000000"/>
    <n v="0.12"/>
    <d v="2026-07-23T00:00:00"/>
    <n v="326"/>
    <x v="4"/>
  </r>
  <r>
    <s v="HNB LT"/>
    <s v="LTL"/>
    <n v="50000000"/>
    <n v="0.12"/>
    <d v="2026-07-23T00:00:00"/>
    <n v="326"/>
    <x v="4"/>
  </r>
  <r>
    <s v="Commercial Bank LT 3"/>
    <s v="LTL"/>
    <n v="20800000"/>
    <n v="0.1075"/>
    <d v="2026-07-24T00:00:00"/>
    <n v="327"/>
    <x v="4"/>
  </r>
  <r>
    <s v="Commercial Bank LT 2"/>
    <s v="LTL"/>
    <n v="16650000"/>
    <n v="0.09"/>
    <d v="2026-07-25T00:00:00"/>
    <n v="328"/>
    <x v="4"/>
  </r>
  <r>
    <s v="Commercial Bank LT 2"/>
    <s v="LTL"/>
    <n v="16650000"/>
    <n v="0.09"/>
    <d v="2026-07-26T00:00:00"/>
    <n v="329"/>
    <x v="4"/>
  </r>
  <r>
    <s v="Sampath Bank LT"/>
    <s v="LTL"/>
    <n v="20833000"/>
    <n v="8.0699999999999994E-2"/>
    <d v="2026-07-26T00:00:00"/>
    <n v="329"/>
    <x v="4"/>
  </r>
  <r>
    <s v="Sampath Bank LT"/>
    <s v="LTL"/>
    <n v="20833000"/>
    <n v="8.0699999999999994E-2"/>
    <d v="2026-07-26T00:00:00"/>
    <n v="329"/>
    <x v="4"/>
  </r>
  <r>
    <s v="Sampath Bank LT"/>
    <s v="LTL"/>
    <n v="20833000"/>
    <n v="8.0699999999999994E-2"/>
    <d v="2026-07-26T00:00:00"/>
    <n v="329"/>
    <x v="4"/>
  </r>
  <r>
    <s v="HNB LT 2"/>
    <s v="LTL"/>
    <n v="20833333.333333328"/>
    <n v="0.1075"/>
    <d v="2026-07-27T00:00:00"/>
    <n v="330"/>
    <x v="4"/>
  </r>
  <r>
    <s v="HNB LT 2"/>
    <s v="LTL"/>
    <n v="20833333.333333328"/>
    <n v="0.1075"/>
    <d v="2026-07-27T00:00:00"/>
    <n v="330"/>
    <x v="4"/>
  </r>
  <r>
    <s v="HNB LT 2"/>
    <s v="LTL"/>
    <n v="10416666.66666667"/>
    <n v="0.1075"/>
    <d v="2026-07-27T00:00:00"/>
    <n v="330"/>
    <x v="4"/>
  </r>
  <r>
    <s v="HNB LT 2"/>
    <s v="LTL"/>
    <n v="10416666.66666667"/>
    <n v="0.1075"/>
    <d v="2026-07-27T00:00:00"/>
    <n v="330"/>
    <x v="4"/>
  </r>
  <r>
    <s v="PABC"/>
    <s v="LTL"/>
    <n v="13888000"/>
    <n v="8.2199999999999995E-2"/>
    <d v="2026-07-28T00:00:00"/>
    <n v="331"/>
    <x v="4"/>
  </r>
  <r>
    <s v="NTB LT 3"/>
    <s v="LTL"/>
    <n v="16666666.470000001"/>
    <n v="8.0199999999999994E-2"/>
    <d v="2026-07-29T00:00:00"/>
    <n v="332"/>
    <x v="4"/>
  </r>
  <r>
    <s v="NDB LT"/>
    <s v="LTL"/>
    <n v="8250000"/>
    <n v="0.12"/>
    <d v="2026-07-31T00:00:00"/>
    <n v="334"/>
    <x v="4"/>
  </r>
  <r>
    <s v="NDB LT"/>
    <s v="LTL"/>
    <n v="8250000"/>
    <n v="0.12"/>
    <d v="2026-07-31T00:00:00"/>
    <n v="334"/>
    <x v="4"/>
  </r>
  <r>
    <s v="NDB LT"/>
    <s v="LTL"/>
    <n v="8250000"/>
    <n v="0.12"/>
    <d v="2026-07-31T00:00:00"/>
    <n v="334"/>
    <x v="4"/>
  </r>
  <r>
    <s v="NDB LT"/>
    <s v="LTL"/>
    <n v="8250000"/>
    <n v="0.12"/>
    <d v="2026-07-31T00:00:00"/>
    <n v="334"/>
    <x v="4"/>
  </r>
  <r>
    <s v="NTB LT 3"/>
    <s v="LTL"/>
    <n v="16666666.67"/>
    <n v="8.0199999999999994E-2"/>
    <d v="2026-08-15T00:00:00"/>
    <n v="349"/>
    <x v="4"/>
  </r>
  <r>
    <s v="DFCC LT"/>
    <s v="LTL"/>
    <n v="12500000"/>
    <n v="9.2499999999999999E-2"/>
    <d v="2026-08-17T00:00:00"/>
    <n v="351"/>
    <x v="4"/>
  </r>
  <r>
    <s v="DFCC LT"/>
    <s v="LTL"/>
    <n v="12500000"/>
    <n v="9.2499999999999999E-2"/>
    <d v="2026-08-17T00:00:00"/>
    <n v="351"/>
    <x v="4"/>
  </r>
  <r>
    <s v="DFCC LT"/>
    <s v="LTL"/>
    <n v="8333334"/>
    <n v="9.2499999999999999E-2"/>
    <d v="2026-08-17T00:00:00"/>
    <n v="351"/>
    <x v="4"/>
  </r>
  <r>
    <s v="NTB LT 2"/>
    <s v="LTL"/>
    <n v="25000000"/>
    <n v="8.0199999999999994E-2"/>
    <d v="2026-08-18T00:00:00"/>
    <n v="352"/>
    <x v="4"/>
  </r>
  <r>
    <s v="Cargills LT"/>
    <s v="LTL"/>
    <n v="15419153.5"/>
    <n v="0.12"/>
    <d v="2026-08-19T00:00:00"/>
    <n v="353"/>
    <x v="4"/>
  </r>
  <r>
    <s v="Seylan LT 5"/>
    <s v="LTL"/>
    <n v="50000000"/>
    <n v="9.8500000000000004E-2"/>
    <d v="2026-08-21T00:00:00"/>
    <n v="355"/>
    <x v="4"/>
  </r>
  <r>
    <s v="Commercial Bank LT 3"/>
    <s v="LTL"/>
    <n v="20800000"/>
    <n v="0.1075"/>
    <d v="2026-08-22T00:00:00"/>
    <n v="356"/>
    <x v="4"/>
  </r>
  <r>
    <s v="Commercial Bank LT 3"/>
    <s v="LTL"/>
    <n v="20800000"/>
    <n v="0.1075"/>
    <d v="2026-08-24T00:00:00"/>
    <n v="358"/>
    <x v="4"/>
  </r>
  <r>
    <s v="Commercial Bank LT 2"/>
    <s v="LTL"/>
    <n v="16650000"/>
    <n v="0.09"/>
    <d v="2026-08-25T00:00:00"/>
    <n v="359"/>
    <x v="4"/>
  </r>
  <r>
    <s v="Commercial Bank LT 2"/>
    <s v="LTL"/>
    <n v="16650000"/>
    <n v="0.09"/>
    <d v="2026-08-26T00:00:00"/>
    <n v="360"/>
    <x v="4"/>
  </r>
  <r>
    <s v="Sampath Bank LT"/>
    <s v="LTL"/>
    <n v="20833000"/>
    <n v="8.0699999999999994E-2"/>
    <d v="2026-08-26T00:00:00"/>
    <n v="360"/>
    <x v="4"/>
  </r>
  <r>
    <s v="Sampath Bank LT"/>
    <s v="LTL"/>
    <n v="20833000"/>
    <n v="8.0699999999999994E-2"/>
    <d v="2026-08-26T00:00:00"/>
    <n v="360"/>
    <x v="4"/>
  </r>
  <r>
    <s v="Sampath Bank LT"/>
    <s v="LTL"/>
    <n v="20833000"/>
    <n v="8.0699999999999994E-2"/>
    <d v="2026-08-26T00:00:00"/>
    <n v="360"/>
    <x v="4"/>
  </r>
  <r>
    <s v="HNB LT 2"/>
    <s v="LTL"/>
    <n v="20833333.333333328"/>
    <n v="0.1075"/>
    <d v="2026-08-27T00:00:00"/>
    <n v="361"/>
    <x v="4"/>
  </r>
  <r>
    <s v="HNB LT 2"/>
    <s v="LTL"/>
    <n v="20833333.333333328"/>
    <n v="0.1075"/>
    <d v="2026-08-27T00:00:00"/>
    <n v="361"/>
    <x v="4"/>
  </r>
  <r>
    <s v="HNB LT 2"/>
    <s v="LTL"/>
    <n v="10416666.66666667"/>
    <n v="0.1075"/>
    <d v="2026-08-27T00:00:00"/>
    <n v="361"/>
    <x v="4"/>
  </r>
  <r>
    <s v="HNB LT 2"/>
    <s v="LTL"/>
    <n v="10416666.66666667"/>
    <n v="0.1075"/>
    <d v="2026-08-27T00:00:00"/>
    <n v="361"/>
    <x v="4"/>
  </r>
  <r>
    <s v="PABC"/>
    <s v="LTL"/>
    <n v="13888000"/>
    <n v="8.2199999999999995E-2"/>
    <d v="2026-08-28T00:00:00"/>
    <n v="362"/>
    <x v="4"/>
  </r>
  <r>
    <s v="Seylan LT 5"/>
    <s v="LTL"/>
    <n v="50000000"/>
    <n v="9.8500000000000004E-2"/>
    <d v="2026-08-28T00:00:00"/>
    <n v="362"/>
    <x v="4"/>
  </r>
  <r>
    <s v="NTB LT 3"/>
    <s v="LTL"/>
    <n v="16666666.470000001"/>
    <n v="8.0199999999999994E-2"/>
    <d v="2026-08-29T00:00:00"/>
    <n v="363"/>
    <x v="4"/>
  </r>
  <r>
    <s v="NDB LT"/>
    <s v="LTL"/>
    <n v="8250000"/>
    <n v="0.12"/>
    <d v="2026-08-31T00:00:00"/>
    <n v="365"/>
    <x v="4"/>
  </r>
  <r>
    <s v="NDB LT"/>
    <s v="LTL"/>
    <n v="8250000"/>
    <n v="0.12"/>
    <d v="2026-08-31T00:00:00"/>
    <n v="365"/>
    <x v="4"/>
  </r>
  <r>
    <s v="NDB LT"/>
    <s v="LTL"/>
    <n v="8250000"/>
    <n v="0.12"/>
    <d v="2026-08-31T00:00:00"/>
    <n v="365"/>
    <x v="4"/>
  </r>
  <r>
    <s v="NDB LT"/>
    <s v="LTL"/>
    <n v="8250000"/>
    <n v="0.12"/>
    <d v="2026-08-31T00:00:00"/>
    <n v="365"/>
    <x v="4"/>
  </r>
  <r>
    <s v="Seylan LT 3"/>
    <s v="LTL"/>
    <n v="50000000"/>
    <n v="0.12"/>
    <d v="2026-09-13T00:00:00"/>
    <n v="378"/>
    <x v="5"/>
  </r>
  <r>
    <s v="Seylan LT 3"/>
    <s v="LTL"/>
    <n v="25000000"/>
    <n v="0.12"/>
    <d v="2026-09-14T00:00:00"/>
    <n v="379"/>
    <x v="5"/>
  </r>
  <r>
    <s v="DFCC LT"/>
    <s v="LTL"/>
    <n v="12500000"/>
    <n v="9.2499999999999999E-2"/>
    <d v="2026-09-15T00:00:00"/>
    <n v="380"/>
    <x v="5"/>
  </r>
  <r>
    <s v="DFCC LT"/>
    <s v="LTL"/>
    <n v="12500000"/>
    <n v="9.2499999999999999E-2"/>
    <d v="2026-09-15T00:00:00"/>
    <n v="380"/>
    <x v="5"/>
  </r>
  <r>
    <s v="DFCC LT"/>
    <s v="LTL"/>
    <n v="8333294"/>
    <n v="9.2499999999999999E-2"/>
    <d v="2026-09-15T00:00:00"/>
    <n v="380"/>
    <x v="5"/>
  </r>
  <r>
    <s v="NTB LT 3"/>
    <s v="LTL"/>
    <n v="16666666.67"/>
    <n v="8.0199999999999994E-2"/>
    <d v="2026-09-15T00:00:00"/>
    <n v="380"/>
    <x v="5"/>
  </r>
  <r>
    <s v="NTB LT 2"/>
    <s v="LTL"/>
    <n v="25000000"/>
    <n v="8.0199999999999994E-2"/>
    <d v="2026-09-18T00:00:00"/>
    <n v="383"/>
    <x v="5"/>
  </r>
  <r>
    <s v="Cargills LT"/>
    <s v="LTL"/>
    <n v="15576302.109999999"/>
    <n v="0.12"/>
    <d v="2026-09-19T00:00:00"/>
    <n v="384"/>
    <x v="5"/>
  </r>
  <r>
    <s v="Commercial Bank LT 3"/>
    <s v="LTL"/>
    <n v="20800000"/>
    <n v="0.1075"/>
    <d v="2026-09-22T00:00:00"/>
    <n v="387"/>
    <x v="5"/>
  </r>
  <r>
    <s v="Commercial Bank LT 3"/>
    <s v="LTL"/>
    <n v="20800000"/>
    <n v="0.1075"/>
    <d v="2026-09-24T00:00:00"/>
    <n v="389"/>
    <x v="5"/>
  </r>
  <r>
    <s v="Commercial Bank LT 2"/>
    <s v="LTL"/>
    <n v="16650000"/>
    <n v="0.09"/>
    <d v="2026-09-25T00:00:00"/>
    <n v="390"/>
    <x v="5"/>
  </r>
  <r>
    <s v="Commercial Bank LT 2"/>
    <s v="LTL"/>
    <n v="16650000"/>
    <n v="0.09"/>
    <d v="2026-09-26T00:00:00"/>
    <n v="391"/>
    <x v="5"/>
  </r>
  <r>
    <s v="Sampath Bank LT"/>
    <s v="LTL"/>
    <n v="20833000"/>
    <n v="8.0699999999999994E-2"/>
    <d v="2026-09-26T00:00:00"/>
    <n v="391"/>
    <x v="5"/>
  </r>
  <r>
    <s v="Sampath Bank LT"/>
    <s v="LTL"/>
    <n v="20833000"/>
    <n v="8.0699999999999994E-2"/>
    <d v="2026-09-26T00:00:00"/>
    <n v="391"/>
    <x v="5"/>
  </r>
  <r>
    <s v="Sampath Bank LT"/>
    <s v="LTL"/>
    <n v="20833000"/>
    <n v="8.0699999999999994E-2"/>
    <d v="2026-09-26T00:00:00"/>
    <n v="391"/>
    <x v="5"/>
  </r>
  <r>
    <s v="HNB LT 2"/>
    <s v="LTL"/>
    <n v="20833333.333333328"/>
    <n v="0.1075"/>
    <d v="2026-09-27T00:00:00"/>
    <n v="392"/>
    <x v="5"/>
  </r>
  <r>
    <s v="HNB LT 2"/>
    <s v="LTL"/>
    <n v="20833333.333333328"/>
    <n v="0.1075"/>
    <d v="2026-09-27T00:00:00"/>
    <n v="392"/>
    <x v="5"/>
  </r>
  <r>
    <s v="HNB LT 2"/>
    <s v="LTL"/>
    <n v="10416666.66666667"/>
    <n v="0.1075"/>
    <d v="2026-09-27T00:00:00"/>
    <n v="392"/>
    <x v="5"/>
  </r>
  <r>
    <s v="HNB LT 2"/>
    <s v="LTL"/>
    <n v="10416666.66666667"/>
    <n v="0.1075"/>
    <d v="2026-09-27T00:00:00"/>
    <n v="392"/>
    <x v="5"/>
  </r>
  <r>
    <s v="PABC"/>
    <s v="LTL"/>
    <n v="13888000"/>
    <n v="8.2199999999999995E-2"/>
    <d v="2026-09-28T00:00:00"/>
    <n v="393"/>
    <x v="5"/>
  </r>
  <r>
    <s v="NTB LT 3"/>
    <s v="LTL"/>
    <n v="16666666.470000001"/>
    <n v="8.0199999999999994E-2"/>
    <d v="2026-09-29T00:00:00"/>
    <n v="394"/>
    <x v="5"/>
  </r>
  <r>
    <s v="NDB LT"/>
    <s v="LTL"/>
    <n v="8250000"/>
    <n v="0.12"/>
    <d v="2026-09-30T00:00:00"/>
    <n v="395"/>
    <x v="5"/>
  </r>
  <r>
    <s v="NDB LT"/>
    <s v="LTL"/>
    <n v="8250000"/>
    <n v="0.12"/>
    <d v="2026-09-30T00:00:00"/>
    <n v="395"/>
    <x v="5"/>
  </r>
  <r>
    <s v="NDB LT"/>
    <s v="LTL"/>
    <n v="8250000"/>
    <n v="0.12"/>
    <d v="2026-09-30T00:00:00"/>
    <n v="395"/>
    <x v="5"/>
  </r>
  <r>
    <s v="NDB LT"/>
    <s v="LTL"/>
    <n v="8250000"/>
    <n v="0.12"/>
    <d v="2026-09-30T00:00:00"/>
    <n v="395"/>
    <x v="5"/>
  </r>
  <r>
    <s v="NTB LT 1"/>
    <s v="LTL"/>
    <n v="196256250"/>
    <n v="8.8499999999999995E-2"/>
    <d v="2026-09-30T00:00:00"/>
    <n v="395"/>
    <x v="5"/>
  </r>
  <r>
    <s v="Seylan LT 4"/>
    <s v="LTL"/>
    <n v="145833333.34"/>
    <n v="0.11"/>
    <d v="2026-09-30T00:00:00"/>
    <n v="395"/>
    <x v="5"/>
  </r>
  <r>
    <s v="NTB LT 3"/>
    <s v="LTL"/>
    <n v="16666666.67"/>
    <n v="8.0199999999999994E-2"/>
    <d v="2026-10-15T00:00:00"/>
    <n v="410"/>
    <x v="5"/>
  </r>
  <r>
    <s v="NTB LT 2"/>
    <s v="LTL"/>
    <n v="25000000"/>
    <n v="8.0199999999999994E-2"/>
    <d v="2026-10-18T00:00:00"/>
    <n v="413"/>
    <x v="5"/>
  </r>
  <r>
    <s v="Cargills LT"/>
    <s v="LTL"/>
    <n v="15945032.98"/>
    <n v="0.12"/>
    <d v="2026-10-19T00:00:00"/>
    <n v="414"/>
    <x v="5"/>
  </r>
  <r>
    <s v="Commercial Bank LT 3"/>
    <s v="LTL"/>
    <n v="20800000"/>
    <n v="0.1075"/>
    <d v="2026-10-22T00:00:00"/>
    <n v="417"/>
    <x v="5"/>
  </r>
  <r>
    <s v="HNB LT"/>
    <s v="LTL"/>
    <n v="50000000"/>
    <n v="0.12"/>
    <d v="2026-10-23T00:00:00"/>
    <n v="418"/>
    <x v="5"/>
  </r>
  <r>
    <s v="HNB LT"/>
    <s v="LTL"/>
    <n v="50000000"/>
    <n v="0.12"/>
    <d v="2026-10-23T00:00:00"/>
    <n v="418"/>
    <x v="5"/>
  </r>
  <r>
    <s v="HNB LT"/>
    <s v="LTL"/>
    <n v="50000000"/>
    <n v="0.12"/>
    <d v="2026-10-23T00:00:00"/>
    <n v="418"/>
    <x v="5"/>
  </r>
  <r>
    <s v="Commercial Bank LT 3"/>
    <s v="LTL"/>
    <n v="20800000"/>
    <n v="0.1075"/>
    <d v="2026-10-24T00:00:00"/>
    <n v="419"/>
    <x v="5"/>
  </r>
  <r>
    <s v="Commercial Bank LT 2"/>
    <s v="LTL"/>
    <n v="16650000"/>
    <n v="0.09"/>
    <d v="2026-10-25T00:00:00"/>
    <n v="420"/>
    <x v="5"/>
  </r>
  <r>
    <s v="Commercial Bank LT 2"/>
    <s v="LTL"/>
    <n v="16650000"/>
    <n v="0.09"/>
    <d v="2026-10-26T00:00:00"/>
    <n v="421"/>
    <x v="5"/>
  </r>
  <r>
    <s v="Sampath Bank LT"/>
    <s v="LTL"/>
    <n v="20833000"/>
    <n v="8.0699999999999994E-2"/>
    <d v="2026-10-26T00:00:00"/>
    <n v="421"/>
    <x v="5"/>
  </r>
  <r>
    <s v="Sampath Bank LT"/>
    <s v="LTL"/>
    <n v="20833000"/>
    <n v="8.0699999999999994E-2"/>
    <d v="2026-10-26T00:00:00"/>
    <n v="421"/>
    <x v="5"/>
  </r>
  <r>
    <s v="Sampath Bank LT"/>
    <s v="LTL"/>
    <n v="20833000"/>
    <n v="8.0699999999999994E-2"/>
    <d v="2026-10-26T00:00:00"/>
    <n v="421"/>
    <x v="5"/>
  </r>
  <r>
    <s v="HNB LT 2"/>
    <s v="LTL"/>
    <n v="20833333.333333328"/>
    <n v="0.1075"/>
    <d v="2026-10-27T00:00:00"/>
    <n v="422"/>
    <x v="5"/>
  </r>
  <r>
    <s v="HNB LT 2"/>
    <s v="LTL"/>
    <n v="20833333.333333328"/>
    <n v="0.1075"/>
    <d v="2026-10-27T00:00:00"/>
    <n v="422"/>
    <x v="5"/>
  </r>
  <r>
    <s v="HNB LT 2"/>
    <s v="LTL"/>
    <n v="10416666.66666667"/>
    <n v="0.1075"/>
    <d v="2026-10-27T00:00:00"/>
    <n v="422"/>
    <x v="5"/>
  </r>
  <r>
    <s v="HNB LT 2"/>
    <s v="LTL"/>
    <n v="10416666.66666667"/>
    <n v="0.1075"/>
    <d v="2026-10-27T00:00:00"/>
    <n v="422"/>
    <x v="5"/>
  </r>
  <r>
    <s v="PABC"/>
    <s v="LTL"/>
    <n v="13888000"/>
    <n v="8.2199999999999995E-2"/>
    <d v="2026-10-28T00:00:00"/>
    <n v="423"/>
    <x v="5"/>
  </r>
  <r>
    <s v="NTB LT 3"/>
    <s v="LTL"/>
    <n v="16666666.470000001"/>
    <n v="8.0199999999999994E-2"/>
    <d v="2026-10-29T00:00:00"/>
    <n v="424"/>
    <x v="5"/>
  </r>
  <r>
    <s v="NDB LT"/>
    <s v="LTL"/>
    <n v="8250000"/>
    <n v="0.12"/>
    <d v="2026-10-31T00:00:00"/>
    <n v="426"/>
    <x v="5"/>
  </r>
  <r>
    <s v="NDB LT"/>
    <s v="LTL"/>
    <n v="8250000"/>
    <n v="0.12"/>
    <d v="2026-10-31T00:00:00"/>
    <n v="426"/>
    <x v="5"/>
  </r>
  <r>
    <s v="NDB LT"/>
    <s v="LTL"/>
    <n v="8250000"/>
    <n v="0.12"/>
    <d v="2026-10-31T00:00:00"/>
    <n v="426"/>
    <x v="5"/>
  </r>
  <r>
    <s v="NDB LT"/>
    <s v="LTL"/>
    <n v="8250000"/>
    <n v="0.12"/>
    <d v="2026-10-31T00:00:00"/>
    <n v="426"/>
    <x v="5"/>
  </r>
  <r>
    <s v="NTB LT 3"/>
    <s v="LTL"/>
    <n v="16666666.67"/>
    <n v="8.0199999999999994E-2"/>
    <d v="2026-11-15T00:00:00"/>
    <n v="441"/>
    <x v="5"/>
  </r>
  <r>
    <s v="NTB LT 2"/>
    <s v="LTL"/>
    <n v="25000000"/>
    <n v="8.0199999999999994E-2"/>
    <d v="2026-11-18T00:00:00"/>
    <n v="444"/>
    <x v="5"/>
  </r>
  <r>
    <s v="Cargills LT"/>
    <s v="LTL"/>
    <n v="15897560.689999999"/>
    <n v="0.12"/>
    <d v="2026-11-19T00:00:00"/>
    <n v="445"/>
    <x v="5"/>
  </r>
  <r>
    <s v="Seylan LT 5"/>
    <s v="LTL"/>
    <n v="50000000"/>
    <n v="9.8500000000000004E-2"/>
    <d v="2026-11-21T00:00:00"/>
    <n v="447"/>
    <x v="5"/>
  </r>
  <r>
    <s v="Commercial Bank LT 3"/>
    <s v="LTL"/>
    <n v="20800000"/>
    <n v="0.1075"/>
    <d v="2026-11-22T00:00:00"/>
    <n v="448"/>
    <x v="5"/>
  </r>
  <r>
    <s v="Commercial Bank LT 3"/>
    <s v="LTL"/>
    <n v="20800000"/>
    <n v="0.1075"/>
    <d v="2026-11-24T00:00:00"/>
    <n v="450"/>
    <x v="5"/>
  </r>
  <r>
    <s v="Commercial Bank LT 2"/>
    <s v="LTL"/>
    <n v="16650000"/>
    <n v="0.09"/>
    <d v="2026-11-25T00:00:00"/>
    <n v="451"/>
    <x v="5"/>
  </r>
  <r>
    <s v="Commercial Bank LT 2"/>
    <s v="LTL"/>
    <n v="16650000"/>
    <n v="0.09"/>
    <d v="2026-11-26T00:00:00"/>
    <n v="452"/>
    <x v="5"/>
  </r>
  <r>
    <s v="Sampath Bank LT"/>
    <s v="LTL"/>
    <n v="20833000"/>
    <n v="8.0699999999999994E-2"/>
    <d v="2026-11-26T00:00:00"/>
    <n v="452"/>
    <x v="5"/>
  </r>
  <r>
    <s v="Sampath Bank LT"/>
    <s v="LTL"/>
    <n v="20833000"/>
    <n v="8.0699999999999994E-2"/>
    <d v="2026-11-26T00:00:00"/>
    <n v="452"/>
    <x v="5"/>
  </r>
  <r>
    <s v="Sampath Bank LT"/>
    <s v="LTL"/>
    <n v="20833000"/>
    <n v="8.0699999999999994E-2"/>
    <d v="2026-11-26T00:00:00"/>
    <n v="452"/>
    <x v="5"/>
  </r>
  <r>
    <s v="HNB LT 2"/>
    <s v="LTL"/>
    <n v="20833333.333333328"/>
    <n v="0.1075"/>
    <d v="2026-11-27T00:00:00"/>
    <n v="453"/>
    <x v="5"/>
  </r>
  <r>
    <s v="HNB LT 2"/>
    <s v="LTL"/>
    <n v="20833333.333333328"/>
    <n v="0.1075"/>
    <d v="2026-11-27T00:00:00"/>
    <n v="453"/>
    <x v="5"/>
  </r>
  <r>
    <s v="HNB LT 2"/>
    <s v="LTL"/>
    <n v="10416666.66666667"/>
    <n v="0.1075"/>
    <d v="2026-11-27T00:00:00"/>
    <n v="453"/>
    <x v="5"/>
  </r>
  <r>
    <s v="HNB LT 2"/>
    <s v="LTL"/>
    <n v="10416666.66666667"/>
    <n v="0.1075"/>
    <d v="2026-11-27T00:00:00"/>
    <n v="453"/>
    <x v="5"/>
  </r>
  <r>
    <s v="PABC"/>
    <s v="LTL"/>
    <n v="13888000"/>
    <n v="8.2199999999999995E-2"/>
    <d v="2026-11-28T00:00:00"/>
    <n v="454"/>
    <x v="5"/>
  </r>
  <r>
    <s v="Seylan LT 5"/>
    <s v="LTL"/>
    <n v="50000000"/>
    <n v="9.8500000000000004E-2"/>
    <d v="2026-11-28T00:00:00"/>
    <n v="454"/>
    <x v="5"/>
  </r>
  <r>
    <s v="NTB LT 3"/>
    <s v="LTL"/>
    <n v="16666666.470000001"/>
    <n v="8.0199999999999994E-2"/>
    <d v="2026-11-29T00:00:00"/>
    <n v="455"/>
    <x v="5"/>
  </r>
  <r>
    <s v="NDB LT"/>
    <s v="LTL"/>
    <n v="8250000"/>
    <n v="0.12"/>
    <d v="2026-11-30T00:00:00"/>
    <n v="456"/>
    <x v="5"/>
  </r>
  <r>
    <s v="NDB LT"/>
    <s v="LTL"/>
    <n v="8250000"/>
    <n v="0.12"/>
    <d v="2026-11-30T00:00:00"/>
    <n v="456"/>
    <x v="5"/>
  </r>
  <r>
    <s v="NDB LT"/>
    <s v="LTL"/>
    <n v="8250000"/>
    <n v="0.12"/>
    <d v="2026-11-30T00:00:00"/>
    <n v="456"/>
    <x v="5"/>
  </r>
  <r>
    <s v="NDB LT"/>
    <s v="LTL"/>
    <n v="8250000"/>
    <n v="0.12"/>
    <d v="2026-11-30T00:00:00"/>
    <n v="456"/>
    <x v="5"/>
  </r>
  <r>
    <s v="Seylan LT 3"/>
    <s v="LTL"/>
    <n v="50000000"/>
    <n v="0.12"/>
    <d v="2026-12-13T00:00:00"/>
    <n v="469"/>
    <x v="5"/>
  </r>
  <r>
    <s v="Seylan LT 3"/>
    <s v="LTL"/>
    <n v="25000000"/>
    <n v="0.12"/>
    <d v="2026-12-14T00:00:00"/>
    <n v="470"/>
    <x v="5"/>
  </r>
  <r>
    <s v="NTB LT 3"/>
    <s v="LTL"/>
    <n v="16666666.67"/>
    <n v="8.0199999999999994E-2"/>
    <d v="2026-12-15T00:00:00"/>
    <n v="471"/>
    <x v="5"/>
  </r>
  <r>
    <s v="NTB LT 2"/>
    <s v="LTL"/>
    <n v="25000000"/>
    <n v="8.0199999999999994E-2"/>
    <d v="2026-12-18T00:00:00"/>
    <n v="474"/>
    <x v="5"/>
  </r>
  <r>
    <s v="Cargills LT"/>
    <s v="LTL"/>
    <n v="16259096.68"/>
    <n v="0.12"/>
    <d v="2026-12-19T00:00:00"/>
    <n v="475"/>
    <x v="5"/>
  </r>
  <r>
    <s v="Commercial Bank LT 3"/>
    <s v="LTL"/>
    <n v="20800000"/>
    <n v="0.1075"/>
    <d v="2026-12-22T00:00:00"/>
    <n v="478"/>
    <x v="5"/>
  </r>
  <r>
    <s v="Commercial Bank LT 3"/>
    <s v="LTL"/>
    <n v="20800000"/>
    <n v="0.1075"/>
    <d v="2026-12-24T00:00:00"/>
    <n v="480"/>
    <x v="5"/>
  </r>
  <r>
    <s v="Commercial Bank LT 2"/>
    <s v="LTL"/>
    <n v="16650000"/>
    <n v="0.09"/>
    <d v="2026-12-25T00:00:00"/>
    <n v="481"/>
    <x v="5"/>
  </r>
  <r>
    <s v="Commercial Bank LT 2"/>
    <s v="LTL"/>
    <n v="16650000"/>
    <n v="0.09"/>
    <d v="2026-12-26T00:00:00"/>
    <n v="482"/>
    <x v="5"/>
  </r>
  <r>
    <s v="Sampath Bank LT"/>
    <s v="LTL"/>
    <n v="20833000"/>
    <n v="8.0699999999999994E-2"/>
    <d v="2026-12-26T00:00:00"/>
    <n v="482"/>
    <x v="5"/>
  </r>
  <r>
    <s v="Sampath Bank LT"/>
    <s v="LTL"/>
    <n v="20833000"/>
    <n v="8.0699999999999994E-2"/>
    <d v="2026-12-26T00:00:00"/>
    <n v="482"/>
    <x v="5"/>
  </r>
  <r>
    <s v="Sampath Bank LT"/>
    <s v="LTL"/>
    <n v="20833000"/>
    <n v="8.0699999999999994E-2"/>
    <d v="2026-12-26T00:00:00"/>
    <n v="482"/>
    <x v="5"/>
  </r>
  <r>
    <s v="HNB LT 2"/>
    <s v="LTL"/>
    <n v="20833333.333333328"/>
    <n v="0.1075"/>
    <d v="2026-12-27T00:00:00"/>
    <n v="483"/>
    <x v="5"/>
  </r>
  <r>
    <s v="HNB LT 2"/>
    <s v="LTL"/>
    <n v="20833333.333333328"/>
    <n v="0.1075"/>
    <d v="2026-12-27T00:00:00"/>
    <n v="483"/>
    <x v="5"/>
  </r>
  <r>
    <s v="HNB LT 2"/>
    <s v="LTL"/>
    <n v="10416666.66666667"/>
    <n v="0.1075"/>
    <d v="2026-12-27T00:00:00"/>
    <n v="483"/>
    <x v="5"/>
  </r>
  <r>
    <s v="HNB LT 2"/>
    <s v="LTL"/>
    <n v="10416666.66666667"/>
    <n v="0.1075"/>
    <d v="2026-12-27T00:00:00"/>
    <n v="483"/>
    <x v="5"/>
  </r>
  <r>
    <s v="PABC"/>
    <s v="LTL"/>
    <n v="13888000"/>
    <n v="8.2199999999999995E-2"/>
    <d v="2026-12-28T00:00:00"/>
    <n v="484"/>
    <x v="5"/>
  </r>
  <r>
    <s v="NTB LT 3"/>
    <s v="LTL"/>
    <n v="16666666.470000001"/>
    <n v="8.0199999999999994E-2"/>
    <d v="2026-12-29T00:00:00"/>
    <n v="485"/>
    <x v="5"/>
  </r>
  <r>
    <s v="Seylan LT 4"/>
    <s v="LTL"/>
    <n v="145833333.34"/>
    <n v="0.11"/>
    <d v="2026-12-30T00:00:00"/>
    <n v="486"/>
    <x v="5"/>
  </r>
  <r>
    <s v="NDB LT"/>
    <s v="LTL"/>
    <n v="8250000"/>
    <n v="0.12"/>
    <d v="2026-12-31T00:00:00"/>
    <n v="487"/>
    <x v="5"/>
  </r>
  <r>
    <s v="NDB LT"/>
    <s v="LTL"/>
    <n v="8250000"/>
    <n v="0.12"/>
    <d v="2026-12-31T00:00:00"/>
    <n v="487"/>
    <x v="5"/>
  </r>
  <r>
    <s v="NDB LT"/>
    <s v="LTL"/>
    <n v="8250000"/>
    <n v="0.12"/>
    <d v="2026-12-31T00:00:00"/>
    <n v="487"/>
    <x v="5"/>
  </r>
  <r>
    <s v="NDB LT"/>
    <s v="LTL"/>
    <n v="8250000"/>
    <n v="0.12"/>
    <d v="2026-12-31T00:00:00"/>
    <n v="487"/>
    <x v="5"/>
  </r>
  <r>
    <s v="NTB LT 3"/>
    <s v="LTL"/>
    <n v="16666666.67"/>
    <n v="8.0199999999999994E-2"/>
    <d v="2027-01-15T00:00:00"/>
    <n v="502"/>
    <x v="5"/>
  </r>
  <r>
    <s v="NTB LT 2"/>
    <s v="LTL"/>
    <n v="25000000"/>
    <n v="8.0199999999999994E-2"/>
    <d v="2027-01-18T00:00:00"/>
    <n v="505"/>
    <x v="5"/>
  </r>
  <r>
    <s v="Cargills LT"/>
    <s v="LTL"/>
    <n v="16225294.24"/>
    <n v="0.12"/>
    <d v="2027-01-19T00:00:00"/>
    <n v="506"/>
    <x v="5"/>
  </r>
  <r>
    <s v="Commercial Bank LT 3"/>
    <s v="LTL"/>
    <n v="20800000"/>
    <n v="0.1075"/>
    <d v="2027-01-22T00:00:00"/>
    <n v="509"/>
    <x v="5"/>
  </r>
  <r>
    <s v="HNB LT"/>
    <s v="LTL"/>
    <n v="50000000"/>
    <n v="0.12"/>
    <d v="2027-01-23T00:00:00"/>
    <n v="510"/>
    <x v="5"/>
  </r>
  <r>
    <s v="HNB LT"/>
    <s v="LTL"/>
    <n v="50000000"/>
    <n v="0.12"/>
    <d v="2027-01-23T00:00:00"/>
    <n v="510"/>
    <x v="5"/>
  </r>
  <r>
    <s v="HNB LT"/>
    <s v="LTL"/>
    <n v="50000000"/>
    <n v="0.12"/>
    <d v="2027-01-23T00:00:00"/>
    <n v="510"/>
    <x v="5"/>
  </r>
  <r>
    <s v="Commercial Bank LT 3"/>
    <s v="LTL"/>
    <n v="20800000"/>
    <n v="0.1075"/>
    <d v="2027-01-24T00:00:00"/>
    <n v="511"/>
    <x v="5"/>
  </r>
  <r>
    <s v="Commercial Bank LT 2"/>
    <s v="LTL"/>
    <n v="16650000"/>
    <n v="0.09"/>
    <d v="2027-01-25T00:00:00"/>
    <n v="512"/>
    <x v="5"/>
  </r>
  <r>
    <s v="Commercial Bank LT 2"/>
    <s v="LTL"/>
    <n v="16650000"/>
    <n v="0.09"/>
    <d v="2027-01-26T00:00:00"/>
    <n v="513"/>
    <x v="5"/>
  </r>
  <r>
    <s v="Sampath Bank LT"/>
    <s v="LTL"/>
    <n v="20833000"/>
    <n v="8.0699999999999994E-2"/>
    <d v="2027-01-26T00:00:00"/>
    <n v="513"/>
    <x v="5"/>
  </r>
  <r>
    <s v="Sampath Bank LT"/>
    <s v="LTL"/>
    <n v="20833000"/>
    <n v="8.0699999999999994E-2"/>
    <d v="2027-01-26T00:00:00"/>
    <n v="513"/>
    <x v="5"/>
  </r>
  <r>
    <s v="Sampath Bank LT"/>
    <s v="LTL"/>
    <n v="20833000"/>
    <n v="8.0699999999999994E-2"/>
    <d v="2027-01-26T00:00:00"/>
    <n v="513"/>
    <x v="5"/>
  </r>
  <r>
    <s v="HNB LT 2"/>
    <s v="LTL"/>
    <n v="20833333.333333328"/>
    <n v="0.1075"/>
    <d v="2027-01-27T00:00:00"/>
    <n v="514"/>
    <x v="5"/>
  </r>
  <r>
    <s v="HNB LT 2"/>
    <s v="LTL"/>
    <n v="20833333.333333328"/>
    <n v="0.1075"/>
    <d v="2027-01-27T00:00:00"/>
    <n v="514"/>
    <x v="5"/>
  </r>
  <r>
    <s v="HNB LT 2"/>
    <s v="LTL"/>
    <n v="10416666.66666667"/>
    <n v="0.1075"/>
    <d v="2027-01-27T00:00:00"/>
    <n v="514"/>
    <x v="5"/>
  </r>
  <r>
    <s v="HNB LT 2"/>
    <s v="LTL"/>
    <n v="10416666.66666667"/>
    <n v="0.1075"/>
    <d v="2027-01-27T00:00:00"/>
    <n v="514"/>
    <x v="5"/>
  </r>
  <r>
    <s v="PABC"/>
    <s v="LTL"/>
    <n v="13888000"/>
    <n v="8.2199999999999995E-2"/>
    <d v="2027-01-28T00:00:00"/>
    <n v="515"/>
    <x v="5"/>
  </r>
  <r>
    <s v="NTB LT 3"/>
    <s v="LTL"/>
    <n v="16666666.470000001"/>
    <n v="8.0199999999999994E-2"/>
    <d v="2027-01-29T00:00:00"/>
    <n v="516"/>
    <x v="5"/>
  </r>
  <r>
    <s v="NDB LT"/>
    <s v="LTL"/>
    <n v="8250000"/>
    <n v="0.12"/>
    <d v="2027-01-31T00:00:00"/>
    <n v="518"/>
    <x v="5"/>
  </r>
  <r>
    <s v="NDB LT"/>
    <s v="LTL"/>
    <n v="8250000"/>
    <n v="0.12"/>
    <d v="2027-01-31T00:00:00"/>
    <n v="518"/>
    <x v="5"/>
  </r>
  <r>
    <s v="NDB LT"/>
    <s v="LTL"/>
    <n v="8250000"/>
    <n v="0.12"/>
    <d v="2027-01-31T00:00:00"/>
    <n v="518"/>
    <x v="5"/>
  </r>
  <r>
    <s v="NDB LT"/>
    <s v="LTL"/>
    <n v="8250000"/>
    <n v="0.12"/>
    <d v="2027-01-31T00:00:00"/>
    <n v="518"/>
    <x v="5"/>
  </r>
  <r>
    <s v="NTB LT 3"/>
    <s v="LTL"/>
    <n v="16666666.67"/>
    <n v="8.0199999999999994E-2"/>
    <d v="2027-02-15T00:00:00"/>
    <n v="533"/>
    <x v="5"/>
  </r>
  <r>
    <s v="NTB LT 2"/>
    <s v="LTL"/>
    <n v="25000000"/>
    <n v="8.0199999999999994E-2"/>
    <d v="2027-02-18T00:00:00"/>
    <n v="536"/>
    <x v="5"/>
  </r>
  <r>
    <s v="Cargills LT"/>
    <s v="LTL"/>
    <n v="16390658.779999999"/>
    <n v="0.12"/>
    <d v="2027-02-19T00:00:00"/>
    <n v="537"/>
    <x v="5"/>
  </r>
  <r>
    <s v="Seylan LT 5"/>
    <s v="LTL"/>
    <n v="50000000"/>
    <n v="9.8500000000000004E-2"/>
    <d v="2027-02-21T00:00:00"/>
    <n v="539"/>
    <x v="5"/>
  </r>
  <r>
    <s v="Commercial Bank LT 3"/>
    <s v="LTL"/>
    <n v="20800000"/>
    <n v="0.1075"/>
    <d v="2027-02-22T00:00:00"/>
    <n v="540"/>
    <x v="5"/>
  </r>
  <r>
    <s v="Commercial Bank LT 3"/>
    <s v="LTL"/>
    <n v="20800000"/>
    <n v="0.1075"/>
    <d v="2027-02-24T00:00:00"/>
    <n v="542"/>
    <x v="5"/>
  </r>
  <r>
    <s v="Commercial Bank LT 2"/>
    <s v="LTL"/>
    <n v="16650000"/>
    <n v="0.09"/>
    <d v="2027-02-25T00:00:00"/>
    <n v="543"/>
    <x v="5"/>
  </r>
  <r>
    <s v="Commercial Bank LT 2"/>
    <s v="LTL"/>
    <n v="16650000"/>
    <n v="0.09"/>
    <d v="2027-02-26T00:00:00"/>
    <n v="544"/>
    <x v="5"/>
  </r>
  <r>
    <s v="Sampath Bank LT"/>
    <s v="LTL"/>
    <n v="20833000"/>
    <n v="8.0699999999999994E-2"/>
    <d v="2027-02-26T00:00:00"/>
    <n v="544"/>
    <x v="5"/>
  </r>
  <r>
    <s v="Sampath Bank LT"/>
    <s v="LTL"/>
    <n v="20833000"/>
    <n v="8.0699999999999994E-2"/>
    <d v="2027-02-26T00:00:00"/>
    <n v="544"/>
    <x v="5"/>
  </r>
  <r>
    <s v="Sampath Bank LT"/>
    <s v="LTL"/>
    <n v="20833000"/>
    <n v="8.0699999999999994E-2"/>
    <d v="2027-02-26T00:00:00"/>
    <n v="544"/>
    <x v="5"/>
  </r>
  <r>
    <s v="HNB LT 2"/>
    <s v="LTL"/>
    <n v="20833333.333333328"/>
    <n v="0.1075"/>
    <d v="2027-02-27T00:00:00"/>
    <n v="545"/>
    <x v="5"/>
  </r>
  <r>
    <s v="HNB LT 2"/>
    <s v="LTL"/>
    <n v="20833333.333333328"/>
    <n v="0.1075"/>
    <d v="2027-02-27T00:00:00"/>
    <n v="545"/>
    <x v="5"/>
  </r>
  <r>
    <s v="HNB LT 2"/>
    <s v="LTL"/>
    <n v="10416666.66666667"/>
    <n v="0.1075"/>
    <d v="2027-02-27T00:00:00"/>
    <n v="545"/>
    <x v="5"/>
  </r>
  <r>
    <s v="HNB LT 2"/>
    <s v="LTL"/>
    <n v="10416666.66666667"/>
    <n v="0.1075"/>
    <d v="2027-02-27T00:00:00"/>
    <n v="545"/>
    <x v="5"/>
  </r>
  <r>
    <s v="NDB LT"/>
    <s v="LTL"/>
    <n v="8250000"/>
    <n v="0.12"/>
    <d v="2027-02-28T00:00:00"/>
    <n v="546"/>
    <x v="5"/>
  </r>
  <r>
    <s v="NDB LT"/>
    <s v="LTL"/>
    <n v="8250000"/>
    <n v="0.12"/>
    <d v="2027-02-28T00:00:00"/>
    <n v="546"/>
    <x v="5"/>
  </r>
  <r>
    <s v="NDB LT"/>
    <s v="LTL"/>
    <n v="8250000"/>
    <n v="0.12"/>
    <d v="2027-02-28T00:00:00"/>
    <n v="546"/>
    <x v="5"/>
  </r>
  <r>
    <s v="NDB LT"/>
    <s v="LTL"/>
    <n v="8250000"/>
    <n v="0.12"/>
    <d v="2027-02-28T00:00:00"/>
    <n v="546"/>
    <x v="5"/>
  </r>
  <r>
    <s v="NTB LT 3"/>
    <s v="LTL"/>
    <n v="16666666.470000001"/>
    <n v="8.0199999999999994E-2"/>
    <d v="2027-02-28T00:00:00"/>
    <n v="546"/>
    <x v="5"/>
  </r>
  <r>
    <s v="PABC"/>
    <s v="LTL"/>
    <n v="13888000"/>
    <n v="8.2199999999999995E-2"/>
    <d v="2027-02-28T00:00:00"/>
    <n v="546"/>
    <x v="5"/>
  </r>
  <r>
    <s v="Seylan LT 5"/>
    <s v="LTL"/>
    <n v="50000000"/>
    <n v="9.8500000000000004E-2"/>
    <d v="2027-02-28T00:00:00"/>
    <n v="546"/>
    <x v="5"/>
  </r>
  <r>
    <s v="Seylan LT 3"/>
    <s v="LTL"/>
    <n v="50000000"/>
    <n v="0.12"/>
    <d v="2027-03-13T00:00:00"/>
    <n v="559"/>
    <x v="5"/>
  </r>
  <r>
    <s v="Seylan LT 3"/>
    <s v="LTL"/>
    <n v="25000000"/>
    <n v="0.12"/>
    <d v="2027-03-14T00:00:00"/>
    <n v="560"/>
    <x v="5"/>
  </r>
  <r>
    <s v="NTB LT 3"/>
    <s v="LTL"/>
    <n v="16666666.67"/>
    <n v="8.0199999999999994E-2"/>
    <d v="2027-03-15T00:00:00"/>
    <n v="561"/>
    <x v="5"/>
  </r>
  <r>
    <s v="NTB LT 2"/>
    <s v="LTL"/>
    <n v="25000000"/>
    <n v="8.0199999999999994E-2"/>
    <d v="2027-03-18T00:00:00"/>
    <n v="564"/>
    <x v="5"/>
  </r>
  <r>
    <s v="Cargills LT"/>
    <s v="LTL"/>
    <n v="17108038.359999999"/>
    <n v="0.12"/>
    <d v="2027-03-19T00:00:00"/>
    <n v="565"/>
    <x v="5"/>
  </r>
  <r>
    <s v="Commercial Bank LT 3"/>
    <s v="LTL"/>
    <n v="20800000"/>
    <n v="0.1075"/>
    <d v="2027-03-22T00:00:00"/>
    <n v="568"/>
    <x v="5"/>
  </r>
  <r>
    <s v="Commercial Bank LT 3"/>
    <s v="LTL"/>
    <n v="20800000"/>
    <n v="0.1075"/>
    <d v="2027-03-24T00:00:00"/>
    <n v="570"/>
    <x v="5"/>
  </r>
  <r>
    <s v="Commercial Bank LT 2"/>
    <s v="LTL"/>
    <n v="16650000"/>
    <n v="0.09"/>
    <d v="2027-03-25T00:00:00"/>
    <n v="571"/>
    <x v="5"/>
  </r>
  <r>
    <s v="Commercial Bank LT 2"/>
    <s v="LTL"/>
    <n v="16650000"/>
    <n v="0.09"/>
    <d v="2027-03-26T00:00:00"/>
    <n v="572"/>
    <x v="5"/>
  </r>
  <r>
    <s v="Sampath Bank LT"/>
    <s v="LTL"/>
    <n v="20833000"/>
    <n v="8.0699999999999994E-2"/>
    <d v="2027-03-26T00:00:00"/>
    <n v="572"/>
    <x v="5"/>
  </r>
  <r>
    <s v="Sampath Bank LT"/>
    <s v="LTL"/>
    <n v="20833000"/>
    <n v="8.0699999999999994E-2"/>
    <d v="2027-03-26T00:00:00"/>
    <n v="572"/>
    <x v="5"/>
  </r>
  <r>
    <s v="Sampath Bank LT"/>
    <s v="LTL"/>
    <n v="20833000"/>
    <n v="8.0699999999999994E-2"/>
    <d v="2027-03-26T00:00:00"/>
    <n v="572"/>
    <x v="5"/>
  </r>
  <r>
    <s v="HNB LT 2"/>
    <s v="LTL"/>
    <n v="20833333.333333328"/>
    <n v="0.1075"/>
    <d v="2027-03-27T00:00:00"/>
    <n v="573"/>
    <x v="5"/>
  </r>
  <r>
    <s v="HNB LT 2"/>
    <s v="LTL"/>
    <n v="20833333.333333328"/>
    <n v="0.1075"/>
    <d v="2027-03-27T00:00:00"/>
    <n v="573"/>
    <x v="5"/>
  </r>
  <r>
    <s v="HNB LT 2"/>
    <s v="LTL"/>
    <n v="10416666.66666667"/>
    <n v="0.1075"/>
    <d v="2027-03-27T00:00:00"/>
    <n v="573"/>
    <x v="5"/>
  </r>
  <r>
    <s v="HNB LT 2"/>
    <s v="LTL"/>
    <n v="10416666.66666667"/>
    <n v="0.1075"/>
    <d v="2027-03-27T00:00:00"/>
    <n v="573"/>
    <x v="5"/>
  </r>
  <r>
    <s v="PABC"/>
    <s v="LTL"/>
    <n v="13888000"/>
    <n v="8.2199999999999995E-2"/>
    <d v="2027-03-28T00:00:00"/>
    <n v="574"/>
    <x v="5"/>
  </r>
  <r>
    <s v="NTB LT 3"/>
    <s v="LTL"/>
    <n v="16666666.470000001"/>
    <n v="8.0199999999999994E-2"/>
    <d v="2027-03-29T00:00:00"/>
    <n v="575"/>
    <x v="5"/>
  </r>
  <r>
    <s v="NTB LT 1"/>
    <s v="LTL"/>
    <n v="196593750"/>
    <n v="8.8700000000000001E-2"/>
    <d v="2027-03-30T00:00:00"/>
    <n v="576"/>
    <x v="5"/>
  </r>
  <r>
    <s v="Seylan LT 4"/>
    <s v="LTL"/>
    <n v="145833333.34"/>
    <n v="0.11"/>
    <d v="2027-03-30T00:00:00"/>
    <n v="576"/>
    <x v="5"/>
  </r>
  <r>
    <s v="NDB LT"/>
    <s v="LTL"/>
    <n v="8250000"/>
    <n v="0.12"/>
    <d v="2027-03-31T00:00:00"/>
    <n v="577"/>
    <x v="5"/>
  </r>
  <r>
    <s v="NDB LT"/>
    <s v="LTL"/>
    <n v="8250000"/>
    <n v="0.12"/>
    <d v="2027-03-31T00:00:00"/>
    <n v="577"/>
    <x v="5"/>
  </r>
  <r>
    <s v="NDB LT"/>
    <s v="LTL"/>
    <n v="8250000"/>
    <n v="0.12"/>
    <d v="2027-03-31T00:00:00"/>
    <n v="577"/>
    <x v="5"/>
  </r>
  <r>
    <s v="NDB LT"/>
    <s v="LTL"/>
    <n v="8250000"/>
    <n v="0.12"/>
    <d v="2027-03-31T00:00:00"/>
    <n v="577"/>
    <x v="5"/>
  </r>
  <r>
    <s v="NTB LT 3"/>
    <s v="LTL"/>
    <n v="16666666.67"/>
    <n v="8.0199999999999994E-2"/>
    <d v="2027-04-15T00:00:00"/>
    <n v="592"/>
    <x v="5"/>
  </r>
  <r>
    <s v="NTB LT 2"/>
    <s v="LTL"/>
    <n v="25000000"/>
    <n v="8.0199999999999994E-2"/>
    <d v="2027-04-18T00:00:00"/>
    <n v="595"/>
    <x v="5"/>
  </r>
  <r>
    <s v="Cargills LT"/>
    <s v="LTL"/>
    <n v="16732070.15"/>
    <n v="0.12"/>
    <d v="2027-04-19T00:00:00"/>
    <n v="596"/>
    <x v="5"/>
  </r>
  <r>
    <s v="Commercial Bank LT 3"/>
    <s v="LTL"/>
    <n v="20800000"/>
    <n v="0.1075"/>
    <d v="2027-04-22T00:00:00"/>
    <n v="599"/>
    <x v="5"/>
  </r>
  <r>
    <s v="HNB LT"/>
    <s v="LTL"/>
    <n v="50000000"/>
    <n v="0.12"/>
    <d v="2027-04-23T00:00:00"/>
    <n v="600"/>
    <x v="5"/>
  </r>
  <r>
    <s v="HNB LT"/>
    <s v="LTL"/>
    <n v="50000000"/>
    <n v="0.12"/>
    <d v="2027-04-23T00:00:00"/>
    <n v="600"/>
    <x v="5"/>
  </r>
  <r>
    <s v="HNB LT"/>
    <s v="LTL"/>
    <n v="50000000"/>
    <n v="0.12"/>
    <d v="2027-04-23T00:00:00"/>
    <n v="600"/>
    <x v="5"/>
  </r>
  <r>
    <s v="Commercial Bank LT 3"/>
    <s v="LTL"/>
    <n v="20800000"/>
    <n v="0.1075"/>
    <d v="2027-04-24T00:00:00"/>
    <n v="601"/>
    <x v="5"/>
  </r>
  <r>
    <s v="Commercial Bank LT 2"/>
    <s v="LTL"/>
    <n v="16650000"/>
    <n v="0.09"/>
    <d v="2027-04-25T00:00:00"/>
    <n v="602"/>
    <x v="5"/>
  </r>
  <r>
    <s v="Commercial Bank LT 2"/>
    <s v="LTL"/>
    <n v="16650000"/>
    <n v="0.09"/>
    <d v="2027-04-26T00:00:00"/>
    <n v="603"/>
    <x v="5"/>
  </r>
  <r>
    <s v="Sampath Bank LT"/>
    <s v="LTL"/>
    <n v="20833000"/>
    <n v="8.0699999999999994E-2"/>
    <d v="2027-04-26T00:00:00"/>
    <n v="603"/>
    <x v="5"/>
  </r>
  <r>
    <s v="Sampath Bank LT"/>
    <s v="LTL"/>
    <n v="20833000"/>
    <n v="8.0699999999999994E-2"/>
    <d v="2027-04-26T00:00:00"/>
    <n v="603"/>
    <x v="5"/>
  </r>
  <r>
    <s v="Sampath Bank LT"/>
    <s v="LTL"/>
    <n v="20833000"/>
    <n v="8.0699999999999994E-2"/>
    <d v="2027-04-26T00:00:00"/>
    <n v="603"/>
    <x v="5"/>
  </r>
  <r>
    <s v="HNB LT 2"/>
    <s v="LTL"/>
    <n v="20833333.333333328"/>
    <n v="0.1075"/>
    <d v="2027-04-27T00:00:00"/>
    <n v="604"/>
    <x v="5"/>
  </r>
  <r>
    <s v="HNB LT 2"/>
    <s v="LTL"/>
    <n v="20833333.333333328"/>
    <n v="0.1075"/>
    <d v="2027-04-27T00:00:00"/>
    <n v="604"/>
    <x v="5"/>
  </r>
  <r>
    <s v="HNB LT 2"/>
    <s v="LTL"/>
    <n v="10416666.66666667"/>
    <n v="0.1075"/>
    <d v="2027-04-27T00:00:00"/>
    <n v="604"/>
    <x v="5"/>
  </r>
  <r>
    <s v="HNB LT 2"/>
    <s v="LTL"/>
    <n v="10416666.66666667"/>
    <n v="0.1075"/>
    <d v="2027-04-27T00:00:00"/>
    <n v="604"/>
    <x v="5"/>
  </r>
  <r>
    <s v="PABC"/>
    <s v="LTL"/>
    <n v="13888000"/>
    <n v="8.2199999999999995E-2"/>
    <d v="2027-04-28T00:00:00"/>
    <n v="605"/>
    <x v="5"/>
  </r>
  <r>
    <s v="NTB LT 3"/>
    <s v="LTL"/>
    <n v="16666666.470000001"/>
    <n v="8.0199999999999994E-2"/>
    <d v="2027-04-29T00:00:00"/>
    <n v="606"/>
    <x v="5"/>
  </r>
  <r>
    <s v="NDB LT"/>
    <s v="LTL"/>
    <n v="8250000"/>
    <n v="0.12"/>
    <d v="2027-04-30T00:00:00"/>
    <n v="607"/>
    <x v="5"/>
  </r>
  <r>
    <s v="NDB LT"/>
    <s v="LTL"/>
    <n v="8250000"/>
    <n v="0.12"/>
    <d v="2027-04-30T00:00:00"/>
    <n v="607"/>
    <x v="5"/>
  </r>
  <r>
    <s v="NDB LT"/>
    <s v="LTL"/>
    <n v="8250000"/>
    <n v="0.12"/>
    <d v="2027-04-30T00:00:00"/>
    <n v="607"/>
    <x v="5"/>
  </r>
  <r>
    <s v="NDB LT"/>
    <s v="LTL"/>
    <n v="8250000"/>
    <n v="0.12"/>
    <d v="2027-04-30T00:00:00"/>
    <n v="607"/>
    <x v="5"/>
  </r>
  <r>
    <s v="NTB LT 3"/>
    <s v="LTL"/>
    <n v="16666666.67"/>
    <n v="8.0199999999999994E-2"/>
    <d v="2027-05-15T00:00:00"/>
    <n v="622"/>
    <x v="5"/>
  </r>
  <r>
    <s v="NTB LT 2"/>
    <s v="LTL"/>
    <n v="25000000"/>
    <n v="8.0199999999999994E-2"/>
    <d v="2027-05-18T00:00:00"/>
    <n v="625"/>
    <x v="5"/>
  </r>
  <r>
    <s v="Cargills LT"/>
    <s v="LTL"/>
    <n v="17074917.579999998"/>
    <n v="0.12"/>
    <d v="2027-05-19T00:00:00"/>
    <n v="626"/>
    <x v="5"/>
  </r>
  <r>
    <s v="Seylan LT 5"/>
    <s v="LTL"/>
    <n v="50000000"/>
    <n v="9.8500000000000004E-2"/>
    <d v="2027-05-21T00:00:00"/>
    <n v="628"/>
    <x v="5"/>
  </r>
  <r>
    <s v="Commercial Bank LT 3"/>
    <s v="LTL"/>
    <n v="20800000"/>
    <n v="0.1075"/>
    <d v="2027-05-22T00:00:00"/>
    <n v="629"/>
    <x v="5"/>
  </r>
  <r>
    <s v="Commercial Bank LT 3"/>
    <s v="LTL"/>
    <n v="20800000"/>
    <n v="0.1075"/>
    <d v="2027-05-24T00:00:00"/>
    <n v="631"/>
    <x v="5"/>
  </r>
  <r>
    <s v="Commercial Bank LT 2"/>
    <s v="LTL"/>
    <n v="16650000"/>
    <n v="0.09"/>
    <d v="2027-05-25T00:00:00"/>
    <n v="632"/>
    <x v="5"/>
  </r>
  <r>
    <s v="Commercial Bank LT 2"/>
    <s v="LTL"/>
    <n v="16650000"/>
    <n v="0.09"/>
    <d v="2027-05-26T00:00:00"/>
    <n v="633"/>
    <x v="5"/>
  </r>
  <r>
    <s v="Sampath Bank LT"/>
    <s v="LTL"/>
    <n v="20833000"/>
    <n v="8.0699999999999994E-2"/>
    <d v="2027-05-26T00:00:00"/>
    <n v="633"/>
    <x v="5"/>
  </r>
  <r>
    <s v="Sampath Bank LT"/>
    <s v="LTL"/>
    <n v="20833000"/>
    <n v="8.0699999999999994E-2"/>
    <d v="2027-05-26T00:00:00"/>
    <n v="633"/>
    <x v="5"/>
  </r>
  <r>
    <s v="Sampath Bank LT"/>
    <s v="LTL"/>
    <n v="20833000"/>
    <n v="8.0699999999999994E-2"/>
    <d v="2027-05-26T00:00:00"/>
    <n v="633"/>
    <x v="5"/>
  </r>
  <r>
    <s v="HNB LT 2"/>
    <s v="LTL"/>
    <n v="20833333.333333328"/>
    <n v="0.1075"/>
    <d v="2027-05-27T00:00:00"/>
    <n v="634"/>
    <x v="5"/>
  </r>
  <r>
    <s v="HNB LT 2"/>
    <s v="LTL"/>
    <n v="20833333.333333328"/>
    <n v="0.1075"/>
    <d v="2027-05-27T00:00:00"/>
    <n v="634"/>
    <x v="5"/>
  </r>
  <r>
    <s v="HNB LT 2"/>
    <s v="LTL"/>
    <n v="10416666.66666667"/>
    <n v="0.1075"/>
    <d v="2027-05-27T00:00:00"/>
    <n v="634"/>
    <x v="5"/>
  </r>
  <r>
    <s v="HNB LT 2"/>
    <s v="LTL"/>
    <n v="10416666.66666667"/>
    <n v="0.1075"/>
    <d v="2027-05-27T00:00:00"/>
    <n v="634"/>
    <x v="5"/>
  </r>
  <r>
    <s v="PABC"/>
    <s v="LTL"/>
    <n v="13888000"/>
    <n v="8.2199999999999995E-2"/>
    <d v="2027-05-28T00:00:00"/>
    <n v="635"/>
    <x v="5"/>
  </r>
  <r>
    <s v="Seylan LT 5"/>
    <s v="LTL"/>
    <n v="50000000"/>
    <n v="9.8500000000000004E-2"/>
    <d v="2027-05-28T00:00:00"/>
    <n v="635"/>
    <x v="5"/>
  </r>
  <r>
    <s v="NTB LT 3"/>
    <s v="LTL"/>
    <n v="16666666.470000001"/>
    <n v="8.0199999999999994E-2"/>
    <d v="2027-05-29T00:00:00"/>
    <n v="636"/>
    <x v="5"/>
  </r>
  <r>
    <s v="NDB LT"/>
    <s v="LTL"/>
    <n v="8250000"/>
    <n v="0.12"/>
    <d v="2027-05-31T00:00:00"/>
    <n v="638"/>
    <x v="5"/>
  </r>
  <r>
    <s v="NDB LT"/>
    <s v="LTL"/>
    <n v="8250000"/>
    <n v="0.12"/>
    <d v="2027-05-31T00:00:00"/>
    <n v="638"/>
    <x v="5"/>
  </r>
  <r>
    <s v="NDB LT"/>
    <s v="LTL"/>
    <n v="8250000"/>
    <n v="0.12"/>
    <d v="2027-05-31T00:00:00"/>
    <n v="638"/>
    <x v="5"/>
  </r>
  <r>
    <s v="NDB LT"/>
    <s v="LTL"/>
    <n v="8250000"/>
    <n v="0.12"/>
    <d v="2027-05-31T00:00:00"/>
    <n v="638"/>
    <x v="5"/>
  </r>
  <r>
    <s v="Seylan LT 3"/>
    <s v="LTL"/>
    <n v="50000000"/>
    <n v="0.12"/>
    <d v="2027-06-13T00:00:00"/>
    <n v="651"/>
    <x v="5"/>
  </r>
  <r>
    <s v="Seylan LT 3"/>
    <s v="LTL"/>
    <n v="25000000"/>
    <n v="0.12"/>
    <d v="2027-06-14T00:00:00"/>
    <n v="652"/>
    <x v="5"/>
  </r>
  <r>
    <s v="NTB LT 3"/>
    <s v="LTL"/>
    <n v="16666666.67"/>
    <n v="8.0199999999999994E-2"/>
    <d v="2027-06-15T00:00:00"/>
    <n v="653"/>
    <x v="5"/>
  </r>
  <r>
    <s v="NTB LT 2"/>
    <s v="LTL"/>
    <n v="25000000"/>
    <n v="8.0199999999999994E-2"/>
    <d v="2027-06-18T00:00:00"/>
    <n v="656"/>
    <x v="5"/>
  </r>
  <r>
    <s v="Cargills LT"/>
    <s v="LTL"/>
    <n v="17076623.68"/>
    <n v="0.12"/>
    <d v="2027-06-19T00:00:00"/>
    <n v="657"/>
    <x v="5"/>
  </r>
  <r>
    <s v="Commercial Bank LT 3"/>
    <s v="LTL"/>
    <n v="20800000"/>
    <n v="0.1075"/>
    <d v="2027-06-22T00:00:00"/>
    <n v="660"/>
    <x v="5"/>
  </r>
  <r>
    <s v="Commercial Bank LT 3"/>
    <s v="LTL"/>
    <n v="20800000"/>
    <n v="0.1075"/>
    <d v="2027-06-24T00:00:00"/>
    <n v="662"/>
    <x v="5"/>
  </r>
  <r>
    <s v="Commercial Bank LT 2"/>
    <s v="LTL"/>
    <n v="16650000"/>
    <n v="0.09"/>
    <d v="2027-06-25T00:00:00"/>
    <n v="663"/>
    <x v="5"/>
  </r>
  <r>
    <s v="Commercial Bank LT 2"/>
    <s v="LTL"/>
    <n v="16650000"/>
    <n v="0.09"/>
    <d v="2027-06-26T00:00:00"/>
    <n v="664"/>
    <x v="5"/>
  </r>
  <r>
    <s v="Sampath Bank LT"/>
    <s v="LTL"/>
    <n v="20833000"/>
    <n v="8.0699999999999994E-2"/>
    <d v="2027-06-26T00:00:00"/>
    <n v="664"/>
    <x v="5"/>
  </r>
  <r>
    <s v="Sampath Bank LT"/>
    <s v="LTL"/>
    <n v="20833000"/>
    <n v="8.0699999999999994E-2"/>
    <d v="2027-06-26T00:00:00"/>
    <n v="664"/>
    <x v="5"/>
  </r>
  <r>
    <s v="Sampath Bank LT"/>
    <s v="LTL"/>
    <n v="20833000"/>
    <n v="8.0699999999999994E-2"/>
    <d v="2027-06-26T00:00:00"/>
    <n v="664"/>
    <x v="5"/>
  </r>
  <r>
    <s v="HNB LT 2"/>
    <s v="LTL"/>
    <n v="20833333.333333328"/>
    <n v="0.1075"/>
    <d v="2027-06-27T00:00:00"/>
    <n v="665"/>
    <x v="5"/>
  </r>
  <r>
    <s v="HNB LT 2"/>
    <s v="LTL"/>
    <n v="20833333.333333328"/>
    <n v="0.1075"/>
    <d v="2027-06-27T00:00:00"/>
    <n v="665"/>
    <x v="5"/>
  </r>
  <r>
    <s v="HNB LT 2"/>
    <s v="LTL"/>
    <n v="10416666.66666667"/>
    <n v="0.1075"/>
    <d v="2027-06-27T00:00:00"/>
    <n v="665"/>
    <x v="5"/>
  </r>
  <r>
    <s v="HNB LT 2"/>
    <s v="LTL"/>
    <n v="10416666.66666667"/>
    <n v="0.1075"/>
    <d v="2027-06-27T00:00:00"/>
    <n v="665"/>
    <x v="5"/>
  </r>
  <r>
    <s v="PABC"/>
    <s v="LTL"/>
    <n v="13888000"/>
    <n v="8.2199999999999995E-2"/>
    <d v="2027-06-28T00:00:00"/>
    <n v="666"/>
    <x v="5"/>
  </r>
  <r>
    <s v="NTB LT 3"/>
    <s v="LTL"/>
    <n v="16666666.470000001"/>
    <n v="8.0199999999999994E-2"/>
    <d v="2027-06-29T00:00:00"/>
    <n v="667"/>
    <x v="5"/>
  </r>
  <r>
    <s v="NDB LT"/>
    <s v="LTL"/>
    <n v="8250000"/>
    <n v="0.12"/>
    <d v="2027-06-30T00:00:00"/>
    <n v="668"/>
    <x v="5"/>
  </r>
  <r>
    <s v="NDB LT"/>
    <s v="LTL"/>
    <n v="8250000"/>
    <n v="0.12"/>
    <d v="2027-06-30T00:00:00"/>
    <n v="668"/>
    <x v="5"/>
  </r>
  <r>
    <s v="NDB LT"/>
    <s v="LTL"/>
    <n v="8250000"/>
    <n v="0.12"/>
    <d v="2027-06-30T00:00:00"/>
    <n v="668"/>
    <x v="5"/>
  </r>
  <r>
    <s v="NDB LT"/>
    <s v="LTL"/>
    <n v="8250000"/>
    <n v="0.12"/>
    <d v="2027-06-30T00:00:00"/>
    <n v="668"/>
    <x v="5"/>
  </r>
  <r>
    <s v="Seylan LT 4"/>
    <s v="LTL"/>
    <n v="145833333.34"/>
    <n v="0.11"/>
    <d v="2027-06-30T00:00:00"/>
    <n v="668"/>
    <x v="5"/>
  </r>
  <r>
    <s v="NTB LT 3"/>
    <s v="LTL"/>
    <n v="16666666.67"/>
    <n v="8.0199999999999994E-2"/>
    <d v="2027-07-15T00:00:00"/>
    <n v="683"/>
    <x v="5"/>
  </r>
  <r>
    <s v="NTB LT 2"/>
    <s v="LTL"/>
    <n v="25000000"/>
    <n v="8.0199999999999994E-2"/>
    <d v="2027-07-18T00:00:00"/>
    <n v="686"/>
    <x v="5"/>
  </r>
  <r>
    <s v="Cargills LT"/>
    <s v="LTL"/>
    <n v="17411754.579999998"/>
    <n v="0.12"/>
    <d v="2027-07-19T00:00:00"/>
    <n v="687"/>
    <x v="5"/>
  </r>
  <r>
    <s v="Commercial Bank LT 3"/>
    <s v="LTL"/>
    <n v="20800000"/>
    <n v="0.1075"/>
    <d v="2027-07-22T00:00:00"/>
    <n v="690"/>
    <x v="5"/>
  </r>
  <r>
    <s v="HNB LT"/>
    <s v="LTL"/>
    <n v="50000000"/>
    <n v="0.12"/>
    <d v="2027-07-23T00:00:00"/>
    <n v="691"/>
    <x v="5"/>
  </r>
  <r>
    <s v="HNB LT"/>
    <s v="LTL"/>
    <n v="50000000"/>
    <n v="0.12"/>
    <d v="2027-07-23T00:00:00"/>
    <n v="691"/>
    <x v="5"/>
  </r>
  <r>
    <s v="HNB LT"/>
    <s v="LTL"/>
    <n v="50000000"/>
    <n v="0.12"/>
    <d v="2027-07-23T00:00:00"/>
    <n v="691"/>
    <x v="5"/>
  </r>
  <r>
    <s v="Commercial Bank LT 3"/>
    <s v="LTL"/>
    <n v="20800000"/>
    <n v="0.1075"/>
    <d v="2027-07-24T00:00:00"/>
    <n v="692"/>
    <x v="5"/>
  </r>
  <r>
    <s v="Commercial Bank LT 2"/>
    <s v="LTL"/>
    <n v="16650000"/>
    <n v="0.09"/>
    <d v="2027-07-25T00:00:00"/>
    <n v="693"/>
    <x v="5"/>
  </r>
  <r>
    <s v="Commercial Bank LT 2"/>
    <s v="LTL"/>
    <n v="16650000"/>
    <n v="0.09"/>
    <d v="2027-07-26T00:00:00"/>
    <n v="694"/>
    <x v="5"/>
  </r>
  <r>
    <s v="Sampath Bank LT"/>
    <s v="LTL"/>
    <n v="20833000"/>
    <n v="8.0699999999999994E-2"/>
    <d v="2027-07-26T00:00:00"/>
    <n v="694"/>
    <x v="5"/>
  </r>
  <r>
    <s v="Sampath Bank LT"/>
    <s v="LTL"/>
    <n v="20833000"/>
    <n v="8.0699999999999994E-2"/>
    <d v="2027-07-26T00:00:00"/>
    <n v="694"/>
    <x v="5"/>
  </r>
  <r>
    <s v="Sampath Bank LT"/>
    <s v="LTL"/>
    <n v="20833000"/>
    <n v="8.0699999999999994E-2"/>
    <d v="2027-07-26T00:00:00"/>
    <n v="694"/>
    <x v="5"/>
  </r>
  <r>
    <s v="HNB LT 2"/>
    <s v="LTL"/>
    <n v="20833333.333333328"/>
    <n v="0.1075"/>
    <d v="2027-07-27T00:00:00"/>
    <n v="695"/>
    <x v="5"/>
  </r>
  <r>
    <s v="HNB LT 2"/>
    <s v="LTL"/>
    <n v="20833333.333333328"/>
    <n v="0.1075"/>
    <d v="2027-07-27T00:00:00"/>
    <n v="695"/>
    <x v="5"/>
  </r>
  <r>
    <s v="HNB LT 2"/>
    <s v="LTL"/>
    <n v="10416666.66666667"/>
    <n v="0.1075"/>
    <d v="2027-07-27T00:00:00"/>
    <n v="695"/>
    <x v="5"/>
  </r>
  <r>
    <s v="HNB LT 2"/>
    <s v="LTL"/>
    <n v="10416666.66666667"/>
    <n v="0.1075"/>
    <d v="2027-07-27T00:00:00"/>
    <n v="695"/>
    <x v="5"/>
  </r>
  <r>
    <s v="PABC"/>
    <s v="LTL"/>
    <n v="13888000"/>
    <n v="8.2199999999999995E-2"/>
    <d v="2027-07-28T00:00:00"/>
    <n v="696"/>
    <x v="5"/>
  </r>
  <r>
    <s v="NTB LT 3"/>
    <s v="LTL"/>
    <n v="16666666.470000001"/>
    <n v="8.0199999999999994E-2"/>
    <d v="2027-07-29T00:00:00"/>
    <n v="697"/>
    <x v="5"/>
  </r>
  <r>
    <s v="NDB LT"/>
    <s v="LTL"/>
    <n v="8250000"/>
    <n v="0.12"/>
    <d v="2027-07-31T00:00:00"/>
    <n v="699"/>
    <x v="5"/>
  </r>
  <r>
    <s v="NDB LT"/>
    <s v="LTL"/>
    <n v="8250000"/>
    <n v="0.12"/>
    <d v="2027-07-31T00:00:00"/>
    <n v="699"/>
    <x v="5"/>
  </r>
  <r>
    <s v="NDB LT"/>
    <s v="LTL"/>
    <n v="8250000"/>
    <n v="0.12"/>
    <d v="2027-07-31T00:00:00"/>
    <n v="699"/>
    <x v="5"/>
  </r>
  <r>
    <s v="NDB LT"/>
    <s v="LTL"/>
    <n v="8250000"/>
    <n v="0.12"/>
    <d v="2027-07-31T00:00:00"/>
    <n v="699"/>
    <x v="5"/>
  </r>
  <r>
    <s v="NTB LT 3"/>
    <s v="LTL"/>
    <n v="16666666.67"/>
    <n v="8.0199999999999994E-2"/>
    <d v="2027-08-15T00:00:00"/>
    <n v="714"/>
    <x v="5"/>
  </r>
  <r>
    <s v="NTB LT 2"/>
    <s v="LTL"/>
    <n v="25000000"/>
    <n v="8.0199999999999994E-2"/>
    <d v="2027-08-18T00:00:00"/>
    <n v="717"/>
    <x v="5"/>
  </r>
  <r>
    <s v="Cargills LT"/>
    <s v="LTL"/>
    <n v="17428121.52"/>
    <n v="0.12"/>
    <d v="2027-08-19T00:00:00"/>
    <n v="718"/>
    <x v="5"/>
  </r>
  <r>
    <s v="Seylan LT 5"/>
    <s v="LTL"/>
    <n v="50000000"/>
    <n v="9.8500000000000004E-2"/>
    <d v="2027-08-21T00:00:00"/>
    <n v="720"/>
    <x v="5"/>
  </r>
  <r>
    <s v="Commercial Bank LT 3"/>
    <s v="LTL"/>
    <n v="20800000"/>
    <n v="0.1075"/>
    <d v="2027-08-22T00:00:00"/>
    <n v="721"/>
    <x v="5"/>
  </r>
  <r>
    <s v="Commercial Bank LT 3"/>
    <s v="LTL"/>
    <n v="20800000"/>
    <n v="0.1075"/>
    <d v="2027-08-24T00:00:00"/>
    <n v="723"/>
    <x v="5"/>
  </r>
  <r>
    <s v="Commercial Bank LT 2"/>
    <s v="LTL"/>
    <n v="16650000"/>
    <n v="0.09"/>
    <d v="2027-08-25T00:00:00"/>
    <n v="724"/>
    <x v="5"/>
  </r>
  <r>
    <s v="Commercial Bank LT 2"/>
    <s v="LTL"/>
    <n v="16650000"/>
    <n v="0.09"/>
    <d v="2027-08-26T00:00:00"/>
    <n v="725"/>
    <x v="5"/>
  </r>
  <r>
    <s v="Sampath Bank LT"/>
    <s v="LTL"/>
    <n v="20833000"/>
    <n v="8.0699999999999994E-2"/>
    <d v="2027-08-26T00:00:00"/>
    <n v="725"/>
    <x v="5"/>
  </r>
  <r>
    <s v="Sampath Bank LT"/>
    <s v="LTL"/>
    <n v="20833000"/>
    <n v="8.0699999999999994E-2"/>
    <d v="2027-08-26T00:00:00"/>
    <n v="725"/>
    <x v="5"/>
  </r>
  <r>
    <s v="Sampath Bank LT"/>
    <s v="LTL"/>
    <n v="20833000"/>
    <n v="8.0699999999999994E-2"/>
    <d v="2027-08-26T00:00:00"/>
    <n v="725"/>
    <x v="5"/>
  </r>
  <r>
    <s v="HNB LT 2"/>
    <s v="LTL"/>
    <n v="20833333.333333328"/>
    <n v="0.1075"/>
    <d v="2027-08-27T00:00:00"/>
    <n v="726"/>
    <x v="5"/>
  </r>
  <r>
    <s v="HNB LT 2"/>
    <s v="LTL"/>
    <n v="20833333.333333328"/>
    <n v="0.1075"/>
    <d v="2027-08-27T00:00:00"/>
    <n v="726"/>
    <x v="5"/>
  </r>
  <r>
    <s v="HNB LT 2"/>
    <s v="LTL"/>
    <n v="10416666.66666667"/>
    <n v="0.1075"/>
    <d v="2027-08-27T00:00:00"/>
    <n v="726"/>
    <x v="5"/>
  </r>
  <r>
    <s v="HNB LT 2"/>
    <s v="LTL"/>
    <n v="10416666.66666667"/>
    <n v="0.1075"/>
    <d v="2027-08-27T00:00:00"/>
    <n v="726"/>
    <x v="5"/>
  </r>
  <r>
    <s v="PABC"/>
    <s v="LTL"/>
    <n v="13888000"/>
    <n v="8.2199999999999995E-2"/>
    <d v="2027-08-28T00:00:00"/>
    <n v="727"/>
    <x v="5"/>
  </r>
  <r>
    <s v="Seylan LT 5"/>
    <s v="LTL"/>
    <n v="50000000"/>
    <n v="9.8500000000000004E-2"/>
    <d v="2027-08-28T00:00:00"/>
    <n v="727"/>
    <x v="5"/>
  </r>
  <r>
    <s v="NTB LT 3"/>
    <s v="LTL"/>
    <n v="16666666.470000001"/>
    <n v="8.0199999999999994E-2"/>
    <d v="2027-08-29T00:00:00"/>
    <n v="728"/>
    <x v="5"/>
  </r>
  <r>
    <s v="NDB LT"/>
    <s v="LTL"/>
    <n v="8250000"/>
    <n v="0.12"/>
    <d v="2027-08-31T00:00:00"/>
    <n v="730"/>
    <x v="5"/>
  </r>
  <r>
    <s v="NDB LT"/>
    <s v="LTL"/>
    <n v="8250000"/>
    <n v="0.12"/>
    <d v="2027-08-31T00:00:00"/>
    <n v="730"/>
    <x v="5"/>
  </r>
  <r>
    <s v="NDB LT"/>
    <s v="LTL"/>
    <n v="8250000"/>
    <n v="0.12"/>
    <d v="2027-08-31T00:00:00"/>
    <n v="730"/>
    <x v="5"/>
  </r>
  <r>
    <s v="NDB LT"/>
    <s v="LTL"/>
    <n v="8250000"/>
    <n v="0.12"/>
    <d v="2027-08-31T00:00:00"/>
    <n v="730"/>
    <x v="5"/>
  </r>
  <r>
    <s v="Seylan LT 3"/>
    <s v="LTL"/>
    <n v="50000000"/>
    <n v="0.12"/>
    <d v="2027-09-13T00:00:00"/>
    <n v="743"/>
    <x v="5"/>
  </r>
  <r>
    <s v="Seylan LT 3"/>
    <s v="LTL"/>
    <n v="25000000"/>
    <n v="0.12"/>
    <d v="2027-09-14T00:00:00"/>
    <n v="744"/>
    <x v="5"/>
  </r>
  <r>
    <s v="NTB LT 3"/>
    <s v="LTL"/>
    <n v="16666666.67"/>
    <n v="8.0199999999999994E-2"/>
    <d v="2027-09-15T00:00:00"/>
    <n v="745"/>
    <x v="5"/>
  </r>
  <r>
    <s v="NTB LT 2"/>
    <s v="LTL"/>
    <n v="25000000"/>
    <n v="8.0199999999999994E-2"/>
    <d v="2027-09-18T00:00:00"/>
    <n v="748"/>
    <x v="5"/>
  </r>
  <r>
    <s v="Cargills LT"/>
    <s v="LTL"/>
    <n v="17605745.32"/>
    <n v="0.12"/>
    <d v="2027-09-19T00:00:00"/>
    <n v="749"/>
    <x v="5"/>
  </r>
  <r>
    <s v="Commercial Bank LT 3"/>
    <s v="LTL"/>
    <n v="20800000"/>
    <n v="0.1075"/>
    <d v="2027-09-22T00:00:00"/>
    <n v="752"/>
    <x v="5"/>
  </r>
  <r>
    <s v="Commercial Bank LT 3"/>
    <s v="LTL"/>
    <n v="20800000"/>
    <n v="0.1075"/>
    <d v="2027-09-24T00:00:00"/>
    <n v="754"/>
    <x v="5"/>
  </r>
  <r>
    <s v="Commercial Bank LT 2"/>
    <s v="LTL"/>
    <n v="16650000"/>
    <n v="0.09"/>
    <d v="2027-09-25T00:00:00"/>
    <n v="755"/>
    <x v="5"/>
  </r>
  <r>
    <s v="Commercial Bank LT 2"/>
    <s v="LTL"/>
    <n v="16650000"/>
    <n v="0.09"/>
    <d v="2027-09-26T00:00:00"/>
    <n v="756"/>
    <x v="5"/>
  </r>
  <r>
    <s v="Sampath Bank LT"/>
    <s v="LTL"/>
    <n v="20833000"/>
    <n v="8.0699999999999994E-2"/>
    <d v="2027-09-26T00:00:00"/>
    <n v="756"/>
    <x v="5"/>
  </r>
  <r>
    <s v="Sampath Bank LT"/>
    <s v="LTL"/>
    <n v="20833000"/>
    <n v="8.0699999999999994E-2"/>
    <d v="2027-09-26T00:00:00"/>
    <n v="756"/>
    <x v="5"/>
  </r>
  <r>
    <s v="Sampath Bank LT"/>
    <s v="LTL"/>
    <n v="20833000"/>
    <n v="8.0699999999999994E-2"/>
    <d v="2027-09-26T00:00:00"/>
    <n v="756"/>
    <x v="5"/>
  </r>
  <r>
    <s v="HNB LT 2"/>
    <s v="LTL"/>
    <n v="20833333.333333328"/>
    <n v="0.1075"/>
    <d v="2027-09-27T00:00:00"/>
    <n v="757"/>
    <x v="5"/>
  </r>
  <r>
    <s v="HNB LT 2"/>
    <s v="LTL"/>
    <n v="20833333.333333328"/>
    <n v="0.1075"/>
    <d v="2027-09-27T00:00:00"/>
    <n v="757"/>
    <x v="5"/>
  </r>
  <r>
    <s v="HNB LT 2"/>
    <s v="LTL"/>
    <n v="10416666.66666667"/>
    <n v="0.1075"/>
    <d v="2027-09-27T00:00:00"/>
    <n v="757"/>
    <x v="5"/>
  </r>
  <r>
    <s v="HNB LT 2"/>
    <s v="LTL"/>
    <n v="10416666.66666667"/>
    <n v="0.1075"/>
    <d v="2027-09-27T00:00:00"/>
    <n v="757"/>
    <x v="5"/>
  </r>
  <r>
    <s v="PABC"/>
    <s v="LTL"/>
    <n v="13888000"/>
    <n v="8.2199999999999995E-2"/>
    <d v="2027-09-28T00:00:00"/>
    <n v="758"/>
    <x v="5"/>
  </r>
  <r>
    <s v="NTB LT 3"/>
    <s v="LTL"/>
    <n v="16666666.470000001"/>
    <n v="8.0199999999999994E-2"/>
    <d v="2027-09-29T00:00:00"/>
    <n v="759"/>
    <x v="5"/>
  </r>
  <r>
    <s v="Blue Orchard"/>
    <s v="LTL"/>
    <n v="907339500"/>
    <n v="9.7199999999999995E-2"/>
    <d v="2027-09-30T00:00:00"/>
    <n v="760"/>
    <x v="5"/>
  </r>
  <r>
    <s v="NDB LT"/>
    <s v="LTL"/>
    <n v="8250000"/>
    <n v="0.12"/>
    <d v="2027-09-30T00:00:00"/>
    <n v="760"/>
    <x v="5"/>
  </r>
  <r>
    <s v="NDB LT"/>
    <s v="LTL"/>
    <n v="8250000"/>
    <n v="0.12"/>
    <d v="2027-09-30T00:00:00"/>
    <n v="760"/>
    <x v="5"/>
  </r>
  <r>
    <s v="NDB LT"/>
    <s v="LTL"/>
    <n v="8250000"/>
    <n v="0.12"/>
    <d v="2027-09-30T00:00:00"/>
    <n v="760"/>
    <x v="5"/>
  </r>
  <r>
    <s v="NDB LT"/>
    <s v="LTL"/>
    <n v="8250000"/>
    <n v="0.12"/>
    <d v="2027-09-30T00:00:00"/>
    <n v="760"/>
    <x v="5"/>
  </r>
  <r>
    <s v="NTB LT 1"/>
    <s v="LTL"/>
    <n v="385323750"/>
    <n v="0.1145"/>
    <d v="2027-09-30T00:00:00"/>
    <n v="760"/>
    <x v="5"/>
  </r>
  <r>
    <s v="Seylan LT 4"/>
    <s v="LTL"/>
    <n v="145833333.34"/>
    <n v="0.11"/>
    <d v="2027-09-30T00:00:00"/>
    <n v="760"/>
    <x v="5"/>
  </r>
  <r>
    <s v="NTB LT 3"/>
    <s v="LTL"/>
    <n v="16666666.67"/>
    <n v="8.0199999999999994E-2"/>
    <d v="2027-10-15T00:00:00"/>
    <n v="775"/>
    <x v="5"/>
  </r>
  <r>
    <s v="NTB LT 2"/>
    <s v="LTL"/>
    <n v="25000000"/>
    <n v="8.0199999999999994E-2"/>
    <d v="2027-10-18T00:00:00"/>
    <n v="778"/>
    <x v="5"/>
  </r>
  <r>
    <s v="Cargills LT"/>
    <s v="LTL"/>
    <n v="17929026.579999998"/>
    <n v="0.12"/>
    <d v="2027-10-19T00:00:00"/>
    <n v="779"/>
    <x v="5"/>
  </r>
  <r>
    <s v="Commercial Bank LT 3"/>
    <s v="LTL"/>
    <n v="20800000"/>
    <n v="0.1075"/>
    <d v="2027-10-22T00:00:00"/>
    <n v="782"/>
    <x v="5"/>
  </r>
  <r>
    <s v="HNB LT"/>
    <s v="LTL"/>
    <n v="50000000"/>
    <n v="0.12"/>
    <d v="2027-10-23T00:00:00"/>
    <n v="783"/>
    <x v="5"/>
  </r>
  <r>
    <s v="HNB LT"/>
    <s v="LTL"/>
    <n v="50000000"/>
    <n v="0.12"/>
    <d v="2027-10-23T00:00:00"/>
    <n v="783"/>
    <x v="5"/>
  </r>
  <r>
    <s v="HNB LT"/>
    <s v="LTL"/>
    <n v="50000000"/>
    <n v="0.12"/>
    <d v="2027-10-23T00:00:00"/>
    <n v="783"/>
    <x v="5"/>
  </r>
  <r>
    <s v="Commercial Bank LT 3"/>
    <s v="LTL"/>
    <n v="20800000"/>
    <n v="0.1075"/>
    <d v="2027-10-24T00:00:00"/>
    <n v="784"/>
    <x v="5"/>
  </r>
  <r>
    <s v="Commercial Bank LT 2"/>
    <s v="LTL"/>
    <n v="16650000"/>
    <n v="0.09"/>
    <d v="2027-10-25T00:00:00"/>
    <n v="785"/>
    <x v="5"/>
  </r>
  <r>
    <s v="Commercial Bank LT 2"/>
    <s v="LTL"/>
    <n v="16650000"/>
    <n v="0.09"/>
    <d v="2027-10-26T00:00:00"/>
    <n v="786"/>
    <x v="5"/>
  </r>
  <r>
    <s v="Sampath Bank LT"/>
    <s v="LTL"/>
    <n v="20833000"/>
    <n v="8.0699999999999994E-2"/>
    <d v="2027-10-26T00:00:00"/>
    <n v="786"/>
    <x v="5"/>
  </r>
  <r>
    <s v="Sampath Bank LT"/>
    <s v="LTL"/>
    <n v="20833000"/>
    <n v="8.0699999999999994E-2"/>
    <d v="2027-10-26T00:00:00"/>
    <n v="786"/>
    <x v="5"/>
  </r>
  <r>
    <s v="Sampath Bank LT"/>
    <s v="LTL"/>
    <n v="20833000"/>
    <n v="8.0699999999999994E-2"/>
    <d v="2027-10-26T00:00:00"/>
    <n v="786"/>
    <x v="5"/>
  </r>
  <r>
    <s v="HNB LT 2"/>
    <s v="LTL"/>
    <n v="20833333.333333328"/>
    <n v="0.1075"/>
    <d v="2027-10-27T00:00:00"/>
    <n v="787"/>
    <x v="5"/>
  </r>
  <r>
    <s v="HNB LT 2"/>
    <s v="LTL"/>
    <n v="20833333.333333328"/>
    <n v="0.1075"/>
    <d v="2027-10-27T00:00:00"/>
    <n v="787"/>
    <x v="5"/>
  </r>
  <r>
    <s v="HNB LT 2"/>
    <s v="LTL"/>
    <n v="10416666.66666667"/>
    <n v="0.1075"/>
    <d v="2027-10-27T00:00:00"/>
    <n v="787"/>
    <x v="5"/>
  </r>
  <r>
    <s v="HNB LT 2"/>
    <s v="LTL"/>
    <n v="10416666.66666667"/>
    <n v="0.1075"/>
    <d v="2027-10-27T00:00:00"/>
    <n v="787"/>
    <x v="5"/>
  </r>
  <r>
    <s v="PABC"/>
    <s v="LTL"/>
    <n v="13888000"/>
    <n v="8.2199999999999995E-2"/>
    <d v="2027-10-28T00:00:00"/>
    <n v="788"/>
    <x v="5"/>
  </r>
  <r>
    <s v="NTB LT 3"/>
    <s v="LTL"/>
    <n v="16666666.470000001"/>
    <n v="8.0199999999999994E-2"/>
    <d v="2027-10-29T00:00:00"/>
    <n v="789"/>
    <x v="5"/>
  </r>
  <r>
    <s v="NDB LT"/>
    <s v="LTL"/>
    <n v="8250000"/>
    <n v="0.12"/>
    <d v="2027-10-31T00:00:00"/>
    <n v="791"/>
    <x v="5"/>
  </r>
  <r>
    <s v="NDB LT"/>
    <s v="LTL"/>
    <n v="8250000"/>
    <n v="0.12"/>
    <d v="2027-10-31T00:00:00"/>
    <n v="791"/>
    <x v="5"/>
  </r>
  <r>
    <s v="NDB LT"/>
    <s v="LTL"/>
    <n v="8250000"/>
    <n v="0.12"/>
    <d v="2027-10-31T00:00:00"/>
    <n v="791"/>
    <x v="5"/>
  </r>
  <r>
    <s v="NDB LT"/>
    <s v="LTL"/>
    <n v="8250000"/>
    <n v="0.12"/>
    <d v="2027-10-31T00:00:00"/>
    <n v="791"/>
    <x v="5"/>
  </r>
  <r>
    <s v="NTB LT 3"/>
    <s v="LTL"/>
    <n v="16666666.67"/>
    <n v="8.0199999999999994E-2"/>
    <d v="2027-11-15T00:00:00"/>
    <n v="806"/>
    <x v="5"/>
  </r>
  <r>
    <s v="NTB LT 2"/>
    <s v="LTL"/>
    <n v="25000000"/>
    <n v="8.0199999999999994E-2"/>
    <d v="2027-11-18T00:00:00"/>
    <n v="809"/>
    <x v="5"/>
  </r>
  <r>
    <s v="Cargills LT"/>
    <s v="LTL"/>
    <n v="17967907.780000001"/>
    <n v="0.12"/>
    <d v="2027-11-19T00:00:00"/>
    <n v="810"/>
    <x v="5"/>
  </r>
  <r>
    <s v="Seylan LT 5"/>
    <s v="LTL"/>
    <n v="50000000"/>
    <n v="9.8500000000000004E-2"/>
    <d v="2027-11-21T00:00:00"/>
    <n v="812"/>
    <x v="5"/>
  </r>
  <r>
    <s v="Commercial Bank LT 3"/>
    <s v="LTL"/>
    <n v="20800000"/>
    <n v="0.1075"/>
    <d v="2027-11-22T00:00:00"/>
    <n v="813"/>
    <x v="5"/>
  </r>
  <r>
    <s v="Commercial Bank LT 3"/>
    <s v="LTL"/>
    <n v="20800000"/>
    <n v="0.1075"/>
    <d v="2027-11-24T00:00:00"/>
    <n v="815"/>
    <x v="5"/>
  </r>
  <r>
    <s v="Commercial Bank LT 2"/>
    <s v="LTL"/>
    <n v="16650000"/>
    <n v="0.09"/>
    <d v="2027-11-25T00:00:00"/>
    <n v="816"/>
    <x v="5"/>
  </r>
  <r>
    <s v="Commercial Bank LT 2"/>
    <s v="LTL"/>
    <n v="16650000"/>
    <n v="0.09"/>
    <d v="2027-11-26T00:00:00"/>
    <n v="817"/>
    <x v="5"/>
  </r>
  <r>
    <s v="Sampath Bank LT"/>
    <s v="LTL"/>
    <n v="20833000"/>
    <n v="8.0699999999999994E-2"/>
    <d v="2027-11-26T00:00:00"/>
    <n v="817"/>
    <x v="5"/>
  </r>
  <r>
    <s v="Sampath Bank LT"/>
    <s v="LTL"/>
    <n v="20833000"/>
    <n v="8.0699999999999994E-2"/>
    <d v="2027-11-26T00:00:00"/>
    <n v="817"/>
    <x v="5"/>
  </r>
  <r>
    <s v="Sampath Bank LT"/>
    <s v="LTL"/>
    <n v="20833000"/>
    <n v="8.0699999999999994E-2"/>
    <d v="2027-11-26T00:00:00"/>
    <n v="817"/>
    <x v="5"/>
  </r>
  <r>
    <s v="HNB LT 2"/>
    <s v="LTL"/>
    <n v="20833333.333333328"/>
    <n v="0.1075"/>
    <d v="2027-11-27T00:00:00"/>
    <n v="818"/>
    <x v="5"/>
  </r>
  <r>
    <s v="HNB LT 2"/>
    <s v="LTL"/>
    <n v="20833333.333333328"/>
    <n v="0.1075"/>
    <d v="2027-11-27T00:00:00"/>
    <n v="818"/>
    <x v="5"/>
  </r>
  <r>
    <s v="HNB LT 2"/>
    <s v="LTL"/>
    <n v="10416666.66666667"/>
    <n v="0.1075"/>
    <d v="2027-11-27T00:00:00"/>
    <n v="818"/>
    <x v="5"/>
  </r>
  <r>
    <s v="HNB LT 2"/>
    <s v="LTL"/>
    <n v="10416666.66666667"/>
    <n v="0.1075"/>
    <d v="2027-11-27T00:00:00"/>
    <n v="818"/>
    <x v="5"/>
  </r>
  <r>
    <s v="PABC"/>
    <s v="LTL"/>
    <n v="13888000"/>
    <n v="8.2199999999999995E-2"/>
    <d v="2027-11-28T00:00:00"/>
    <n v="819"/>
    <x v="5"/>
  </r>
  <r>
    <s v="Seylan LT 5"/>
    <s v="LTL"/>
    <n v="50000000"/>
    <n v="9.8500000000000004E-2"/>
    <d v="2027-11-28T00:00:00"/>
    <n v="819"/>
    <x v="5"/>
  </r>
  <r>
    <s v="NTB LT 3"/>
    <s v="LTL"/>
    <n v="16666666.470000001"/>
    <n v="8.0199999999999994E-2"/>
    <d v="2027-11-29T00:00:00"/>
    <n v="820"/>
    <x v="5"/>
  </r>
  <r>
    <s v="NDB LT"/>
    <s v="LTL"/>
    <n v="8250000"/>
    <n v="0.12"/>
    <d v="2027-11-30T00:00:00"/>
    <n v="821"/>
    <x v="5"/>
  </r>
  <r>
    <s v="NDB LT"/>
    <s v="LTL"/>
    <n v="8250000"/>
    <n v="0.12"/>
    <d v="2027-11-30T00:00:00"/>
    <n v="821"/>
    <x v="5"/>
  </r>
  <r>
    <s v="NDB LT"/>
    <s v="LTL"/>
    <n v="8250000"/>
    <n v="0.12"/>
    <d v="2027-11-30T00:00:00"/>
    <n v="821"/>
    <x v="5"/>
  </r>
  <r>
    <s v="NDB LT"/>
    <s v="LTL"/>
    <n v="8250000"/>
    <n v="0.12"/>
    <d v="2027-11-30T00:00:00"/>
    <n v="821"/>
    <x v="5"/>
  </r>
  <r>
    <s v="Seylan LT 3"/>
    <s v="LTL"/>
    <n v="50000000"/>
    <n v="0.12"/>
    <d v="2027-12-13T00:00:00"/>
    <n v="834"/>
    <x v="5"/>
  </r>
  <r>
    <s v="Seylan LT 3"/>
    <s v="LTL"/>
    <n v="25000000"/>
    <n v="0.12"/>
    <d v="2027-12-14T00:00:00"/>
    <n v="835"/>
    <x v="5"/>
  </r>
  <r>
    <s v="NTB LT 3"/>
    <s v="LTL"/>
    <n v="16666666.67"/>
    <n v="8.0199999999999994E-2"/>
    <d v="2027-12-15T00:00:00"/>
    <n v="836"/>
    <x v="5"/>
  </r>
  <r>
    <s v="NTB LT 2"/>
    <s v="LTL"/>
    <n v="25000000"/>
    <n v="8.0199999999999994E-2"/>
    <d v="2027-12-18T00:00:00"/>
    <n v="839"/>
    <x v="5"/>
  </r>
  <r>
    <s v="Cargills LT"/>
    <s v="LTL"/>
    <n v="18283078.48"/>
    <n v="0.12"/>
    <d v="2027-12-19T00:00:00"/>
    <n v="840"/>
    <x v="5"/>
  </r>
  <r>
    <s v="Commercial Bank LT 3"/>
    <s v="LTL"/>
    <n v="20800000"/>
    <n v="0.1075"/>
    <d v="2027-12-22T00:00:00"/>
    <n v="843"/>
    <x v="5"/>
  </r>
  <r>
    <s v="Commercial Bank LT 3"/>
    <s v="LTL"/>
    <n v="20800000"/>
    <n v="0.1075"/>
    <d v="2027-12-24T00:00:00"/>
    <n v="845"/>
    <x v="5"/>
  </r>
  <r>
    <s v="Commercial Bank LT 2"/>
    <s v="LTL"/>
    <n v="16650000"/>
    <n v="0.09"/>
    <d v="2027-12-25T00:00:00"/>
    <n v="846"/>
    <x v="5"/>
  </r>
  <r>
    <s v="Commercial Bank LT 2"/>
    <s v="LTL"/>
    <n v="16650000"/>
    <n v="0.09"/>
    <d v="2027-12-26T00:00:00"/>
    <n v="847"/>
    <x v="5"/>
  </r>
  <r>
    <s v="Sampath Bank LT"/>
    <s v="LTL"/>
    <n v="20833000"/>
    <n v="8.0699999999999994E-2"/>
    <d v="2027-12-26T00:00:00"/>
    <n v="847"/>
    <x v="5"/>
  </r>
  <r>
    <s v="Sampath Bank LT"/>
    <s v="LTL"/>
    <n v="20833000"/>
    <n v="8.0699999999999994E-2"/>
    <d v="2027-12-26T00:00:00"/>
    <n v="847"/>
    <x v="5"/>
  </r>
  <r>
    <s v="Sampath Bank LT"/>
    <s v="LTL"/>
    <n v="20833000"/>
    <n v="8.0699999999999994E-2"/>
    <d v="2027-12-26T00:00:00"/>
    <n v="847"/>
    <x v="5"/>
  </r>
  <r>
    <s v="HNB LT 2"/>
    <s v="LTL"/>
    <n v="20833333.333333328"/>
    <n v="0.1075"/>
    <d v="2027-12-27T00:00:00"/>
    <n v="848"/>
    <x v="5"/>
  </r>
  <r>
    <s v="HNB LT 2"/>
    <s v="LTL"/>
    <n v="20833333.333333328"/>
    <n v="0.1075"/>
    <d v="2027-12-27T00:00:00"/>
    <n v="848"/>
    <x v="5"/>
  </r>
  <r>
    <s v="HNB LT 2"/>
    <s v="LTL"/>
    <n v="10416666.66666667"/>
    <n v="0.1075"/>
    <d v="2027-12-27T00:00:00"/>
    <n v="848"/>
    <x v="5"/>
  </r>
  <r>
    <s v="HNB LT 2"/>
    <s v="LTL"/>
    <n v="10416666.66666667"/>
    <n v="0.1075"/>
    <d v="2027-12-27T00:00:00"/>
    <n v="848"/>
    <x v="5"/>
  </r>
  <r>
    <s v="PABC"/>
    <s v="LTL"/>
    <n v="13888000"/>
    <n v="8.2199999999999995E-2"/>
    <d v="2027-12-28T00:00:00"/>
    <n v="849"/>
    <x v="5"/>
  </r>
  <r>
    <s v="NTB LT 3"/>
    <s v="LTL"/>
    <n v="16666666.470000001"/>
    <n v="8.0199999999999994E-2"/>
    <d v="2027-12-29T00:00:00"/>
    <n v="850"/>
    <x v="5"/>
  </r>
  <r>
    <s v="Seylan LT 4"/>
    <s v="LTL"/>
    <n v="145833333.34"/>
    <n v="0.11"/>
    <d v="2027-12-30T00:00:00"/>
    <n v="851"/>
    <x v="5"/>
  </r>
  <r>
    <s v="NDB LT"/>
    <s v="LTL"/>
    <n v="8250000"/>
    <n v="0.12"/>
    <d v="2027-12-31T00:00:00"/>
    <n v="852"/>
    <x v="5"/>
  </r>
  <r>
    <s v="NDB LT"/>
    <s v="LTL"/>
    <n v="8250000"/>
    <n v="0.12"/>
    <d v="2027-12-31T00:00:00"/>
    <n v="852"/>
    <x v="5"/>
  </r>
  <r>
    <s v="NDB LT"/>
    <s v="LTL"/>
    <n v="8250000"/>
    <n v="0.12"/>
    <d v="2027-12-31T00:00:00"/>
    <n v="852"/>
    <x v="5"/>
  </r>
  <r>
    <s v="NDB LT"/>
    <s v="LTL"/>
    <n v="8250000"/>
    <n v="0.12"/>
    <d v="2027-12-31T00:00:00"/>
    <n v="852"/>
    <x v="5"/>
  </r>
  <r>
    <s v="NTB LT 3"/>
    <s v="LTL"/>
    <n v="16666666.67"/>
    <n v="8.0199999999999994E-2"/>
    <d v="2028-01-15T00:00:00"/>
    <n v="867"/>
    <x v="5"/>
  </r>
  <r>
    <s v="NTB LT 2"/>
    <s v="LTL"/>
    <n v="25000000"/>
    <n v="8.0199999999999994E-2"/>
    <d v="2028-01-18T00:00:00"/>
    <n v="870"/>
    <x v="5"/>
  </r>
  <r>
    <s v="Cargills LT"/>
    <s v="LTL"/>
    <n v="18343568.420000002"/>
    <n v="0.12"/>
    <d v="2028-01-19T00:00:00"/>
    <n v="871"/>
    <x v="5"/>
  </r>
  <r>
    <s v="Commercial Bank LT 3"/>
    <s v="LTL"/>
    <n v="20800000"/>
    <n v="0.1075"/>
    <d v="2028-01-22T00:00:00"/>
    <n v="874"/>
    <x v="5"/>
  </r>
  <r>
    <s v="HNB LT"/>
    <s v="LTL"/>
    <n v="50000000"/>
    <n v="0.12"/>
    <d v="2028-01-23T00:00:00"/>
    <n v="875"/>
    <x v="5"/>
  </r>
  <r>
    <s v="HNB LT"/>
    <s v="LTL"/>
    <n v="50000000"/>
    <n v="0.12"/>
    <d v="2028-01-23T00:00:00"/>
    <n v="875"/>
    <x v="5"/>
  </r>
  <r>
    <s v="HNB LT"/>
    <s v="LTL"/>
    <n v="50000000"/>
    <n v="0.12"/>
    <d v="2028-01-23T00:00:00"/>
    <n v="875"/>
    <x v="5"/>
  </r>
  <r>
    <s v="Commercial Bank LT 3"/>
    <s v="LTL"/>
    <n v="20800000"/>
    <n v="0.1075"/>
    <d v="2028-01-24T00:00:00"/>
    <n v="876"/>
    <x v="5"/>
  </r>
  <r>
    <s v="Commercial Bank LT 2"/>
    <s v="LTL"/>
    <n v="16650000"/>
    <n v="0.09"/>
    <d v="2028-01-25T00:00:00"/>
    <n v="877"/>
    <x v="5"/>
  </r>
  <r>
    <s v="Commercial Bank LT 2"/>
    <s v="LTL"/>
    <n v="16650000"/>
    <n v="0.09"/>
    <d v="2028-01-26T00:00:00"/>
    <n v="878"/>
    <x v="5"/>
  </r>
  <r>
    <s v="Sampath Bank LT"/>
    <s v="LTL"/>
    <n v="20833000"/>
    <n v="8.0699999999999994E-2"/>
    <d v="2028-01-26T00:00:00"/>
    <n v="878"/>
    <x v="5"/>
  </r>
  <r>
    <s v="Sampath Bank LT"/>
    <s v="LTL"/>
    <n v="20833000"/>
    <n v="8.0699999999999994E-2"/>
    <d v="2028-01-26T00:00:00"/>
    <n v="878"/>
    <x v="5"/>
  </r>
  <r>
    <s v="Sampath Bank LT"/>
    <s v="LTL"/>
    <n v="20833000"/>
    <n v="8.0699999999999994E-2"/>
    <d v="2028-01-26T00:00:00"/>
    <n v="878"/>
    <x v="5"/>
  </r>
  <r>
    <s v="HNB LT 2"/>
    <s v="LTL"/>
    <n v="20833333.333333328"/>
    <n v="0.1075"/>
    <d v="2028-01-27T00:00:00"/>
    <n v="879"/>
    <x v="5"/>
  </r>
  <r>
    <s v="HNB LT 2"/>
    <s v="LTL"/>
    <n v="20833333.333333328"/>
    <n v="0.1075"/>
    <d v="2028-01-27T00:00:00"/>
    <n v="879"/>
    <x v="5"/>
  </r>
  <r>
    <s v="HNB LT 2"/>
    <s v="LTL"/>
    <n v="10416666.66666667"/>
    <n v="0.1075"/>
    <d v="2028-01-27T00:00:00"/>
    <n v="879"/>
    <x v="5"/>
  </r>
  <r>
    <s v="HNB LT 2"/>
    <s v="LTL"/>
    <n v="10416666.66666667"/>
    <n v="0.1075"/>
    <d v="2028-01-27T00:00:00"/>
    <n v="879"/>
    <x v="5"/>
  </r>
  <r>
    <s v="PABC"/>
    <s v="LTL"/>
    <n v="13888000"/>
    <n v="8.2199999999999995E-2"/>
    <d v="2028-01-28T00:00:00"/>
    <n v="880"/>
    <x v="5"/>
  </r>
  <r>
    <s v="NTB LT 3"/>
    <s v="LTL"/>
    <n v="16666666.470000001"/>
    <n v="8.0199999999999994E-2"/>
    <d v="2028-01-29T00:00:00"/>
    <n v="881"/>
    <x v="5"/>
  </r>
  <r>
    <s v="NDB LT"/>
    <s v="LTL"/>
    <n v="8250000"/>
    <n v="0.12"/>
    <d v="2028-01-31T00:00:00"/>
    <n v="883"/>
    <x v="5"/>
  </r>
  <r>
    <s v="NDB LT"/>
    <s v="LTL"/>
    <n v="8250000"/>
    <n v="0.12"/>
    <d v="2028-01-31T00:00:00"/>
    <n v="883"/>
    <x v="5"/>
  </r>
  <r>
    <s v="NDB LT"/>
    <s v="LTL"/>
    <n v="8250000"/>
    <n v="0.12"/>
    <d v="2028-01-31T00:00:00"/>
    <n v="883"/>
    <x v="5"/>
  </r>
  <r>
    <s v="NDB LT"/>
    <s v="LTL"/>
    <n v="8250000"/>
    <n v="0.12"/>
    <d v="2028-01-31T00:00:00"/>
    <n v="883"/>
    <x v="5"/>
  </r>
  <r>
    <s v="NTB LT 3"/>
    <s v="LTL"/>
    <n v="16666666.67"/>
    <n v="8.0199999999999994E-2"/>
    <d v="2028-02-15T00:00:00"/>
    <n v="898"/>
    <x v="5"/>
  </r>
  <r>
    <s v="NTB LT 2"/>
    <s v="LTL"/>
    <n v="25000000"/>
    <n v="8.0199999999999994E-2"/>
    <d v="2028-02-18T00:00:00"/>
    <n v="901"/>
    <x v="5"/>
  </r>
  <r>
    <s v="Cargills LT"/>
    <s v="LTL"/>
    <n v="18534487.960000001"/>
    <n v="0.12"/>
    <d v="2028-02-19T00:00:00"/>
    <n v="902"/>
    <x v="5"/>
  </r>
  <r>
    <s v="Seylan LT 5"/>
    <s v="LTL"/>
    <n v="50000000"/>
    <n v="9.8500000000000004E-2"/>
    <d v="2028-02-21T00:00:00"/>
    <n v="904"/>
    <x v="5"/>
  </r>
  <r>
    <s v="Commercial Bank LT 3"/>
    <s v="LTL"/>
    <n v="20800000"/>
    <n v="0.1075"/>
    <d v="2028-02-22T00:00:00"/>
    <n v="905"/>
    <x v="5"/>
  </r>
  <r>
    <s v="Commercial Bank LT 3"/>
    <s v="LTL"/>
    <n v="20800000"/>
    <n v="0.1075"/>
    <d v="2028-02-24T00:00:00"/>
    <n v="907"/>
    <x v="5"/>
  </r>
  <r>
    <s v="Commercial Bank LT 2"/>
    <s v="LTL"/>
    <n v="16650000"/>
    <n v="0.09"/>
    <d v="2028-02-25T00:00:00"/>
    <n v="908"/>
    <x v="5"/>
  </r>
  <r>
    <s v="Commercial Bank LT 2"/>
    <s v="LTL"/>
    <n v="16650000"/>
    <n v="0.09"/>
    <d v="2028-02-26T00:00:00"/>
    <n v="909"/>
    <x v="5"/>
  </r>
  <r>
    <s v="Sampath Bank LT"/>
    <s v="LTL"/>
    <n v="20833000"/>
    <n v="8.0699999999999994E-2"/>
    <d v="2028-02-26T00:00:00"/>
    <n v="909"/>
    <x v="5"/>
  </r>
  <r>
    <s v="Sampath Bank LT"/>
    <s v="LTL"/>
    <n v="20833000"/>
    <n v="8.0699999999999994E-2"/>
    <d v="2028-02-26T00:00:00"/>
    <n v="909"/>
    <x v="5"/>
  </r>
  <r>
    <s v="Sampath Bank LT"/>
    <s v="LTL"/>
    <n v="20833000"/>
    <n v="8.0699999999999994E-2"/>
    <d v="2028-02-26T00:00:00"/>
    <n v="909"/>
    <x v="5"/>
  </r>
  <r>
    <s v="HNB LT 2"/>
    <s v="LTL"/>
    <n v="20833333.333333328"/>
    <n v="0.1075"/>
    <d v="2028-02-27T00:00:00"/>
    <n v="910"/>
    <x v="5"/>
  </r>
  <r>
    <s v="HNB LT 2"/>
    <s v="LTL"/>
    <n v="20833333.333333328"/>
    <n v="0.1075"/>
    <d v="2028-02-27T00:00:00"/>
    <n v="910"/>
    <x v="5"/>
  </r>
  <r>
    <s v="HNB LT 2"/>
    <s v="LTL"/>
    <n v="10416666.66666667"/>
    <n v="0.1075"/>
    <d v="2028-02-27T00:00:00"/>
    <n v="910"/>
    <x v="5"/>
  </r>
  <r>
    <s v="HNB LT 2"/>
    <s v="LTL"/>
    <n v="10416666.66666667"/>
    <n v="0.1075"/>
    <d v="2028-02-27T00:00:00"/>
    <n v="910"/>
    <x v="5"/>
  </r>
  <r>
    <s v="PABC"/>
    <s v="LTL"/>
    <n v="13888000"/>
    <n v="8.2199999999999995E-2"/>
    <d v="2028-02-28T00:00:00"/>
    <n v="911"/>
    <x v="5"/>
  </r>
  <r>
    <s v="Seylan LT 5"/>
    <s v="LTL"/>
    <n v="50000000"/>
    <n v="9.8500000000000004E-2"/>
    <d v="2028-02-28T00:00:00"/>
    <n v="911"/>
    <x v="5"/>
  </r>
  <r>
    <s v="NDB LT"/>
    <s v="LTL"/>
    <n v="8250000"/>
    <n v="0.12"/>
    <d v="2028-02-29T00:00:00"/>
    <n v="912"/>
    <x v="5"/>
  </r>
  <r>
    <s v="NDB LT"/>
    <s v="LTL"/>
    <n v="8250000"/>
    <n v="0.12"/>
    <d v="2028-02-29T00:00:00"/>
    <n v="912"/>
    <x v="5"/>
  </r>
  <r>
    <s v="NDB LT"/>
    <s v="LTL"/>
    <n v="8250000"/>
    <n v="0.12"/>
    <d v="2028-02-29T00:00:00"/>
    <n v="912"/>
    <x v="5"/>
  </r>
  <r>
    <s v="NDB LT"/>
    <s v="LTL"/>
    <n v="8250000"/>
    <n v="0.12"/>
    <d v="2028-02-29T00:00:00"/>
    <n v="912"/>
    <x v="5"/>
  </r>
  <r>
    <s v="NTB LT 3"/>
    <s v="LTL"/>
    <n v="16666666.470000001"/>
    <n v="8.0199999999999994E-2"/>
    <d v="2028-02-29T00:00:00"/>
    <n v="912"/>
    <x v="5"/>
  </r>
  <r>
    <s v="Seylan LT 3"/>
    <s v="LTL"/>
    <n v="50000000"/>
    <n v="0.12"/>
    <d v="2028-03-13T00:00:00"/>
    <n v="925"/>
    <x v="5"/>
  </r>
  <r>
    <s v="Seylan LT 3"/>
    <s v="LTL"/>
    <n v="25000000"/>
    <n v="0.12"/>
    <d v="2028-03-14T00:00:00"/>
    <n v="926"/>
    <x v="5"/>
  </r>
  <r>
    <s v="NTB LT 3"/>
    <s v="LTL"/>
    <n v="16666666.67"/>
    <n v="8.0199999999999994E-2"/>
    <d v="2028-03-15T00:00:00"/>
    <n v="927"/>
    <x v="5"/>
  </r>
  <r>
    <s v="NTB LT 2"/>
    <s v="LTL"/>
    <n v="25000000"/>
    <n v="8.0199999999999994E-2"/>
    <d v="2028-03-18T00:00:00"/>
    <n v="930"/>
    <x v="5"/>
  </r>
  <r>
    <s v="Cargills LT"/>
    <s v="LTL"/>
    <n v="18950069.719999999"/>
    <n v="0.12"/>
    <d v="2028-03-19T00:00:00"/>
    <n v="931"/>
    <x v="5"/>
  </r>
  <r>
    <s v="Commercial Bank LT 3"/>
    <s v="LTL"/>
    <n v="20800000"/>
    <n v="0.1075"/>
    <d v="2028-03-22T00:00:00"/>
    <n v="934"/>
    <x v="5"/>
  </r>
  <r>
    <s v="Commercial Bank LT 3"/>
    <s v="LTL"/>
    <n v="20800000"/>
    <n v="0.1075"/>
    <d v="2028-03-24T00:00:00"/>
    <n v="936"/>
    <x v="5"/>
  </r>
  <r>
    <s v="Commercial Bank LT 2"/>
    <s v="LTL"/>
    <n v="16650000"/>
    <n v="0.09"/>
    <d v="2028-03-25T00:00:00"/>
    <n v="937"/>
    <x v="5"/>
  </r>
  <r>
    <s v="Commercial Bank LT 2"/>
    <s v="LTL"/>
    <n v="16650000"/>
    <n v="0.09"/>
    <d v="2028-03-26T00:00:00"/>
    <n v="938"/>
    <x v="5"/>
  </r>
  <r>
    <s v="Sampath Bank LT"/>
    <s v="LTL"/>
    <n v="20833000"/>
    <n v="8.0699999999999994E-2"/>
    <d v="2028-03-26T00:00:00"/>
    <n v="938"/>
    <x v="5"/>
  </r>
  <r>
    <s v="Sampath Bank LT"/>
    <s v="LTL"/>
    <n v="20833000"/>
    <n v="8.0699999999999994E-2"/>
    <d v="2028-03-26T00:00:00"/>
    <n v="938"/>
    <x v="5"/>
  </r>
  <r>
    <s v="Sampath Bank LT"/>
    <s v="LTL"/>
    <n v="20833000"/>
    <n v="8.0699999999999994E-2"/>
    <d v="2028-03-26T00:00:00"/>
    <n v="938"/>
    <x v="5"/>
  </r>
  <r>
    <s v="HNB LT 2"/>
    <s v="LTL"/>
    <n v="20833333.333333328"/>
    <n v="0.1075"/>
    <d v="2028-03-27T00:00:00"/>
    <n v="939"/>
    <x v="5"/>
  </r>
  <r>
    <s v="HNB LT 2"/>
    <s v="LTL"/>
    <n v="20833333.333333328"/>
    <n v="0.1075"/>
    <d v="2028-03-27T00:00:00"/>
    <n v="939"/>
    <x v="5"/>
  </r>
  <r>
    <s v="HNB LT 2"/>
    <s v="LTL"/>
    <n v="10416666.66666667"/>
    <n v="0.1075"/>
    <d v="2028-03-27T00:00:00"/>
    <n v="939"/>
    <x v="5"/>
  </r>
  <r>
    <s v="HNB LT 2"/>
    <s v="LTL"/>
    <n v="10416666.66666667"/>
    <n v="0.1075"/>
    <d v="2028-03-27T00:00:00"/>
    <n v="939"/>
    <x v="5"/>
  </r>
  <r>
    <s v="PABC"/>
    <s v="LTL"/>
    <n v="13920000"/>
    <n v="8.2199999999999995E-2"/>
    <d v="2028-03-28T00:00:00"/>
    <n v="940"/>
    <x v="5"/>
  </r>
  <r>
    <s v="NTB LT 3"/>
    <s v="LTL"/>
    <n v="16666666.470000001"/>
    <n v="8.0199999999999994E-2"/>
    <d v="2028-03-29T00:00:00"/>
    <n v="941"/>
    <x v="5"/>
  </r>
  <r>
    <s v="NDB LT"/>
    <s v="LTL"/>
    <n v="8250000"/>
    <n v="0.12"/>
    <d v="2028-03-31T00:00:00"/>
    <n v="943"/>
    <x v="5"/>
  </r>
  <r>
    <s v="NDB LT"/>
    <s v="LTL"/>
    <n v="8250000"/>
    <n v="0.12"/>
    <d v="2028-03-31T00:00:00"/>
    <n v="943"/>
    <x v="5"/>
  </r>
  <r>
    <s v="NDB LT"/>
    <s v="LTL"/>
    <n v="8250000"/>
    <n v="0.12"/>
    <d v="2028-03-31T00:00:00"/>
    <n v="943"/>
    <x v="5"/>
  </r>
  <r>
    <s v="NDB LT"/>
    <s v="LTL"/>
    <n v="8250000"/>
    <n v="0.12"/>
    <d v="2028-03-31T00:00:00"/>
    <n v="943"/>
    <x v="5"/>
  </r>
  <r>
    <s v="NTB LT 3"/>
    <s v="LTL"/>
    <n v="16666666.67"/>
    <n v="8.0199999999999994E-2"/>
    <d v="2028-04-15T00:00:00"/>
    <n v="958"/>
    <x v="5"/>
  </r>
  <r>
    <s v="NTB LT 2"/>
    <s v="LTL"/>
    <n v="25000000"/>
    <n v="8.0199999999999994E-2"/>
    <d v="2028-04-18T00:00:00"/>
    <n v="961"/>
    <x v="5"/>
  </r>
  <r>
    <s v="Cargills LT"/>
    <s v="LTL"/>
    <n v="18915478.579999998"/>
    <n v="0.12"/>
    <d v="2028-04-19T00:00:00"/>
    <n v="962"/>
    <x v="5"/>
  </r>
  <r>
    <s v="Commercial Bank LT 3"/>
    <s v="LTL"/>
    <n v="20800000"/>
    <n v="0.1075"/>
    <d v="2028-04-22T00:00:00"/>
    <n v="965"/>
    <x v="5"/>
  </r>
  <r>
    <s v="HNB LT"/>
    <s v="LTL"/>
    <n v="50000000"/>
    <n v="0.12"/>
    <d v="2028-04-23T00:00:00"/>
    <n v="966"/>
    <x v="5"/>
  </r>
  <r>
    <s v="HNB LT"/>
    <s v="LTL"/>
    <n v="50000000"/>
    <n v="0.12"/>
    <d v="2028-04-23T00:00:00"/>
    <n v="966"/>
    <x v="5"/>
  </r>
  <r>
    <s v="HNB LT"/>
    <s v="LTL"/>
    <n v="50000000"/>
    <n v="0.12"/>
    <d v="2028-04-23T00:00:00"/>
    <n v="966"/>
    <x v="5"/>
  </r>
  <r>
    <s v="Commercial Bank LT 3"/>
    <s v="LTL"/>
    <n v="20800000"/>
    <n v="0.1075"/>
    <d v="2028-04-24T00:00:00"/>
    <n v="967"/>
    <x v="5"/>
  </r>
  <r>
    <s v="Commercial Bank LT 2"/>
    <s v="LTL"/>
    <n v="16650000"/>
    <n v="0.09"/>
    <d v="2028-04-25T00:00:00"/>
    <n v="968"/>
    <x v="5"/>
  </r>
  <r>
    <s v="Commercial Bank LT 2"/>
    <s v="LTL"/>
    <n v="16650000"/>
    <n v="0.09"/>
    <d v="2028-04-26T00:00:00"/>
    <n v="969"/>
    <x v="5"/>
  </r>
  <r>
    <s v="Sampath Bank LT"/>
    <s v="LTL"/>
    <n v="20833000"/>
    <n v="8.0699999999999994E-2"/>
    <d v="2028-04-26T00:00:00"/>
    <n v="969"/>
    <x v="5"/>
  </r>
  <r>
    <s v="Sampath Bank LT"/>
    <s v="LTL"/>
    <n v="20833000"/>
    <n v="8.0699999999999994E-2"/>
    <d v="2028-04-26T00:00:00"/>
    <n v="969"/>
    <x v="5"/>
  </r>
  <r>
    <s v="Sampath Bank LT"/>
    <s v="LTL"/>
    <n v="20833000"/>
    <n v="8.0699999999999994E-2"/>
    <d v="2028-04-26T00:00:00"/>
    <n v="969"/>
    <x v="5"/>
  </r>
  <r>
    <s v="HNB LT 2"/>
    <s v="LTL"/>
    <n v="20833333.333333328"/>
    <n v="0.1075"/>
    <d v="2028-04-27T00:00:00"/>
    <n v="970"/>
    <x v="5"/>
  </r>
  <r>
    <s v="HNB LT 2"/>
    <s v="LTL"/>
    <n v="20833333.333333328"/>
    <n v="0.1075"/>
    <d v="2028-04-27T00:00:00"/>
    <n v="970"/>
    <x v="5"/>
  </r>
  <r>
    <s v="HNB LT 2"/>
    <s v="LTL"/>
    <n v="10416666.66666667"/>
    <n v="0.1075"/>
    <d v="2028-04-27T00:00:00"/>
    <n v="970"/>
    <x v="5"/>
  </r>
  <r>
    <s v="HNB LT 2"/>
    <s v="LTL"/>
    <n v="10416666.66666667"/>
    <n v="0.1075"/>
    <d v="2028-04-27T00:00:00"/>
    <n v="970"/>
    <x v="5"/>
  </r>
  <r>
    <s v="NTB LT 3"/>
    <s v="LTL"/>
    <n v="16666666.470000001"/>
    <n v="8.0199999999999994E-2"/>
    <d v="2028-04-29T00:00:00"/>
    <n v="972"/>
    <x v="5"/>
  </r>
  <r>
    <s v="NDB LT"/>
    <s v="LTL"/>
    <n v="8250000"/>
    <n v="0.12"/>
    <d v="2028-04-30T00:00:00"/>
    <n v="973"/>
    <x v="5"/>
  </r>
  <r>
    <s v="NDB LT"/>
    <s v="LTL"/>
    <n v="8250000"/>
    <n v="0.12"/>
    <d v="2028-04-30T00:00:00"/>
    <n v="973"/>
    <x v="5"/>
  </r>
  <r>
    <s v="NDB LT"/>
    <s v="LTL"/>
    <n v="8250000"/>
    <n v="0.12"/>
    <d v="2028-04-30T00:00:00"/>
    <n v="973"/>
    <x v="5"/>
  </r>
  <r>
    <s v="NDB LT"/>
    <s v="LTL"/>
    <n v="8250000"/>
    <n v="0.12"/>
    <d v="2028-04-30T00:00:00"/>
    <n v="973"/>
    <x v="5"/>
  </r>
  <r>
    <s v="NTB LT 3"/>
    <s v="LTL"/>
    <n v="16666666.67"/>
    <n v="8.0199999999999994E-2"/>
    <d v="2028-05-15T00:00:00"/>
    <n v="988"/>
    <x v="5"/>
  </r>
  <r>
    <s v="NTB LT 2"/>
    <s v="LTL"/>
    <n v="25000000"/>
    <n v="8.0199999999999994E-2"/>
    <d v="2028-05-18T00:00:00"/>
    <n v="991"/>
    <x v="5"/>
  </r>
  <r>
    <s v="Cargills LT"/>
    <s v="LTL"/>
    <n v="19208918.379999999"/>
    <n v="0.12"/>
    <d v="2028-05-19T00:00:00"/>
    <n v="992"/>
    <x v="5"/>
  </r>
  <r>
    <s v="Seylan LT 5"/>
    <s v="LTL"/>
    <n v="50000000"/>
    <n v="9.8500000000000004E-2"/>
    <d v="2028-05-21T00:00:00"/>
    <n v="994"/>
    <x v="5"/>
  </r>
  <r>
    <s v="Commercial Bank LT 3"/>
    <s v="LTL"/>
    <n v="20800000"/>
    <n v="0.1075"/>
    <d v="2028-05-22T00:00:00"/>
    <n v="995"/>
    <x v="5"/>
  </r>
  <r>
    <s v="Commercial Bank LT 3"/>
    <s v="LTL"/>
    <n v="20800000"/>
    <n v="0.1075"/>
    <d v="2028-05-24T00:00:00"/>
    <n v="997"/>
    <x v="5"/>
  </r>
  <r>
    <s v="Commercial Bank LT 2"/>
    <s v="LTL"/>
    <n v="16650000"/>
    <n v="0.09"/>
    <d v="2028-05-25T00:00:00"/>
    <n v="998"/>
    <x v="5"/>
  </r>
  <r>
    <s v="Commercial Bank LT 2"/>
    <s v="LTL"/>
    <n v="16650000"/>
    <n v="0.09"/>
    <d v="2028-05-26T00:00:00"/>
    <n v="999"/>
    <x v="5"/>
  </r>
  <r>
    <s v="Sampath Bank LT"/>
    <s v="LTL"/>
    <n v="20833000"/>
    <n v="8.0699999999999994E-2"/>
    <d v="2028-05-26T00:00:00"/>
    <n v="999"/>
    <x v="5"/>
  </r>
  <r>
    <s v="Sampath Bank LT"/>
    <s v="LTL"/>
    <n v="20833000"/>
    <n v="8.0699999999999994E-2"/>
    <d v="2028-05-26T00:00:00"/>
    <n v="999"/>
    <x v="5"/>
  </r>
  <r>
    <s v="Sampath Bank LT"/>
    <s v="LTL"/>
    <n v="20833000"/>
    <n v="8.0699999999999994E-2"/>
    <d v="2028-05-26T00:00:00"/>
    <n v="999"/>
    <x v="5"/>
  </r>
  <r>
    <s v="HNB LT 2"/>
    <s v="LTL"/>
    <n v="20833333.333333328"/>
    <n v="0.1075"/>
    <d v="2028-05-27T00:00:00"/>
    <n v="1000"/>
    <x v="5"/>
  </r>
  <r>
    <s v="HNB LT 2"/>
    <s v="LTL"/>
    <n v="20833333.333333328"/>
    <n v="0.1075"/>
    <d v="2028-05-27T00:00:00"/>
    <n v="1000"/>
    <x v="5"/>
  </r>
  <r>
    <s v="HNB LT 2"/>
    <s v="LTL"/>
    <n v="10416666.66666667"/>
    <n v="0.1075"/>
    <d v="2028-05-27T00:00:00"/>
    <n v="1000"/>
    <x v="5"/>
  </r>
  <r>
    <s v="HNB LT 2"/>
    <s v="LTL"/>
    <n v="10416666.66666667"/>
    <n v="0.1075"/>
    <d v="2028-05-27T00:00:00"/>
    <n v="1000"/>
    <x v="5"/>
  </r>
  <r>
    <s v="Seylan LT 5"/>
    <s v="LTL"/>
    <n v="50000000"/>
    <n v="9.8500000000000004E-2"/>
    <d v="2028-05-28T00:00:00"/>
    <n v="1001"/>
    <x v="5"/>
  </r>
  <r>
    <s v="NTB LT 3"/>
    <s v="LTL"/>
    <n v="16666666.470000001"/>
    <n v="8.0199999999999994E-2"/>
    <d v="2028-05-29T00:00:00"/>
    <n v="1002"/>
    <x v="5"/>
  </r>
  <r>
    <s v="NDB LT"/>
    <s v="LTL"/>
    <n v="8250000"/>
    <n v="0.12"/>
    <d v="2028-05-31T00:00:00"/>
    <n v="1004"/>
    <x v="5"/>
  </r>
  <r>
    <s v="NDB LT"/>
    <s v="LTL"/>
    <n v="8250000"/>
    <n v="0.12"/>
    <d v="2028-05-31T00:00:00"/>
    <n v="1004"/>
    <x v="5"/>
  </r>
  <r>
    <s v="NDB LT"/>
    <s v="LTL"/>
    <n v="8250000"/>
    <n v="0.12"/>
    <d v="2028-05-31T00:00:00"/>
    <n v="1004"/>
    <x v="5"/>
  </r>
  <r>
    <s v="NDB LT"/>
    <s v="LTL"/>
    <n v="8250000"/>
    <n v="0.12"/>
    <d v="2028-05-31T00:00:00"/>
    <n v="1004"/>
    <x v="5"/>
  </r>
  <r>
    <s v="Seylan LT 3"/>
    <s v="LTL"/>
    <n v="50000000"/>
    <n v="0.12"/>
    <d v="2028-06-13T00:00:00"/>
    <n v="1017"/>
    <x v="5"/>
  </r>
  <r>
    <s v="Seylan LT 3"/>
    <s v="LTL"/>
    <n v="25000000"/>
    <n v="0.12"/>
    <d v="2028-06-14T00:00:00"/>
    <n v="1018"/>
    <x v="5"/>
  </r>
  <r>
    <s v="NTB LT 3"/>
    <s v="LTL"/>
    <n v="16666666.67"/>
    <n v="8.0199999999999994E-2"/>
    <d v="2028-06-15T00:00:00"/>
    <n v="1019"/>
    <x v="5"/>
  </r>
  <r>
    <s v="NTB LT 2"/>
    <s v="LTL"/>
    <n v="25000000"/>
    <n v="8.0199999999999994E-2"/>
    <d v="2028-06-18T00:00:00"/>
    <n v="1022"/>
    <x v="5"/>
  </r>
  <r>
    <s v="Cargills LT"/>
    <s v="LTL"/>
    <n v="19302972.379999999"/>
    <n v="0.12"/>
    <d v="2028-06-19T00:00:00"/>
    <n v="1023"/>
    <x v="5"/>
  </r>
  <r>
    <s v="Commercial Bank LT 3"/>
    <s v="LTL"/>
    <n v="20800000"/>
    <n v="0.1075"/>
    <d v="2028-06-22T00:00:00"/>
    <n v="1026"/>
    <x v="5"/>
  </r>
  <r>
    <s v="Commercial Bank LT 3"/>
    <s v="LTL"/>
    <n v="20800000"/>
    <n v="0.1075"/>
    <d v="2028-06-24T00:00:00"/>
    <n v="1028"/>
    <x v="5"/>
  </r>
  <r>
    <s v="Commercial Bank LT 2"/>
    <s v="LTL"/>
    <n v="16650000"/>
    <n v="0.09"/>
    <d v="2028-06-25T00:00:00"/>
    <n v="1029"/>
    <x v="5"/>
  </r>
  <r>
    <s v="Commercial Bank LT 2"/>
    <s v="LTL"/>
    <n v="16650000"/>
    <n v="0.09"/>
    <d v="2028-06-26T00:00:00"/>
    <n v="1030"/>
    <x v="5"/>
  </r>
  <r>
    <s v="Sampath Bank LT"/>
    <s v="LTL"/>
    <n v="20833000"/>
    <n v="8.0699999999999994E-2"/>
    <d v="2028-06-26T00:00:00"/>
    <n v="1030"/>
    <x v="5"/>
  </r>
  <r>
    <s v="Sampath Bank LT"/>
    <s v="LTL"/>
    <n v="20833000"/>
    <n v="8.0699999999999994E-2"/>
    <d v="2028-06-26T00:00:00"/>
    <n v="1030"/>
    <x v="5"/>
  </r>
  <r>
    <s v="Sampath Bank LT"/>
    <s v="LTL"/>
    <n v="20833000"/>
    <n v="8.0699999999999994E-2"/>
    <d v="2028-06-26T00:00:00"/>
    <n v="1030"/>
    <x v="5"/>
  </r>
  <r>
    <s v="HNB LT 2"/>
    <s v="LTL"/>
    <n v="20833333.333333328"/>
    <n v="0.1075"/>
    <d v="2028-06-27T00:00:00"/>
    <n v="1031"/>
    <x v="5"/>
  </r>
  <r>
    <s v="HNB LT 2"/>
    <s v="LTL"/>
    <n v="20833333.333333328"/>
    <n v="0.1075"/>
    <d v="2028-06-27T00:00:00"/>
    <n v="1031"/>
    <x v="5"/>
  </r>
  <r>
    <s v="HNB LT 2"/>
    <s v="LTL"/>
    <n v="10416666.66666667"/>
    <n v="0.1075"/>
    <d v="2028-06-27T00:00:00"/>
    <n v="1031"/>
    <x v="5"/>
  </r>
  <r>
    <s v="HNB LT 2"/>
    <s v="LTL"/>
    <n v="10416666.66666667"/>
    <n v="0.1075"/>
    <d v="2028-06-27T00:00:00"/>
    <n v="1031"/>
    <x v="5"/>
  </r>
  <r>
    <s v="NTB LT 3"/>
    <s v="LTL"/>
    <n v="16666666.470000001"/>
    <n v="8.0199999999999994E-2"/>
    <d v="2028-06-29T00:00:00"/>
    <n v="1033"/>
    <x v="5"/>
  </r>
  <r>
    <s v="NDB LT"/>
    <s v="LTL"/>
    <n v="8250000"/>
    <n v="0.12"/>
    <d v="2028-06-30T00:00:00"/>
    <n v="1034"/>
    <x v="5"/>
  </r>
  <r>
    <s v="NDB LT"/>
    <s v="LTL"/>
    <n v="8250000"/>
    <n v="0.12"/>
    <d v="2028-06-30T00:00:00"/>
    <n v="1034"/>
    <x v="5"/>
  </r>
  <r>
    <s v="NDB LT"/>
    <s v="LTL"/>
    <n v="8250000"/>
    <n v="0.12"/>
    <d v="2028-06-30T00:00:00"/>
    <n v="1034"/>
    <x v="5"/>
  </r>
  <r>
    <s v="NDB LT"/>
    <s v="LTL"/>
    <n v="8250000"/>
    <n v="0.12"/>
    <d v="2028-06-30T00:00:00"/>
    <n v="1034"/>
    <x v="5"/>
  </r>
  <r>
    <s v="NTB LT 3"/>
    <s v="LTL"/>
    <n v="16666666.67"/>
    <n v="8.0199999999999994E-2"/>
    <d v="2028-07-15T00:00:00"/>
    <n v="1049"/>
    <x v="5"/>
  </r>
  <r>
    <s v="NTB LT 2"/>
    <s v="LTL"/>
    <n v="25000000"/>
    <n v="8.0199999999999994E-2"/>
    <d v="2028-07-18T00:00:00"/>
    <n v="1052"/>
    <x v="5"/>
  </r>
  <r>
    <s v="Cargills LT"/>
    <s v="LTL"/>
    <n v="19587723.879999999"/>
    <n v="0.12"/>
    <d v="2028-07-19T00:00:00"/>
    <n v="1053"/>
    <x v="5"/>
  </r>
  <r>
    <s v="Commercial Bank LT 3"/>
    <s v="LTL"/>
    <n v="20800000"/>
    <n v="0.1075"/>
    <d v="2028-07-22T00:00:00"/>
    <n v="1056"/>
    <x v="5"/>
  </r>
  <r>
    <s v="HNB LT"/>
    <s v="LTL"/>
    <n v="50000000"/>
    <n v="0.12"/>
    <d v="2028-07-23T00:00:00"/>
    <n v="1057"/>
    <x v="5"/>
  </r>
  <r>
    <s v="HNB LT"/>
    <s v="LTL"/>
    <n v="50000000"/>
    <n v="0.12"/>
    <d v="2028-07-23T00:00:00"/>
    <n v="1057"/>
    <x v="5"/>
  </r>
  <r>
    <s v="HNB LT"/>
    <s v="LTL"/>
    <n v="50000000"/>
    <n v="0.12"/>
    <d v="2028-07-23T00:00:00"/>
    <n v="1057"/>
    <x v="5"/>
  </r>
  <r>
    <s v="Commercial Bank LT 3"/>
    <s v="LTL"/>
    <n v="20800000"/>
    <n v="0.1075"/>
    <d v="2028-07-24T00:00:00"/>
    <n v="1058"/>
    <x v="5"/>
  </r>
  <r>
    <s v="Commercial Bank LT 2"/>
    <s v="LTL"/>
    <n v="16650000"/>
    <n v="0.09"/>
    <d v="2028-07-25T00:00:00"/>
    <n v="1059"/>
    <x v="5"/>
  </r>
  <r>
    <s v="Commercial Bank LT 2"/>
    <s v="LTL"/>
    <n v="16650000"/>
    <n v="0.09"/>
    <d v="2028-07-26T00:00:00"/>
    <n v="1060"/>
    <x v="5"/>
  </r>
  <r>
    <s v="Sampath Bank LT"/>
    <s v="LTL"/>
    <n v="20833000"/>
    <n v="8.0699999999999994E-2"/>
    <d v="2028-07-26T00:00:00"/>
    <n v="1060"/>
    <x v="5"/>
  </r>
  <r>
    <s v="Sampath Bank LT"/>
    <s v="LTL"/>
    <n v="20833000"/>
    <n v="8.0699999999999994E-2"/>
    <d v="2028-07-26T00:00:00"/>
    <n v="1060"/>
    <x v="5"/>
  </r>
  <r>
    <s v="Sampath Bank LT"/>
    <s v="LTL"/>
    <n v="20833000"/>
    <n v="8.0699999999999994E-2"/>
    <d v="2028-07-26T00:00:00"/>
    <n v="1060"/>
    <x v="5"/>
  </r>
  <r>
    <s v="HNB LT 2"/>
    <s v="LTL"/>
    <n v="20833333.333333328"/>
    <n v="0.1075"/>
    <d v="2028-07-27T00:00:00"/>
    <n v="1061"/>
    <x v="5"/>
  </r>
  <r>
    <s v="HNB LT 2"/>
    <s v="LTL"/>
    <n v="20833333.333333328"/>
    <n v="0.1075"/>
    <d v="2028-07-27T00:00:00"/>
    <n v="1061"/>
    <x v="5"/>
  </r>
  <r>
    <s v="HNB LT 2"/>
    <s v="LTL"/>
    <n v="10416666.66666667"/>
    <n v="0.1075"/>
    <d v="2028-07-27T00:00:00"/>
    <n v="1061"/>
    <x v="5"/>
  </r>
  <r>
    <s v="HNB LT 2"/>
    <s v="LTL"/>
    <n v="10416666.66666667"/>
    <n v="0.1075"/>
    <d v="2028-07-27T00:00:00"/>
    <n v="1061"/>
    <x v="5"/>
  </r>
  <r>
    <s v="NTB LT 3"/>
    <s v="LTL"/>
    <n v="16666666.470000001"/>
    <n v="8.0199999999999994E-2"/>
    <d v="2028-07-29T00:00:00"/>
    <n v="1063"/>
    <x v="5"/>
  </r>
  <r>
    <s v="NDB LT"/>
    <s v="LTL"/>
    <n v="8250000"/>
    <n v="0.12"/>
    <d v="2028-07-31T00:00:00"/>
    <n v="1065"/>
    <x v="5"/>
  </r>
  <r>
    <s v="NDB LT"/>
    <s v="LTL"/>
    <n v="8250000"/>
    <n v="0.12"/>
    <d v="2028-07-31T00:00:00"/>
    <n v="1065"/>
    <x v="5"/>
  </r>
  <r>
    <s v="NDB LT"/>
    <s v="LTL"/>
    <n v="8250000"/>
    <n v="0.12"/>
    <d v="2028-07-31T00:00:00"/>
    <n v="1065"/>
    <x v="5"/>
  </r>
  <r>
    <s v="NDB LT"/>
    <s v="LTL"/>
    <n v="8250000"/>
    <n v="0.12"/>
    <d v="2028-07-31T00:00:00"/>
    <n v="1065"/>
    <x v="5"/>
  </r>
  <r>
    <s v="NTB LT 3"/>
    <s v="LTL"/>
    <n v="16666666.67"/>
    <n v="8.0199999999999994E-2"/>
    <d v="2028-08-15T00:00:00"/>
    <n v="1080"/>
    <x v="5"/>
  </r>
  <r>
    <s v="NTB LT 2"/>
    <s v="LTL"/>
    <n v="25000000"/>
    <n v="8.0199999999999994E-2"/>
    <d v="2028-08-18T00:00:00"/>
    <n v="1083"/>
    <x v="5"/>
  </r>
  <r>
    <s v="Cargills LT"/>
    <s v="LTL"/>
    <n v="19698254.93"/>
    <n v="0.12"/>
    <d v="2028-08-19T00:00:00"/>
    <n v="1084"/>
    <x v="5"/>
  </r>
  <r>
    <s v="Seylan LT 5"/>
    <s v="LTL"/>
    <n v="50000000"/>
    <n v="9.8500000000000004E-2"/>
    <d v="2028-08-21T00:00:00"/>
    <n v="1086"/>
    <x v="5"/>
  </r>
  <r>
    <s v="Commercial Bank LT 3"/>
    <s v="LTL"/>
    <n v="20800000"/>
    <n v="0.1075"/>
    <d v="2028-08-22T00:00:00"/>
    <n v="1087"/>
    <x v="5"/>
  </r>
  <r>
    <s v="Commercial Bank LT 3"/>
    <s v="LTL"/>
    <n v="20800000"/>
    <n v="0.1075"/>
    <d v="2028-08-24T00:00:00"/>
    <n v="1089"/>
    <x v="5"/>
  </r>
  <r>
    <s v="Commercial Bank LT 2"/>
    <s v="LTL"/>
    <n v="16650000"/>
    <n v="0.09"/>
    <d v="2028-08-25T00:00:00"/>
    <n v="1090"/>
    <x v="5"/>
  </r>
  <r>
    <s v="Commercial Bank LT 2"/>
    <s v="LTL"/>
    <n v="16650000"/>
    <n v="0.09"/>
    <d v="2028-08-26T00:00:00"/>
    <n v="1091"/>
    <x v="5"/>
  </r>
  <r>
    <s v="Sampath Bank LT"/>
    <s v="LTL"/>
    <n v="20833000"/>
    <n v="8.0699999999999994E-2"/>
    <d v="2028-08-26T00:00:00"/>
    <n v="1091"/>
    <x v="5"/>
  </r>
  <r>
    <s v="Sampath Bank LT"/>
    <s v="LTL"/>
    <n v="20833000"/>
    <n v="8.0699999999999994E-2"/>
    <d v="2028-08-26T00:00:00"/>
    <n v="1091"/>
    <x v="5"/>
  </r>
  <r>
    <s v="Sampath Bank LT"/>
    <s v="LTL"/>
    <n v="20833000"/>
    <n v="8.0699999999999994E-2"/>
    <d v="2028-08-26T00:00:00"/>
    <n v="1091"/>
    <x v="5"/>
  </r>
  <r>
    <s v="HNB LT 2"/>
    <s v="LTL"/>
    <n v="20833333.333333328"/>
    <n v="0.1075"/>
    <d v="2028-08-27T00:00:00"/>
    <n v="1092"/>
    <x v="5"/>
  </r>
  <r>
    <s v="HNB LT 2"/>
    <s v="LTL"/>
    <n v="20833333.333333328"/>
    <n v="0.1075"/>
    <d v="2028-08-27T00:00:00"/>
    <n v="1092"/>
    <x v="5"/>
  </r>
  <r>
    <s v="HNB LT 2"/>
    <s v="LTL"/>
    <n v="10416666.66666667"/>
    <n v="0.1075"/>
    <d v="2028-08-27T00:00:00"/>
    <n v="1092"/>
    <x v="5"/>
  </r>
  <r>
    <s v="HNB LT 2"/>
    <s v="LTL"/>
    <n v="10416666.66666667"/>
    <n v="0.1075"/>
    <d v="2028-08-27T00:00:00"/>
    <n v="1092"/>
    <x v="5"/>
  </r>
  <r>
    <s v="Seylan LT 5"/>
    <s v="LTL"/>
    <n v="50000000"/>
    <n v="9.8500000000000004E-2"/>
    <d v="2028-08-28T00:00:00"/>
    <n v="1093"/>
    <x v="5"/>
  </r>
  <r>
    <s v="NTB LT 3"/>
    <s v="LTL"/>
    <n v="16666666.470000001"/>
    <n v="8.0199999999999994E-2"/>
    <d v="2028-08-29T00:00:00"/>
    <n v="1094"/>
    <x v="5"/>
  </r>
  <r>
    <s v="NDB LT"/>
    <s v="LTL"/>
    <n v="8250000"/>
    <n v="0.12"/>
    <d v="2028-08-31T00:00:00"/>
    <n v="1096"/>
    <x v="6"/>
  </r>
  <r>
    <s v="NDB LT"/>
    <s v="LTL"/>
    <n v="8250000"/>
    <n v="0.12"/>
    <d v="2028-08-31T00:00:00"/>
    <n v="1096"/>
    <x v="6"/>
  </r>
  <r>
    <s v="NDB LT"/>
    <s v="LTL"/>
    <n v="8250000"/>
    <n v="0.12"/>
    <d v="2028-08-31T00:00:00"/>
    <n v="1096"/>
    <x v="6"/>
  </r>
  <r>
    <s v="NDB LT"/>
    <s v="LTL"/>
    <n v="8250000"/>
    <n v="0.12"/>
    <d v="2028-08-31T00:00:00"/>
    <n v="1096"/>
    <x v="6"/>
  </r>
  <r>
    <s v="Seylan LT 3"/>
    <s v="LTL"/>
    <n v="50000000"/>
    <n v="0.12"/>
    <d v="2028-09-13T00:00:00"/>
    <n v="1109"/>
    <x v="6"/>
  </r>
  <r>
    <s v="Seylan LT 3"/>
    <s v="LTL"/>
    <n v="25000000"/>
    <n v="0.12"/>
    <d v="2028-09-14T00:00:00"/>
    <n v="1110"/>
    <x v="6"/>
  </r>
  <r>
    <s v="NTB LT 3"/>
    <s v="LTL"/>
    <n v="16666666.67"/>
    <n v="8.0199999999999994E-2"/>
    <d v="2028-09-15T00:00:00"/>
    <n v="1111"/>
    <x v="6"/>
  </r>
  <r>
    <s v="NTB LT 2"/>
    <s v="LTL"/>
    <n v="25000000"/>
    <n v="8.0199999999999994E-2"/>
    <d v="2028-09-18T00:00:00"/>
    <n v="1114"/>
    <x v="6"/>
  </r>
  <r>
    <s v="Cargills LT"/>
    <s v="LTL"/>
    <n v="19898466.57"/>
    <n v="0.12"/>
    <d v="2028-09-19T00:00:00"/>
    <n v="1115"/>
    <x v="6"/>
  </r>
  <r>
    <s v="Commercial Bank LT 3"/>
    <s v="LTL"/>
    <n v="20800000"/>
    <n v="0.1075"/>
    <d v="2028-09-22T00:00:00"/>
    <n v="1118"/>
    <x v="6"/>
  </r>
  <r>
    <s v="Commercial Bank LT 3"/>
    <s v="LTL"/>
    <n v="20800000"/>
    <n v="0.1075"/>
    <d v="2028-09-24T00:00:00"/>
    <n v="1120"/>
    <x v="6"/>
  </r>
  <r>
    <s v="Commercial Bank LT 2"/>
    <s v="LTL"/>
    <n v="16650000"/>
    <n v="0.09"/>
    <d v="2028-09-25T00:00:00"/>
    <n v="1121"/>
    <x v="6"/>
  </r>
  <r>
    <s v="Commercial Bank LT 2"/>
    <s v="LTL"/>
    <n v="16650000"/>
    <n v="0.09"/>
    <d v="2028-09-26T00:00:00"/>
    <n v="1122"/>
    <x v="6"/>
  </r>
  <r>
    <s v="Sampath Bank LT"/>
    <s v="LTL"/>
    <n v="20833000"/>
    <n v="8.0699999999999994E-2"/>
    <d v="2028-09-26T00:00:00"/>
    <n v="1122"/>
    <x v="6"/>
  </r>
  <r>
    <s v="Sampath Bank LT"/>
    <s v="LTL"/>
    <n v="20833000"/>
    <n v="8.0699999999999994E-2"/>
    <d v="2028-09-26T00:00:00"/>
    <n v="1122"/>
    <x v="6"/>
  </r>
  <r>
    <s v="Sampath Bank LT"/>
    <s v="LTL"/>
    <n v="20833000"/>
    <n v="8.0699999999999994E-2"/>
    <d v="2028-09-26T00:00:00"/>
    <n v="1122"/>
    <x v="6"/>
  </r>
  <r>
    <s v="HNB LT 2"/>
    <s v="LTL"/>
    <n v="20833333.333333328"/>
    <n v="0.1075"/>
    <d v="2028-09-27T00:00:00"/>
    <n v="1123"/>
    <x v="6"/>
  </r>
  <r>
    <s v="HNB LT 2"/>
    <s v="LTL"/>
    <n v="20833333.333333328"/>
    <n v="0.1075"/>
    <d v="2028-09-27T00:00:00"/>
    <n v="1123"/>
    <x v="6"/>
  </r>
  <r>
    <s v="HNB LT 2"/>
    <s v="LTL"/>
    <n v="10416666.66666667"/>
    <n v="0.1075"/>
    <d v="2028-09-27T00:00:00"/>
    <n v="1123"/>
    <x v="6"/>
  </r>
  <r>
    <s v="HNB LT 2"/>
    <s v="LTL"/>
    <n v="10416666.66666667"/>
    <n v="0.1075"/>
    <d v="2028-09-27T00:00:00"/>
    <n v="1123"/>
    <x v="6"/>
  </r>
  <r>
    <s v="NTB LT 3"/>
    <s v="LTL"/>
    <n v="16666666.470000001"/>
    <n v="8.0199999999999994E-2"/>
    <d v="2028-09-29T00:00:00"/>
    <n v="1125"/>
    <x v="6"/>
  </r>
  <r>
    <s v="NDB LT"/>
    <s v="LTL"/>
    <n v="8250000"/>
    <n v="0.12"/>
    <d v="2028-09-30T00:00:00"/>
    <n v="1126"/>
    <x v="6"/>
  </r>
  <r>
    <s v="NDB LT"/>
    <s v="LTL"/>
    <n v="8250000"/>
    <n v="0.12"/>
    <d v="2028-09-30T00:00:00"/>
    <n v="1126"/>
    <x v="6"/>
  </r>
  <r>
    <s v="NDB LT"/>
    <s v="LTL"/>
    <n v="8250000"/>
    <n v="0.12"/>
    <d v="2028-09-30T00:00:00"/>
    <n v="1126"/>
    <x v="6"/>
  </r>
  <r>
    <s v="NDB LT"/>
    <s v="LTL"/>
    <n v="8250000"/>
    <n v="0.12"/>
    <d v="2028-09-30T00:00:00"/>
    <n v="1126"/>
    <x v="6"/>
  </r>
  <r>
    <s v="NTB LT 3"/>
    <s v="LTL"/>
    <n v="16666666.67"/>
    <n v="8.0199999999999994E-2"/>
    <d v="2028-10-15T00:00:00"/>
    <n v="1141"/>
    <x v="6"/>
  </r>
  <r>
    <s v="NTB LT 2"/>
    <s v="LTL"/>
    <n v="25000000"/>
    <n v="8.0199999999999994E-2"/>
    <d v="2028-10-18T00:00:00"/>
    <n v="1144"/>
    <x v="6"/>
  </r>
  <r>
    <s v="Cargills LT"/>
    <s v="LTL"/>
    <n v="20169866.079999998"/>
    <n v="0.12"/>
    <d v="2028-10-19T00:00:00"/>
    <n v="1145"/>
    <x v="6"/>
  </r>
  <r>
    <s v="Commercial Bank LT 3"/>
    <s v="LTL"/>
    <n v="20800000"/>
    <n v="0.1075"/>
    <d v="2028-10-22T00:00:00"/>
    <n v="1148"/>
    <x v="6"/>
  </r>
  <r>
    <s v="HNB LT"/>
    <s v="LTL"/>
    <n v="50000000"/>
    <n v="0.12"/>
    <d v="2028-10-23T00:00:00"/>
    <n v="1149"/>
    <x v="6"/>
  </r>
  <r>
    <s v="HNB LT"/>
    <s v="LTL"/>
    <n v="50000000"/>
    <n v="0.12"/>
    <d v="2028-10-23T00:00:00"/>
    <n v="1149"/>
    <x v="6"/>
  </r>
  <r>
    <s v="HNB LT"/>
    <s v="LTL"/>
    <n v="50000000"/>
    <n v="0.12"/>
    <d v="2028-10-23T00:00:00"/>
    <n v="1149"/>
    <x v="6"/>
  </r>
  <r>
    <s v="Commercial Bank LT 3"/>
    <s v="LTL"/>
    <n v="20800000"/>
    <n v="0.1075"/>
    <d v="2028-10-24T00:00:00"/>
    <n v="1150"/>
    <x v="6"/>
  </r>
  <r>
    <s v="Commercial Bank LT 2"/>
    <s v="LTL"/>
    <n v="16650000"/>
    <n v="0.09"/>
    <d v="2028-10-25T00:00:00"/>
    <n v="1151"/>
    <x v="6"/>
  </r>
  <r>
    <s v="Commercial Bank LT 2"/>
    <s v="LTL"/>
    <n v="16650000"/>
    <n v="0.09"/>
    <d v="2028-10-26T00:00:00"/>
    <n v="1152"/>
    <x v="6"/>
  </r>
  <r>
    <s v="Sampath Bank LT"/>
    <s v="LTL"/>
    <n v="20833000"/>
    <n v="8.0699999999999994E-2"/>
    <d v="2028-10-26T00:00:00"/>
    <n v="1152"/>
    <x v="6"/>
  </r>
  <r>
    <s v="Sampath Bank LT"/>
    <s v="LTL"/>
    <n v="20833000"/>
    <n v="8.0699999999999994E-2"/>
    <d v="2028-10-26T00:00:00"/>
    <n v="1152"/>
    <x v="6"/>
  </r>
  <r>
    <s v="Sampath Bank LT"/>
    <s v="LTL"/>
    <n v="20833000"/>
    <n v="8.0699999999999994E-2"/>
    <d v="2028-10-26T00:00:00"/>
    <n v="1152"/>
    <x v="6"/>
  </r>
  <r>
    <s v="HNB LT 2"/>
    <s v="LTL"/>
    <n v="20833333.333333328"/>
    <n v="0.1075"/>
    <d v="2028-10-27T00:00:00"/>
    <n v="1153"/>
    <x v="6"/>
  </r>
  <r>
    <s v="HNB LT 2"/>
    <s v="LTL"/>
    <n v="20833333.333333328"/>
    <n v="0.1075"/>
    <d v="2028-10-27T00:00:00"/>
    <n v="1153"/>
    <x v="6"/>
  </r>
  <r>
    <s v="HNB LT 2"/>
    <s v="LTL"/>
    <n v="10416666.66666667"/>
    <n v="0.1075"/>
    <d v="2028-10-27T00:00:00"/>
    <n v="1153"/>
    <x v="6"/>
  </r>
  <r>
    <s v="HNB LT 2"/>
    <s v="LTL"/>
    <n v="10416666.66666667"/>
    <n v="0.1075"/>
    <d v="2028-10-27T00:00:00"/>
    <n v="1153"/>
    <x v="6"/>
  </r>
  <r>
    <s v="NTB LT 3"/>
    <s v="LTL"/>
    <n v="16666666.470000001"/>
    <n v="8.0199999999999994E-2"/>
    <d v="2028-10-29T00:00:00"/>
    <n v="1155"/>
    <x v="6"/>
  </r>
  <r>
    <s v="NDB LT"/>
    <s v="LTL"/>
    <n v="8250000"/>
    <n v="0.12"/>
    <d v="2028-10-31T00:00:00"/>
    <n v="1157"/>
    <x v="6"/>
  </r>
  <r>
    <s v="NDB LT"/>
    <s v="LTL"/>
    <n v="8250000"/>
    <n v="0.12"/>
    <d v="2028-10-31T00:00:00"/>
    <n v="1157"/>
    <x v="6"/>
  </r>
  <r>
    <s v="NDB LT"/>
    <s v="LTL"/>
    <n v="8250000"/>
    <n v="0.12"/>
    <d v="2028-10-31T00:00:00"/>
    <n v="1157"/>
    <x v="6"/>
  </r>
  <r>
    <s v="NDB LT"/>
    <s v="LTL"/>
    <n v="8250000"/>
    <n v="0.12"/>
    <d v="2028-10-31T00:00:00"/>
    <n v="1157"/>
    <x v="6"/>
  </r>
  <r>
    <s v="NTB LT 3"/>
    <s v="LTL"/>
    <n v="16666666.67"/>
    <n v="8.0199999999999994E-2"/>
    <d v="2028-11-15T00:00:00"/>
    <n v="1172"/>
    <x v="6"/>
  </r>
  <r>
    <s v="NTB LT 2"/>
    <s v="LTL"/>
    <n v="25000000"/>
    <n v="8.0199999999999994E-2"/>
    <d v="2028-11-18T00:00:00"/>
    <n v="1175"/>
    <x v="6"/>
  </r>
  <r>
    <s v="Cargills LT"/>
    <s v="LTL"/>
    <n v="20305718.530000001"/>
    <n v="0.12"/>
    <d v="2028-11-19T00:00:00"/>
    <n v="1176"/>
    <x v="6"/>
  </r>
  <r>
    <s v="Seylan LT 5"/>
    <s v="LTL"/>
    <n v="50000000"/>
    <n v="9.8500000000000004E-2"/>
    <d v="2028-11-21T00:00:00"/>
    <n v="1178"/>
    <x v="6"/>
  </r>
  <r>
    <s v="Commercial Bank LT 3"/>
    <s v="LTL"/>
    <n v="20800000"/>
    <n v="0.1075"/>
    <d v="2028-11-22T00:00:00"/>
    <n v="1179"/>
    <x v="6"/>
  </r>
  <r>
    <s v="Commercial Bank LT 3"/>
    <s v="LTL"/>
    <n v="20800000"/>
    <n v="0.1075"/>
    <d v="2028-11-24T00:00:00"/>
    <n v="1181"/>
    <x v="6"/>
  </r>
  <r>
    <s v="Commercial Bank LT 2"/>
    <s v="LTL"/>
    <n v="16650000"/>
    <n v="0.09"/>
    <d v="2028-11-25T00:00:00"/>
    <n v="1182"/>
    <x v="6"/>
  </r>
  <r>
    <s v="Commercial Bank LT 2"/>
    <s v="LTL"/>
    <n v="16650000"/>
    <n v="0.09"/>
    <d v="2028-11-26T00:00:00"/>
    <n v="1183"/>
    <x v="6"/>
  </r>
  <r>
    <s v="Sampath Bank LT"/>
    <s v="LTL"/>
    <n v="20833000"/>
    <n v="8.0699999999999994E-2"/>
    <d v="2028-11-26T00:00:00"/>
    <n v="1183"/>
    <x v="6"/>
  </r>
  <r>
    <s v="Sampath Bank LT"/>
    <s v="LTL"/>
    <n v="20833000"/>
    <n v="8.0699999999999994E-2"/>
    <d v="2028-11-26T00:00:00"/>
    <n v="1183"/>
    <x v="6"/>
  </r>
  <r>
    <s v="Sampath Bank LT"/>
    <s v="LTL"/>
    <n v="20833000"/>
    <n v="8.0699999999999994E-2"/>
    <d v="2028-11-26T00:00:00"/>
    <n v="1183"/>
    <x v="6"/>
  </r>
  <r>
    <s v="HNB LT 2"/>
    <s v="LTL"/>
    <n v="20833333.333333328"/>
    <n v="0.1075"/>
    <d v="2028-11-27T00:00:00"/>
    <n v="1184"/>
    <x v="6"/>
  </r>
  <r>
    <s v="HNB LT 2"/>
    <s v="LTL"/>
    <n v="20833333.333333328"/>
    <n v="0.1075"/>
    <d v="2028-11-27T00:00:00"/>
    <n v="1184"/>
    <x v="6"/>
  </r>
  <r>
    <s v="HNB LT 2"/>
    <s v="LTL"/>
    <n v="10416666.66666667"/>
    <n v="0.1075"/>
    <d v="2028-11-27T00:00:00"/>
    <n v="1184"/>
    <x v="6"/>
  </r>
  <r>
    <s v="HNB LT 2"/>
    <s v="LTL"/>
    <n v="10416666.66666667"/>
    <n v="0.1075"/>
    <d v="2028-11-27T00:00:00"/>
    <n v="1184"/>
    <x v="6"/>
  </r>
  <r>
    <s v="Seylan LT 5"/>
    <s v="LTL"/>
    <n v="50000000"/>
    <n v="9.8500000000000004E-2"/>
    <d v="2028-11-28T00:00:00"/>
    <n v="1185"/>
    <x v="6"/>
  </r>
  <r>
    <s v="NTB LT 3"/>
    <s v="LTL"/>
    <n v="16666666.470000001"/>
    <n v="8.0199999999999994E-2"/>
    <d v="2028-11-29T00:00:00"/>
    <n v="1186"/>
    <x v="6"/>
  </r>
  <r>
    <s v="NDB LT"/>
    <s v="LTL"/>
    <n v="8250000"/>
    <n v="0.12"/>
    <d v="2028-11-30T00:00:00"/>
    <n v="1187"/>
    <x v="6"/>
  </r>
  <r>
    <s v="NDB LT"/>
    <s v="LTL"/>
    <n v="8250000"/>
    <n v="0.12"/>
    <d v="2028-11-30T00:00:00"/>
    <n v="1187"/>
    <x v="6"/>
  </r>
  <r>
    <s v="NDB LT"/>
    <s v="LTL"/>
    <n v="8250000"/>
    <n v="0.12"/>
    <d v="2028-11-30T00:00:00"/>
    <n v="1187"/>
    <x v="6"/>
  </r>
  <r>
    <s v="NDB LT"/>
    <s v="LTL"/>
    <n v="8250000"/>
    <n v="0.12"/>
    <d v="2028-11-30T00:00:00"/>
    <n v="1187"/>
    <x v="6"/>
  </r>
  <r>
    <s v="Seylan LT 3"/>
    <s v="LTL"/>
    <n v="50000000"/>
    <n v="0.12"/>
    <d v="2028-12-13T00:00:00"/>
    <n v="1200"/>
    <x v="6"/>
  </r>
  <r>
    <s v="Seylan LT 3"/>
    <s v="LTL"/>
    <n v="25000000"/>
    <n v="0.12"/>
    <d v="2028-12-14T00:00:00"/>
    <n v="1201"/>
    <x v="6"/>
  </r>
  <r>
    <s v="NTB LT 3"/>
    <s v="LTL"/>
    <n v="16666666.67"/>
    <n v="8.0199999999999994E-2"/>
    <d v="2028-12-15T00:00:00"/>
    <n v="1202"/>
    <x v="6"/>
  </r>
  <r>
    <s v="NTB LT 2"/>
    <s v="LTL"/>
    <n v="25000000"/>
    <n v="8.0199999999999994E-2"/>
    <d v="2028-12-18T00:00:00"/>
    <n v="1205"/>
    <x v="6"/>
  </r>
  <r>
    <s v="Cargills LT"/>
    <s v="LTL"/>
    <n v="20567986.48"/>
    <n v="0.12"/>
    <d v="2028-12-19T00:00:00"/>
    <n v="1206"/>
    <x v="6"/>
  </r>
  <r>
    <s v="Commercial Bank LT 3"/>
    <s v="LTL"/>
    <n v="20800000"/>
    <n v="0.1075"/>
    <d v="2028-12-22T00:00:00"/>
    <n v="1209"/>
    <x v="6"/>
  </r>
  <r>
    <s v="Commercial Bank LT 3"/>
    <s v="LTL"/>
    <n v="20800000"/>
    <n v="0.1075"/>
    <d v="2028-12-24T00:00:00"/>
    <n v="1211"/>
    <x v="6"/>
  </r>
  <r>
    <s v="Commercial Bank LT 2"/>
    <s v="LTL"/>
    <n v="16650000"/>
    <n v="0.09"/>
    <d v="2028-12-25T00:00:00"/>
    <n v="1212"/>
    <x v="6"/>
  </r>
  <r>
    <s v="Commercial Bank LT 2"/>
    <s v="LTL"/>
    <n v="16650000"/>
    <n v="0.09"/>
    <d v="2028-12-26T00:00:00"/>
    <n v="1213"/>
    <x v="6"/>
  </r>
  <r>
    <s v="Sampath Bank LT"/>
    <s v="LTL"/>
    <n v="20833000"/>
    <n v="8.0699999999999994E-2"/>
    <d v="2028-12-26T00:00:00"/>
    <n v="1213"/>
    <x v="6"/>
  </r>
  <r>
    <s v="Sampath Bank LT"/>
    <s v="LTL"/>
    <n v="20833000"/>
    <n v="8.0699999999999994E-2"/>
    <d v="2028-12-26T00:00:00"/>
    <n v="1213"/>
    <x v="6"/>
  </r>
  <r>
    <s v="Sampath Bank LT"/>
    <s v="LTL"/>
    <n v="20833000"/>
    <n v="8.0699999999999994E-2"/>
    <d v="2028-12-26T00:00:00"/>
    <n v="1213"/>
    <x v="6"/>
  </r>
  <r>
    <s v="HNB LT 2"/>
    <s v="LTL"/>
    <n v="20833333.333333328"/>
    <n v="0.1075"/>
    <d v="2028-12-27T00:00:00"/>
    <n v="1214"/>
    <x v="6"/>
  </r>
  <r>
    <s v="HNB LT 2"/>
    <s v="LTL"/>
    <n v="20833333.333333328"/>
    <n v="0.1075"/>
    <d v="2028-12-27T00:00:00"/>
    <n v="1214"/>
    <x v="6"/>
  </r>
  <r>
    <s v="HNB LT 2"/>
    <s v="LTL"/>
    <n v="10416666.66666667"/>
    <n v="0.1075"/>
    <d v="2028-12-27T00:00:00"/>
    <n v="1214"/>
    <x v="6"/>
  </r>
  <r>
    <s v="HNB LT 2"/>
    <s v="LTL"/>
    <n v="10416666.66666667"/>
    <n v="0.1075"/>
    <d v="2028-12-27T00:00:00"/>
    <n v="1214"/>
    <x v="6"/>
  </r>
  <r>
    <s v="NTB LT 3"/>
    <s v="LTL"/>
    <n v="16666666.470000001"/>
    <n v="8.0199999999999994E-2"/>
    <d v="2028-12-29T00:00:00"/>
    <n v="1216"/>
    <x v="6"/>
  </r>
  <r>
    <s v="NDB LT"/>
    <s v="LTL"/>
    <n v="8250000"/>
    <n v="0.12"/>
    <d v="2028-12-31T00:00:00"/>
    <n v="1218"/>
    <x v="6"/>
  </r>
  <r>
    <s v="NDB LT"/>
    <s v="LTL"/>
    <n v="8250000"/>
    <n v="0.12"/>
    <d v="2028-12-31T00:00:00"/>
    <n v="1218"/>
    <x v="6"/>
  </r>
  <r>
    <s v="NDB LT"/>
    <s v="LTL"/>
    <n v="8250000"/>
    <n v="0.12"/>
    <d v="2028-12-31T00:00:00"/>
    <n v="1218"/>
    <x v="6"/>
  </r>
  <r>
    <s v="NDB LT"/>
    <s v="LTL"/>
    <n v="8250000"/>
    <n v="0.12"/>
    <d v="2028-12-31T00:00:00"/>
    <n v="1218"/>
    <x v="6"/>
  </r>
  <r>
    <s v="NTB LT 3"/>
    <s v="LTL"/>
    <n v="16666666.67"/>
    <n v="8.0199999999999994E-2"/>
    <d v="2029-01-15T00:00:00"/>
    <n v="1233"/>
    <x v="6"/>
  </r>
  <r>
    <s v="NTB LT 2"/>
    <s v="LTL"/>
    <n v="25000000"/>
    <n v="8.0199999999999994E-2"/>
    <d v="2029-01-18T00:00:00"/>
    <n v="1236"/>
    <x v="6"/>
  </r>
  <r>
    <s v="Cargills LT"/>
    <s v="LTL"/>
    <n v="20718732.879999999"/>
    <n v="0.12"/>
    <d v="2029-01-19T00:00:00"/>
    <n v="1237"/>
    <x v="6"/>
  </r>
  <r>
    <s v="Commercial Bank LT 3"/>
    <s v="LTL"/>
    <n v="20800000"/>
    <n v="0.1075"/>
    <d v="2029-01-22T00:00:00"/>
    <n v="1240"/>
    <x v="6"/>
  </r>
  <r>
    <s v="HNB LT"/>
    <s v="LTL"/>
    <n v="50000000"/>
    <n v="0.12"/>
    <d v="2029-01-23T00:00:00"/>
    <n v="1241"/>
    <x v="6"/>
  </r>
  <r>
    <s v="HNB LT"/>
    <s v="LTL"/>
    <n v="50000000"/>
    <n v="0.12"/>
    <d v="2029-01-23T00:00:00"/>
    <n v="1241"/>
    <x v="6"/>
  </r>
  <r>
    <s v="HNB LT"/>
    <s v="LTL"/>
    <n v="50000000"/>
    <n v="0.12"/>
    <d v="2029-01-23T00:00:00"/>
    <n v="1241"/>
    <x v="6"/>
  </r>
  <r>
    <s v="Commercial Bank LT 3"/>
    <s v="LTL"/>
    <n v="20800000"/>
    <n v="0.1075"/>
    <d v="2029-01-24T00:00:00"/>
    <n v="1242"/>
    <x v="6"/>
  </r>
  <r>
    <s v="Commercial Bank LT 2"/>
    <s v="LTL"/>
    <n v="16650000"/>
    <n v="0.09"/>
    <d v="2029-01-25T00:00:00"/>
    <n v="1243"/>
    <x v="6"/>
  </r>
  <r>
    <s v="Commercial Bank LT 2"/>
    <s v="LTL"/>
    <n v="16650000"/>
    <n v="0.09"/>
    <d v="2029-01-26T00:00:00"/>
    <n v="1244"/>
    <x v="6"/>
  </r>
  <r>
    <s v="Sampath Bank LT"/>
    <s v="LTL"/>
    <n v="20833000"/>
    <n v="8.0699999999999994E-2"/>
    <d v="2029-01-26T00:00:00"/>
    <n v="1244"/>
    <x v="6"/>
  </r>
  <r>
    <s v="Sampath Bank LT"/>
    <s v="LTL"/>
    <n v="20833000"/>
    <n v="8.0699999999999994E-2"/>
    <d v="2029-01-26T00:00:00"/>
    <n v="1244"/>
    <x v="6"/>
  </r>
  <r>
    <s v="Sampath Bank LT"/>
    <s v="LTL"/>
    <n v="20833000"/>
    <n v="8.0699999999999994E-2"/>
    <d v="2029-01-26T00:00:00"/>
    <n v="1244"/>
    <x v="6"/>
  </r>
  <r>
    <s v="HNB LT 2"/>
    <s v="LTL"/>
    <n v="20833333.333333328"/>
    <n v="0.1075"/>
    <d v="2029-01-27T00:00:00"/>
    <n v="1245"/>
    <x v="6"/>
  </r>
  <r>
    <s v="HNB LT 2"/>
    <s v="LTL"/>
    <n v="20833333.333333328"/>
    <n v="0.1075"/>
    <d v="2029-01-27T00:00:00"/>
    <n v="1245"/>
    <x v="6"/>
  </r>
  <r>
    <s v="HNB LT 2"/>
    <s v="LTL"/>
    <n v="10416666.66666667"/>
    <n v="0.1075"/>
    <d v="2029-01-27T00:00:00"/>
    <n v="1245"/>
    <x v="6"/>
  </r>
  <r>
    <s v="HNB LT 2"/>
    <s v="LTL"/>
    <n v="10416666.66666667"/>
    <n v="0.1075"/>
    <d v="2029-01-27T00:00:00"/>
    <n v="1245"/>
    <x v="6"/>
  </r>
  <r>
    <s v="NTB LT 3"/>
    <s v="LTL"/>
    <n v="16666666.470000001"/>
    <n v="8.0199999999999994E-2"/>
    <d v="2029-01-29T00:00:00"/>
    <n v="1247"/>
    <x v="6"/>
  </r>
  <r>
    <s v="NDB LT"/>
    <s v="LTL"/>
    <n v="8250000"/>
    <n v="0.12"/>
    <d v="2029-01-31T00:00:00"/>
    <n v="1249"/>
    <x v="6"/>
  </r>
  <r>
    <s v="NDB LT"/>
    <s v="LTL"/>
    <n v="8250000"/>
    <n v="0.12"/>
    <d v="2029-01-31T00:00:00"/>
    <n v="1249"/>
    <x v="6"/>
  </r>
  <r>
    <s v="NDB LT"/>
    <s v="LTL"/>
    <n v="8250000"/>
    <n v="0.12"/>
    <d v="2029-01-31T00:00:00"/>
    <n v="1249"/>
    <x v="6"/>
  </r>
  <r>
    <s v="NDB LT"/>
    <s v="LTL"/>
    <n v="8250000"/>
    <n v="0.12"/>
    <d v="2029-01-31T00:00:00"/>
    <n v="1249"/>
    <x v="6"/>
  </r>
  <r>
    <s v="NTB LT 3"/>
    <s v="LTL"/>
    <n v="16666666.67"/>
    <n v="8.0199999999999994E-2"/>
    <d v="2029-02-15T00:00:00"/>
    <n v="1264"/>
    <x v="6"/>
  </r>
  <r>
    <s v="NTB LT 2"/>
    <s v="LTL"/>
    <n v="25000000"/>
    <n v="8.0199999999999994E-2"/>
    <d v="2029-02-18T00:00:00"/>
    <n v="1267"/>
    <x v="6"/>
  </r>
  <r>
    <s v="Cargills LT"/>
    <s v="LTL"/>
    <n v="20928143.66"/>
    <n v="0.12"/>
    <d v="2029-02-19T00:00:00"/>
    <n v="1268"/>
    <x v="6"/>
  </r>
  <r>
    <s v="Seylan LT 5"/>
    <s v="LTL"/>
    <n v="50000000"/>
    <n v="9.8500000000000004E-2"/>
    <d v="2029-02-21T00:00:00"/>
    <n v="1270"/>
    <x v="6"/>
  </r>
  <r>
    <s v="Commercial Bank LT 3"/>
    <s v="LTL"/>
    <n v="20800000"/>
    <n v="0.1075"/>
    <d v="2029-02-22T00:00:00"/>
    <n v="1271"/>
    <x v="6"/>
  </r>
  <r>
    <s v="Commercial Bank LT 3"/>
    <s v="LTL"/>
    <n v="20800000"/>
    <n v="0.1075"/>
    <d v="2029-02-24T00:00:00"/>
    <n v="1273"/>
    <x v="6"/>
  </r>
  <r>
    <s v="Commercial Bank LT 2"/>
    <s v="LTL"/>
    <n v="16650000"/>
    <n v="0.09"/>
    <d v="2029-02-25T00:00:00"/>
    <n v="1274"/>
    <x v="6"/>
  </r>
  <r>
    <s v="Commercial Bank LT 2"/>
    <s v="LTL"/>
    <n v="16650000"/>
    <n v="0.09"/>
    <d v="2029-02-26T00:00:00"/>
    <n v="1275"/>
    <x v="6"/>
  </r>
  <r>
    <s v="Sampath Bank LT"/>
    <s v="LTL"/>
    <n v="20833000"/>
    <n v="8.0699999999999994E-2"/>
    <d v="2029-02-26T00:00:00"/>
    <n v="1275"/>
    <x v="6"/>
  </r>
  <r>
    <s v="Sampath Bank LT"/>
    <s v="LTL"/>
    <n v="20833000"/>
    <n v="8.0699999999999994E-2"/>
    <d v="2029-02-26T00:00:00"/>
    <n v="1275"/>
    <x v="6"/>
  </r>
  <r>
    <s v="Sampath Bank LT"/>
    <s v="LTL"/>
    <n v="20833000"/>
    <n v="8.0699999999999994E-2"/>
    <d v="2029-02-26T00:00:00"/>
    <n v="1275"/>
    <x v="6"/>
  </r>
  <r>
    <s v="HNB LT 2"/>
    <s v="LTL"/>
    <n v="20833333.333333328"/>
    <n v="0.1075"/>
    <d v="2029-02-27T00:00:00"/>
    <n v="1276"/>
    <x v="6"/>
  </r>
  <r>
    <s v="HNB LT 2"/>
    <s v="LTL"/>
    <n v="20833333.333333328"/>
    <n v="0.1075"/>
    <d v="2029-02-27T00:00:00"/>
    <n v="1276"/>
    <x v="6"/>
  </r>
  <r>
    <s v="HNB LT 2"/>
    <s v="LTL"/>
    <n v="10416666.66666667"/>
    <n v="0.1075"/>
    <d v="2029-02-27T00:00:00"/>
    <n v="1276"/>
    <x v="6"/>
  </r>
  <r>
    <s v="HNB LT 2"/>
    <s v="LTL"/>
    <n v="10416666.66666667"/>
    <n v="0.1075"/>
    <d v="2029-02-27T00:00:00"/>
    <n v="1276"/>
    <x v="6"/>
  </r>
  <r>
    <s v="NDB LT"/>
    <s v="LTL"/>
    <n v="8250000"/>
    <n v="0.12"/>
    <d v="2029-02-28T00:00:00"/>
    <n v="1277"/>
    <x v="6"/>
  </r>
  <r>
    <s v="NDB LT"/>
    <s v="LTL"/>
    <n v="8250000"/>
    <n v="0.12"/>
    <d v="2029-02-28T00:00:00"/>
    <n v="1277"/>
    <x v="6"/>
  </r>
  <r>
    <s v="NDB LT"/>
    <s v="LTL"/>
    <n v="8250000"/>
    <n v="0.12"/>
    <d v="2029-02-28T00:00:00"/>
    <n v="1277"/>
    <x v="6"/>
  </r>
  <r>
    <s v="NDB LT"/>
    <s v="LTL"/>
    <n v="8250000"/>
    <n v="0.12"/>
    <d v="2029-02-28T00:00:00"/>
    <n v="1277"/>
    <x v="6"/>
  </r>
  <r>
    <s v="NTB LT 3"/>
    <s v="LTL"/>
    <n v="16666666.470000001"/>
    <n v="8.0199999999999994E-2"/>
    <d v="2029-02-28T00:00:00"/>
    <n v="1277"/>
    <x v="6"/>
  </r>
  <r>
    <s v="Seylan LT 5"/>
    <s v="LTL"/>
    <n v="50000000"/>
    <n v="9.8500000000000004E-2"/>
    <d v="2029-02-28T00:00:00"/>
    <n v="1277"/>
    <x v="6"/>
  </r>
  <r>
    <s v="Seylan LT 3"/>
    <s v="LTL"/>
    <n v="50000000"/>
    <n v="0.12"/>
    <d v="2029-03-13T00:00:00"/>
    <n v="1290"/>
    <x v="6"/>
  </r>
  <r>
    <s v="Seylan LT 3"/>
    <s v="LTL"/>
    <n v="25000000"/>
    <n v="0.12"/>
    <d v="2029-03-14T00:00:00"/>
    <n v="1291"/>
    <x v="6"/>
  </r>
  <r>
    <s v="NTB LT 3"/>
    <s v="LTL"/>
    <n v="16666666.67"/>
    <n v="8.0199999999999994E-2"/>
    <d v="2029-03-15T00:00:00"/>
    <n v="1292"/>
    <x v="6"/>
  </r>
  <r>
    <s v="NTB LT 2"/>
    <s v="LTL"/>
    <n v="25000000"/>
    <n v="8.0199999999999994E-2"/>
    <d v="2029-03-18T00:00:00"/>
    <n v="1295"/>
    <x v="6"/>
  </r>
  <r>
    <s v="Cargills LT"/>
    <s v="LTL"/>
    <n v="21248181.359999999"/>
    <n v="0.12"/>
    <d v="2029-03-19T00:00:00"/>
    <n v="1296"/>
    <x v="6"/>
  </r>
  <r>
    <s v="Commercial Bank LT 3"/>
    <s v="LTL"/>
    <n v="20800000"/>
    <n v="0.1075"/>
    <d v="2029-03-22T00:00:00"/>
    <n v="1299"/>
    <x v="6"/>
  </r>
  <r>
    <s v="Commercial Bank LT 3"/>
    <s v="LTL"/>
    <n v="20800000"/>
    <n v="0.1075"/>
    <d v="2029-03-24T00:00:00"/>
    <n v="1301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2:J10" firstHeaderRow="1" firstDataRow="1" firstDataCol="1"/>
  <pivotFields count="7">
    <pivotField showAll="0"/>
    <pivotField showAll="0"/>
    <pivotField dataField="1" numFmtId="164" showAll="0"/>
    <pivotField numFmtId="10" showAll="0"/>
    <pivotField numFmtId="14" showAll="0"/>
    <pivotField showAll="0"/>
    <pivotField axis="axisRow" showAll="0" sortType="ascending">
      <items count="10">
        <item x="0"/>
        <item x="1"/>
        <item x="2"/>
        <item x="3"/>
        <item x="4"/>
        <item x="5"/>
        <item x="6"/>
        <item m="1" x="7"/>
        <item m="1" x="8"/>
        <item t="default"/>
      </items>
    </pivotField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Amount" fld="2" baseField="0" baseItem="0" numFmtId="164"/>
  </dataFields>
  <formats count="1">
    <format dxfId="1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B0F0"/>
  </sheetPr>
  <dimension ref="A1:O561"/>
  <sheetViews>
    <sheetView zoomScale="85" zoomScaleNormal="85" zoomScaleSheetLayoutView="90" workbookViewId="0">
      <pane xSplit="3" ySplit="3" topLeftCell="D94" activePane="bottomRight" state="frozen"/>
      <selection activeCell="B2404" sqref="B2404"/>
      <selection pane="topRight" activeCell="B2404" sqref="B2404"/>
      <selection pane="bottomLeft" activeCell="B2404" sqref="B2404"/>
      <selection pane="bottomRight" activeCell="G108" sqref="G108"/>
    </sheetView>
  </sheetViews>
  <sheetFormatPr defaultColWidth="9.109375" defaultRowHeight="14.4" x14ac:dyDescent="0.3"/>
  <cols>
    <col min="1" max="1" width="14.33203125" style="20" bestFit="1" customWidth="1"/>
    <col min="2" max="2" width="14.33203125" style="20" customWidth="1"/>
    <col min="3" max="3" width="70.33203125" style="20" customWidth="1"/>
    <col min="4" max="4" width="15.44140625" style="44" customWidth="1"/>
    <col min="5" max="5" width="17.33203125" style="44" customWidth="1"/>
    <col min="6" max="15" width="9.109375" style="124" customWidth="1"/>
    <col min="16" max="18" width="9.109375" style="20" customWidth="1"/>
    <col min="19" max="16384" width="9.109375" style="20"/>
  </cols>
  <sheetData>
    <row r="1" spans="1:5" ht="15.75" customHeight="1" x14ac:dyDescent="0.3">
      <c r="A1" s="120" t="s">
        <v>0</v>
      </c>
      <c r="B1" s="121"/>
      <c r="C1" s="122"/>
      <c r="D1" s="123" t="s">
        <v>1</v>
      </c>
      <c r="E1" s="123" t="s">
        <v>2</v>
      </c>
    </row>
    <row r="2" spans="1:5" ht="15.75" customHeight="1" x14ac:dyDescent="0.3">
      <c r="A2" s="122"/>
      <c r="B2" s="121"/>
      <c r="C2" s="122"/>
      <c r="D2" s="180">
        <v>45900</v>
      </c>
      <c r="E2" s="181"/>
    </row>
    <row r="3" spans="1:5" ht="15.75" customHeight="1" x14ac:dyDescent="0.3">
      <c r="A3" s="122"/>
      <c r="B3" s="121"/>
      <c r="C3" s="125" t="s">
        <v>3</v>
      </c>
      <c r="D3" s="126">
        <v>0</v>
      </c>
      <c r="E3" s="126">
        <v>-0.6385955810546875</v>
      </c>
    </row>
    <row r="4" spans="1:5" ht="16.2" customHeight="1" x14ac:dyDescent="0.3">
      <c r="A4" s="122" t="s">
        <v>4</v>
      </c>
      <c r="B4" s="122" t="s">
        <v>5</v>
      </c>
      <c r="C4" s="122" t="s">
        <v>6</v>
      </c>
      <c r="D4" s="127">
        <v>67585381</v>
      </c>
      <c r="E4" s="127">
        <v>67585380126.221413</v>
      </c>
    </row>
    <row r="5" spans="1:5" ht="16.2" customHeight="1" x14ac:dyDescent="0.3">
      <c r="A5" s="31" t="s">
        <v>7</v>
      </c>
      <c r="B5" s="31" t="s">
        <v>8</v>
      </c>
      <c r="C5" s="31" t="s">
        <v>9</v>
      </c>
      <c r="D5" s="38">
        <v>726315</v>
      </c>
      <c r="E5" s="38">
        <v>726315418.23999989</v>
      </c>
    </row>
    <row r="6" spans="1:5" x14ac:dyDescent="0.3">
      <c r="A6" s="28" t="s">
        <v>10</v>
      </c>
      <c r="B6" s="28" t="s">
        <v>11</v>
      </c>
      <c r="C6" s="28" t="s">
        <v>12</v>
      </c>
      <c r="D6" s="35">
        <v>285966</v>
      </c>
      <c r="E6" s="35">
        <v>285966158.22000003</v>
      </c>
    </row>
    <row r="7" spans="1:5" x14ac:dyDescent="0.3">
      <c r="A7" s="28" t="s">
        <v>13</v>
      </c>
      <c r="B7" s="28" t="s">
        <v>14</v>
      </c>
      <c r="C7" s="28" t="s">
        <v>15</v>
      </c>
      <c r="D7" s="35">
        <v>0</v>
      </c>
      <c r="E7" s="35">
        <v>0</v>
      </c>
    </row>
    <row r="8" spans="1:5" x14ac:dyDescent="0.3">
      <c r="A8" s="39" t="s">
        <v>16</v>
      </c>
      <c r="B8" s="39" t="s">
        <v>17</v>
      </c>
      <c r="C8" s="28" t="s">
        <v>18</v>
      </c>
      <c r="D8" s="35">
        <v>418563</v>
      </c>
      <c r="E8" s="35">
        <v>418563016.3599999</v>
      </c>
    </row>
    <row r="9" spans="1:5" x14ac:dyDescent="0.3">
      <c r="A9" s="39" t="s">
        <v>19</v>
      </c>
      <c r="B9" s="39" t="s">
        <v>20</v>
      </c>
      <c r="C9" s="28" t="s">
        <v>21</v>
      </c>
      <c r="D9" s="35">
        <v>21786</v>
      </c>
      <c r="E9" s="35">
        <v>21786243.66</v>
      </c>
    </row>
    <row r="10" spans="1:5" x14ac:dyDescent="0.3">
      <c r="A10" s="28" t="s">
        <v>22</v>
      </c>
      <c r="B10" s="28" t="s">
        <v>23</v>
      </c>
      <c r="C10" s="28" t="s">
        <v>24</v>
      </c>
      <c r="D10" s="35">
        <v>0</v>
      </c>
      <c r="E10" s="35">
        <v>0</v>
      </c>
    </row>
    <row r="11" spans="1:5" ht="16.2" customHeight="1" x14ac:dyDescent="0.3">
      <c r="A11" s="31" t="s">
        <v>25</v>
      </c>
      <c r="B11" s="31" t="s">
        <v>26</v>
      </c>
      <c r="C11" s="31" t="s">
        <v>27</v>
      </c>
      <c r="D11" s="38">
        <v>1925180</v>
      </c>
      <c r="E11" s="38">
        <v>1925179485.95</v>
      </c>
    </row>
    <row r="12" spans="1:5" x14ac:dyDescent="0.3">
      <c r="A12" s="28" t="s">
        <v>28</v>
      </c>
      <c r="B12" s="28" t="s">
        <v>29</v>
      </c>
      <c r="C12" s="28" t="s">
        <v>30</v>
      </c>
      <c r="D12" s="35">
        <v>0</v>
      </c>
      <c r="E12" s="35">
        <v>0</v>
      </c>
    </row>
    <row r="13" spans="1:5" x14ac:dyDescent="0.3">
      <c r="A13" s="28" t="s">
        <v>31</v>
      </c>
      <c r="B13" s="28" t="s">
        <v>32</v>
      </c>
      <c r="C13" s="28" t="s">
        <v>33</v>
      </c>
      <c r="D13" s="35">
        <v>1025521</v>
      </c>
      <c r="E13" s="35">
        <v>1025520548</v>
      </c>
    </row>
    <row r="14" spans="1:5" x14ac:dyDescent="0.3">
      <c r="A14" s="28" t="s">
        <v>34</v>
      </c>
      <c r="B14" s="28" t="s">
        <v>35</v>
      </c>
      <c r="C14" s="28" t="s">
        <v>36</v>
      </c>
      <c r="D14" s="35">
        <v>899659</v>
      </c>
      <c r="E14" s="35">
        <v>899658937.95000005</v>
      </c>
    </row>
    <row r="15" spans="1:5" ht="16.2" customHeight="1" x14ac:dyDescent="0.3">
      <c r="A15" s="31" t="s">
        <v>37</v>
      </c>
      <c r="B15" s="31" t="s">
        <v>38</v>
      </c>
      <c r="C15" s="31" t="s">
        <v>39</v>
      </c>
      <c r="D15" s="38">
        <v>0</v>
      </c>
      <c r="E15" s="38">
        <v>0</v>
      </c>
    </row>
    <row r="16" spans="1:5" x14ac:dyDescent="0.3">
      <c r="A16" s="39" t="s">
        <v>40</v>
      </c>
      <c r="B16" s="39" t="s">
        <v>41</v>
      </c>
      <c r="C16" s="28" t="s">
        <v>42</v>
      </c>
      <c r="D16" s="35">
        <v>0</v>
      </c>
      <c r="E16" s="35">
        <v>0</v>
      </c>
    </row>
    <row r="17" spans="1:5" x14ac:dyDescent="0.3">
      <c r="A17" s="39" t="s">
        <v>43</v>
      </c>
      <c r="B17" s="39" t="s">
        <v>44</v>
      </c>
      <c r="C17" s="28" t="s">
        <v>45</v>
      </c>
      <c r="D17" s="35">
        <v>0</v>
      </c>
      <c r="E17" s="35">
        <v>0</v>
      </c>
    </row>
    <row r="18" spans="1:5" x14ac:dyDescent="0.3">
      <c r="A18" s="39" t="s">
        <v>46</v>
      </c>
      <c r="B18" s="39" t="s">
        <v>47</v>
      </c>
      <c r="C18" s="28" t="s">
        <v>48</v>
      </c>
      <c r="D18" s="35">
        <v>0</v>
      </c>
      <c r="E18" s="35">
        <v>0</v>
      </c>
    </row>
    <row r="19" spans="1:5" x14ac:dyDescent="0.3">
      <c r="A19" s="39" t="s">
        <v>49</v>
      </c>
      <c r="B19" s="39" t="s">
        <v>50</v>
      </c>
      <c r="C19" s="28" t="s">
        <v>51</v>
      </c>
      <c r="D19" s="35">
        <v>0</v>
      </c>
      <c r="E19" s="35">
        <v>0</v>
      </c>
    </row>
    <row r="20" spans="1:5" x14ac:dyDescent="0.3">
      <c r="A20" s="39" t="s">
        <v>52</v>
      </c>
      <c r="B20" s="39" t="s">
        <v>53</v>
      </c>
      <c r="C20" s="28" t="s">
        <v>54</v>
      </c>
      <c r="D20" s="35">
        <v>0</v>
      </c>
      <c r="E20" s="35">
        <v>0</v>
      </c>
    </row>
    <row r="21" spans="1:5" x14ac:dyDescent="0.3">
      <c r="A21" s="39" t="s">
        <v>55</v>
      </c>
      <c r="B21" s="39" t="s">
        <v>56</v>
      </c>
      <c r="C21" s="28" t="s">
        <v>57</v>
      </c>
      <c r="D21" s="35">
        <v>0</v>
      </c>
      <c r="E21" s="35">
        <v>0</v>
      </c>
    </row>
    <row r="22" spans="1:5" x14ac:dyDescent="0.3">
      <c r="A22" s="31" t="s">
        <v>58</v>
      </c>
      <c r="B22" s="31" t="s">
        <v>59</v>
      </c>
      <c r="C22" s="31" t="s">
        <v>60</v>
      </c>
      <c r="D22" s="38">
        <v>0</v>
      </c>
      <c r="E22" s="38">
        <v>0</v>
      </c>
    </row>
    <row r="23" spans="1:5" x14ac:dyDescent="0.3">
      <c r="A23" s="28" t="s">
        <v>61</v>
      </c>
      <c r="B23" s="28" t="s">
        <v>62</v>
      </c>
      <c r="C23" s="28" t="s">
        <v>63</v>
      </c>
      <c r="D23" s="35">
        <v>0</v>
      </c>
      <c r="E23" s="35">
        <v>0</v>
      </c>
    </row>
    <row r="24" spans="1:5" x14ac:dyDescent="0.3">
      <c r="A24" s="28" t="s">
        <v>64</v>
      </c>
      <c r="B24" s="28" t="s">
        <v>65</v>
      </c>
      <c r="C24" s="28" t="s">
        <v>66</v>
      </c>
      <c r="D24" s="35">
        <v>0</v>
      </c>
      <c r="E24" s="35">
        <v>0</v>
      </c>
    </row>
    <row r="25" spans="1:5" x14ac:dyDescent="0.3">
      <c r="A25" s="28" t="s">
        <v>67</v>
      </c>
      <c r="B25" s="28" t="s">
        <v>68</v>
      </c>
      <c r="C25" s="28" t="s">
        <v>69</v>
      </c>
      <c r="D25" s="35">
        <v>0</v>
      </c>
      <c r="E25" s="35">
        <v>0</v>
      </c>
    </row>
    <row r="26" spans="1:5" x14ac:dyDescent="0.3">
      <c r="A26" s="28" t="s">
        <v>70</v>
      </c>
      <c r="B26" s="28" t="s">
        <v>71</v>
      </c>
      <c r="C26" s="28" t="s">
        <v>72</v>
      </c>
      <c r="D26" s="35">
        <v>0</v>
      </c>
      <c r="E26" s="35">
        <v>0</v>
      </c>
    </row>
    <row r="27" spans="1:5" x14ac:dyDescent="0.3">
      <c r="A27" s="28" t="s">
        <v>73</v>
      </c>
      <c r="B27" s="28" t="s">
        <v>74</v>
      </c>
      <c r="C27" s="28" t="s">
        <v>75</v>
      </c>
      <c r="D27" s="35">
        <v>0</v>
      </c>
      <c r="E27" s="35">
        <v>0</v>
      </c>
    </row>
    <row r="28" spans="1:5" x14ac:dyDescent="0.3">
      <c r="A28" s="31" t="s">
        <v>76</v>
      </c>
      <c r="B28" s="31" t="s">
        <v>77</v>
      </c>
      <c r="C28" s="31" t="s">
        <v>78</v>
      </c>
      <c r="D28" s="38">
        <v>0</v>
      </c>
      <c r="E28" s="38">
        <v>0</v>
      </c>
    </row>
    <row r="29" spans="1:5" x14ac:dyDescent="0.3">
      <c r="A29" s="28" t="s">
        <v>79</v>
      </c>
      <c r="B29" s="28" t="s">
        <v>80</v>
      </c>
      <c r="C29" s="28" t="s">
        <v>81</v>
      </c>
      <c r="D29" s="35">
        <v>0</v>
      </c>
      <c r="E29" s="35">
        <v>0</v>
      </c>
    </row>
    <row r="30" spans="1:5" x14ac:dyDescent="0.3">
      <c r="A30" s="28" t="s">
        <v>82</v>
      </c>
      <c r="B30" s="28" t="s">
        <v>83</v>
      </c>
      <c r="C30" s="28" t="s">
        <v>84</v>
      </c>
      <c r="D30" s="35">
        <v>0</v>
      </c>
      <c r="E30" s="35">
        <v>0</v>
      </c>
    </row>
    <row r="31" spans="1:5" x14ac:dyDescent="0.3">
      <c r="A31" s="28" t="s">
        <v>85</v>
      </c>
      <c r="B31" s="28" t="s">
        <v>86</v>
      </c>
      <c r="C31" s="28" t="s">
        <v>87</v>
      </c>
      <c r="D31" s="35">
        <v>0</v>
      </c>
      <c r="E31" s="35">
        <v>0</v>
      </c>
    </row>
    <row r="32" spans="1:5" x14ac:dyDescent="0.3">
      <c r="A32" s="28" t="s">
        <v>88</v>
      </c>
      <c r="B32" s="28" t="s">
        <v>89</v>
      </c>
      <c r="C32" s="28" t="s">
        <v>90</v>
      </c>
      <c r="D32" s="35">
        <v>0</v>
      </c>
      <c r="E32" s="35">
        <v>0</v>
      </c>
    </row>
    <row r="33" spans="1:5" x14ac:dyDescent="0.3">
      <c r="A33" s="28" t="s">
        <v>91</v>
      </c>
      <c r="B33" s="28" t="s">
        <v>92</v>
      </c>
      <c r="C33" s="28" t="s">
        <v>93</v>
      </c>
      <c r="D33" s="35">
        <v>0</v>
      </c>
      <c r="E33" s="35">
        <v>0</v>
      </c>
    </row>
    <row r="34" spans="1:5" ht="16.2" customHeight="1" x14ac:dyDescent="0.3">
      <c r="A34" s="31" t="s">
        <v>94</v>
      </c>
      <c r="B34" s="31" t="s">
        <v>95</v>
      </c>
      <c r="C34" s="31" t="s">
        <v>96</v>
      </c>
      <c r="D34" s="38">
        <v>6090062</v>
      </c>
      <c r="E34" s="38">
        <v>6090061357.0200005</v>
      </c>
    </row>
    <row r="35" spans="1:5" x14ac:dyDescent="0.3">
      <c r="A35" s="28" t="s">
        <v>97</v>
      </c>
      <c r="B35" s="28" t="s">
        <v>98</v>
      </c>
      <c r="C35" s="28" t="s">
        <v>81</v>
      </c>
      <c r="D35" s="35">
        <v>6089867</v>
      </c>
      <c r="E35" s="35">
        <v>6089866657.0200005</v>
      </c>
    </row>
    <row r="36" spans="1:5" x14ac:dyDescent="0.3">
      <c r="A36" s="28" t="s">
        <v>99</v>
      </c>
      <c r="B36" s="28" t="s">
        <v>100</v>
      </c>
      <c r="C36" s="28" t="s">
        <v>84</v>
      </c>
      <c r="D36" s="35">
        <v>195</v>
      </c>
      <c r="E36" s="35">
        <v>194700</v>
      </c>
    </row>
    <row r="37" spans="1:5" x14ac:dyDescent="0.3">
      <c r="A37" s="28" t="s">
        <v>101</v>
      </c>
      <c r="B37" s="28" t="s">
        <v>102</v>
      </c>
      <c r="C37" s="28" t="s">
        <v>87</v>
      </c>
      <c r="D37" s="35">
        <v>0</v>
      </c>
      <c r="E37" s="35">
        <v>0</v>
      </c>
    </row>
    <row r="38" spans="1:5" x14ac:dyDescent="0.3">
      <c r="A38" s="28" t="s">
        <v>103</v>
      </c>
      <c r="B38" s="28" t="s">
        <v>104</v>
      </c>
      <c r="C38" s="28" t="s">
        <v>90</v>
      </c>
      <c r="D38" s="35">
        <v>0</v>
      </c>
      <c r="E38" s="35">
        <v>0</v>
      </c>
    </row>
    <row r="39" spans="1:5" x14ac:dyDescent="0.3">
      <c r="A39" s="28" t="s">
        <v>105</v>
      </c>
      <c r="B39" s="28" t="s">
        <v>106</v>
      </c>
      <c r="C39" s="28" t="s">
        <v>107</v>
      </c>
      <c r="D39" s="35">
        <v>0</v>
      </c>
      <c r="E39" s="35">
        <v>0</v>
      </c>
    </row>
    <row r="40" spans="1:5" ht="16.2" customHeight="1" x14ac:dyDescent="0.3">
      <c r="A40" s="31" t="s">
        <v>108</v>
      </c>
      <c r="B40" s="31" t="s">
        <v>109</v>
      </c>
      <c r="C40" s="31" t="s">
        <v>110</v>
      </c>
      <c r="D40" s="38">
        <v>0</v>
      </c>
      <c r="E40" s="38">
        <v>0</v>
      </c>
    </row>
    <row r="41" spans="1:5" x14ac:dyDescent="0.3">
      <c r="A41" s="28" t="s">
        <v>111</v>
      </c>
      <c r="B41" s="28" t="s">
        <v>112</v>
      </c>
      <c r="C41" s="28" t="s">
        <v>81</v>
      </c>
      <c r="D41" s="35">
        <v>0</v>
      </c>
      <c r="E41" s="35">
        <v>0</v>
      </c>
    </row>
    <row r="42" spans="1:5" x14ac:dyDescent="0.3">
      <c r="A42" s="28" t="s">
        <v>113</v>
      </c>
      <c r="B42" s="28" t="s">
        <v>114</v>
      </c>
      <c r="C42" s="28" t="s">
        <v>87</v>
      </c>
      <c r="D42" s="35">
        <v>0</v>
      </c>
      <c r="E42" s="35">
        <v>0</v>
      </c>
    </row>
    <row r="43" spans="1:5" x14ac:dyDescent="0.3">
      <c r="A43" s="28" t="s">
        <v>115</v>
      </c>
      <c r="B43" s="28" t="s">
        <v>116</v>
      </c>
      <c r="C43" s="28" t="s">
        <v>90</v>
      </c>
      <c r="D43" s="35">
        <v>0</v>
      </c>
      <c r="E43" s="35">
        <v>0</v>
      </c>
    </row>
    <row r="44" spans="1:5" x14ac:dyDescent="0.3">
      <c r="A44" s="28" t="s">
        <v>117</v>
      </c>
      <c r="B44" s="28" t="s">
        <v>118</v>
      </c>
      <c r="C44" s="28" t="s">
        <v>119</v>
      </c>
      <c r="D44" s="35">
        <v>0</v>
      </c>
      <c r="E44" s="35">
        <v>0</v>
      </c>
    </row>
    <row r="45" spans="1:5" x14ac:dyDescent="0.3">
      <c r="A45" s="31" t="s">
        <v>120</v>
      </c>
      <c r="B45" s="31" t="s">
        <v>121</v>
      </c>
      <c r="C45" s="31" t="s">
        <v>122</v>
      </c>
      <c r="D45" s="38">
        <v>57222880</v>
      </c>
      <c r="E45" s="38">
        <v>57222879779.690483</v>
      </c>
    </row>
    <row r="46" spans="1:5" ht="16.2" customHeight="1" x14ac:dyDescent="0.3">
      <c r="A46" s="129" t="s">
        <v>123</v>
      </c>
      <c r="B46" s="129" t="s">
        <v>124</v>
      </c>
      <c r="C46" s="129" t="s">
        <v>125</v>
      </c>
      <c r="D46" s="130">
        <v>50599834</v>
      </c>
      <c r="E46" s="130">
        <v>50599833920.767754</v>
      </c>
    </row>
    <row r="47" spans="1:5" x14ac:dyDescent="0.3">
      <c r="A47" s="131" t="s">
        <v>126</v>
      </c>
      <c r="B47" s="131" t="s">
        <v>127</v>
      </c>
      <c r="C47" s="131" t="s">
        <v>128</v>
      </c>
      <c r="D47" s="35">
        <v>50953620</v>
      </c>
      <c r="E47" s="35">
        <v>50953620002.453598</v>
      </c>
    </row>
    <row r="48" spans="1:5" x14ac:dyDescent="0.3">
      <c r="A48" s="131" t="s">
        <v>129</v>
      </c>
      <c r="B48" s="131" t="s">
        <v>130</v>
      </c>
      <c r="C48" s="131" t="s">
        <v>131</v>
      </c>
      <c r="D48" s="35">
        <v>-353786</v>
      </c>
      <c r="E48" s="35">
        <v>-353786081.68584943</v>
      </c>
    </row>
    <row r="49" spans="1:5" ht="16.2" customHeight="1" x14ac:dyDescent="0.3">
      <c r="A49" s="129" t="s">
        <v>132</v>
      </c>
      <c r="B49" s="129" t="s">
        <v>133</v>
      </c>
      <c r="C49" s="129" t="s">
        <v>134</v>
      </c>
      <c r="D49" s="130">
        <v>5496584</v>
      </c>
      <c r="E49" s="130">
        <v>5496584659.2456865</v>
      </c>
    </row>
    <row r="50" spans="1:5" x14ac:dyDescent="0.3">
      <c r="A50" s="131" t="s">
        <v>135</v>
      </c>
      <c r="B50" s="131" t="s">
        <v>136</v>
      </c>
      <c r="C50" s="131" t="s">
        <v>128</v>
      </c>
      <c r="D50" s="35">
        <v>5789370</v>
      </c>
      <c r="E50" s="35">
        <v>5789370185.4516058</v>
      </c>
    </row>
    <row r="51" spans="1:5" x14ac:dyDescent="0.3">
      <c r="A51" s="131" t="s">
        <v>137</v>
      </c>
      <c r="B51" s="131" t="s">
        <v>138</v>
      </c>
      <c r="C51" s="131" t="s">
        <v>131</v>
      </c>
      <c r="D51" s="35">
        <v>-292786</v>
      </c>
      <c r="E51" s="35">
        <v>-292785526.20591891</v>
      </c>
    </row>
    <row r="52" spans="1:5" ht="16.2" customHeight="1" x14ac:dyDescent="0.3">
      <c r="A52" s="129" t="s">
        <v>139</v>
      </c>
      <c r="B52" s="129" t="s">
        <v>140</v>
      </c>
      <c r="C52" s="129" t="s">
        <v>141</v>
      </c>
      <c r="D52" s="130">
        <v>1126462</v>
      </c>
      <c r="E52" s="130">
        <v>1126461199.6770411</v>
      </c>
    </row>
    <row r="53" spans="1:5" x14ac:dyDescent="0.3">
      <c r="A53" s="131" t="s">
        <v>142</v>
      </c>
      <c r="B53" s="131" t="s">
        <v>143</v>
      </c>
      <c r="C53" s="131" t="s">
        <v>128</v>
      </c>
      <c r="D53" s="35">
        <v>2447442</v>
      </c>
      <c r="E53" s="35">
        <v>2447441656.2345648</v>
      </c>
    </row>
    <row r="54" spans="1:5" x14ac:dyDescent="0.3">
      <c r="A54" s="131" t="s">
        <v>144</v>
      </c>
      <c r="B54" s="131" t="s">
        <v>145</v>
      </c>
      <c r="C54" s="131" t="s">
        <v>131</v>
      </c>
      <c r="D54" s="35">
        <v>-1320980</v>
      </c>
      <c r="E54" s="35">
        <v>-1320980456.557524</v>
      </c>
    </row>
    <row r="55" spans="1:5" x14ac:dyDescent="0.3">
      <c r="A55" s="31" t="s">
        <v>146</v>
      </c>
      <c r="B55" s="31" t="s">
        <v>147</v>
      </c>
      <c r="C55" s="31" t="s">
        <v>148</v>
      </c>
      <c r="D55" s="38">
        <v>88944</v>
      </c>
      <c r="E55" s="38">
        <v>88944091.510945007</v>
      </c>
    </row>
    <row r="56" spans="1:5" ht="16.2" customHeight="1" x14ac:dyDescent="0.3">
      <c r="A56" s="129" t="s">
        <v>149</v>
      </c>
      <c r="B56" s="129" t="s">
        <v>150</v>
      </c>
      <c r="C56" s="129" t="s">
        <v>125</v>
      </c>
      <c r="D56" s="130">
        <v>88944</v>
      </c>
      <c r="E56" s="130">
        <v>88944091.510945007</v>
      </c>
    </row>
    <row r="57" spans="1:5" x14ac:dyDescent="0.3">
      <c r="A57" s="131" t="s">
        <v>151</v>
      </c>
      <c r="B57" s="131" t="s">
        <v>152</v>
      </c>
      <c r="C57" s="131" t="s">
        <v>128</v>
      </c>
      <c r="D57" s="35">
        <v>89361</v>
      </c>
      <c r="E57" s="35">
        <v>89361050.969999999</v>
      </c>
    </row>
    <row r="58" spans="1:5" x14ac:dyDescent="0.3">
      <c r="A58" s="131" t="s">
        <v>153</v>
      </c>
      <c r="B58" s="131" t="s">
        <v>154</v>
      </c>
      <c r="C58" s="131" t="s">
        <v>131</v>
      </c>
      <c r="D58" s="35">
        <v>-417</v>
      </c>
      <c r="E58" s="35">
        <v>-416959.45905499422</v>
      </c>
    </row>
    <row r="59" spans="1:5" ht="16.2" customHeight="1" x14ac:dyDescent="0.3">
      <c r="A59" s="129" t="s">
        <v>155</v>
      </c>
      <c r="B59" s="129" t="s">
        <v>156</v>
      </c>
      <c r="C59" s="129" t="s">
        <v>134</v>
      </c>
      <c r="D59" s="130">
        <v>0</v>
      </c>
      <c r="E59" s="130">
        <v>0</v>
      </c>
    </row>
    <row r="60" spans="1:5" x14ac:dyDescent="0.3">
      <c r="A60" s="131" t="s">
        <v>157</v>
      </c>
      <c r="B60" s="131" t="s">
        <v>158</v>
      </c>
      <c r="C60" s="131" t="s">
        <v>128</v>
      </c>
      <c r="D60" s="35">
        <v>0</v>
      </c>
      <c r="E60" s="35">
        <v>0</v>
      </c>
    </row>
    <row r="61" spans="1:5" x14ac:dyDescent="0.3">
      <c r="A61" s="131" t="s">
        <v>159</v>
      </c>
      <c r="B61" s="131" t="s">
        <v>160</v>
      </c>
      <c r="C61" s="131" t="s">
        <v>131</v>
      </c>
      <c r="D61" s="35">
        <v>0</v>
      </c>
      <c r="E61" s="35">
        <v>0</v>
      </c>
    </row>
    <row r="62" spans="1:5" ht="16.2" customHeight="1" x14ac:dyDescent="0.3">
      <c r="A62" s="129" t="s">
        <v>161</v>
      </c>
      <c r="B62" s="129" t="s">
        <v>162</v>
      </c>
      <c r="C62" s="129" t="s">
        <v>141</v>
      </c>
      <c r="D62" s="130">
        <v>0</v>
      </c>
      <c r="E62" s="130">
        <v>0</v>
      </c>
    </row>
    <row r="63" spans="1:5" x14ac:dyDescent="0.3">
      <c r="A63" s="131" t="s">
        <v>163</v>
      </c>
      <c r="B63" s="131" t="s">
        <v>164</v>
      </c>
      <c r="C63" s="131" t="s">
        <v>128</v>
      </c>
      <c r="D63" s="35">
        <v>0</v>
      </c>
      <c r="E63" s="35">
        <v>0</v>
      </c>
    </row>
    <row r="64" spans="1:5" x14ac:dyDescent="0.3">
      <c r="A64" s="131" t="s">
        <v>165</v>
      </c>
      <c r="B64" s="131" t="s">
        <v>166</v>
      </c>
      <c r="C64" s="131" t="s">
        <v>131</v>
      </c>
      <c r="D64" s="35">
        <v>0</v>
      </c>
      <c r="E64" s="35">
        <v>0</v>
      </c>
    </row>
    <row r="65" spans="1:5" ht="16.2" customHeight="1" x14ac:dyDescent="0.3">
      <c r="A65" s="31" t="s">
        <v>167</v>
      </c>
      <c r="B65" s="31" t="s">
        <v>168</v>
      </c>
      <c r="C65" s="31" t="s">
        <v>169</v>
      </c>
      <c r="D65" s="38">
        <v>0</v>
      </c>
      <c r="E65" s="38">
        <v>0</v>
      </c>
    </row>
    <row r="66" spans="1:5" x14ac:dyDescent="0.3">
      <c r="A66" s="28" t="s">
        <v>170</v>
      </c>
      <c r="B66" s="28" t="s">
        <v>171</v>
      </c>
      <c r="C66" s="28" t="s">
        <v>172</v>
      </c>
      <c r="D66" s="35">
        <v>0</v>
      </c>
      <c r="E66" s="35">
        <v>0</v>
      </c>
    </row>
    <row r="67" spans="1:5" x14ac:dyDescent="0.3">
      <c r="A67" s="28" t="s">
        <v>173</v>
      </c>
      <c r="B67" s="28" t="s">
        <v>174</v>
      </c>
      <c r="C67" s="28" t="s">
        <v>175</v>
      </c>
      <c r="D67" s="35">
        <v>0</v>
      </c>
      <c r="E67" s="35">
        <v>0</v>
      </c>
    </row>
    <row r="68" spans="1:5" x14ac:dyDescent="0.3">
      <c r="A68" s="28" t="s">
        <v>176</v>
      </c>
      <c r="B68" s="28" t="s">
        <v>177</v>
      </c>
      <c r="C68" s="28" t="s">
        <v>178</v>
      </c>
      <c r="D68" s="35">
        <v>0</v>
      </c>
      <c r="E68" s="35">
        <v>0</v>
      </c>
    </row>
    <row r="69" spans="1:5" ht="16.2" customHeight="1" x14ac:dyDescent="0.3">
      <c r="A69" s="31" t="s">
        <v>179</v>
      </c>
      <c r="B69" s="31" t="s">
        <v>180</v>
      </c>
      <c r="C69" s="31" t="s">
        <v>181</v>
      </c>
      <c r="D69" s="38">
        <v>0</v>
      </c>
      <c r="E69" s="38">
        <v>-0.30000000074505812</v>
      </c>
    </row>
    <row r="70" spans="1:5" x14ac:dyDescent="0.3">
      <c r="A70" s="28" t="s">
        <v>182</v>
      </c>
      <c r="B70" s="28" t="s">
        <v>183</v>
      </c>
      <c r="C70" s="28" t="s">
        <v>184</v>
      </c>
      <c r="D70" s="35">
        <v>0</v>
      </c>
      <c r="E70" s="35">
        <v>-0.30000000074505812</v>
      </c>
    </row>
    <row r="71" spans="1:5" x14ac:dyDescent="0.3">
      <c r="A71" s="28" t="s">
        <v>185</v>
      </c>
      <c r="B71" s="28" t="s">
        <v>186</v>
      </c>
      <c r="C71" s="28" t="s">
        <v>187</v>
      </c>
      <c r="D71" s="35">
        <v>0</v>
      </c>
      <c r="E71" s="35">
        <v>0</v>
      </c>
    </row>
    <row r="72" spans="1:5" x14ac:dyDescent="0.3">
      <c r="A72" s="28" t="s">
        <v>188</v>
      </c>
      <c r="B72" s="28" t="s">
        <v>189</v>
      </c>
      <c r="C72" s="28" t="s">
        <v>190</v>
      </c>
      <c r="D72" s="35">
        <v>0</v>
      </c>
      <c r="E72" s="35">
        <v>0</v>
      </c>
    </row>
    <row r="73" spans="1:5" ht="16.2" customHeight="1" x14ac:dyDescent="0.3">
      <c r="A73" s="42" t="s">
        <v>191</v>
      </c>
      <c r="B73" s="42" t="s">
        <v>192</v>
      </c>
      <c r="C73" s="42" t="s">
        <v>193</v>
      </c>
      <c r="D73" s="38">
        <v>405321</v>
      </c>
      <c r="E73" s="38">
        <v>405320683.44999999</v>
      </c>
    </row>
    <row r="74" spans="1:5" x14ac:dyDescent="0.3">
      <c r="A74" s="39" t="s">
        <v>194</v>
      </c>
      <c r="B74" s="39" t="s">
        <v>195</v>
      </c>
      <c r="C74" s="28" t="s">
        <v>196</v>
      </c>
      <c r="D74" s="35">
        <v>82765</v>
      </c>
      <c r="E74" s="35">
        <v>82764875.939999998</v>
      </c>
    </row>
    <row r="75" spans="1:5" x14ac:dyDescent="0.3">
      <c r="A75" s="39" t="s">
        <v>197</v>
      </c>
      <c r="B75" s="39" t="s">
        <v>198</v>
      </c>
      <c r="C75" s="28" t="s">
        <v>199</v>
      </c>
      <c r="D75" s="35">
        <v>179877</v>
      </c>
      <c r="E75" s="35">
        <v>179877154</v>
      </c>
    </row>
    <row r="76" spans="1:5" x14ac:dyDescent="0.3">
      <c r="A76" s="39" t="s">
        <v>200</v>
      </c>
      <c r="B76" s="39" t="s">
        <v>201</v>
      </c>
      <c r="C76" s="28" t="s">
        <v>202</v>
      </c>
      <c r="D76" s="35">
        <v>0</v>
      </c>
      <c r="E76" s="35">
        <v>0.25</v>
      </c>
    </row>
    <row r="77" spans="1:5" x14ac:dyDescent="0.3">
      <c r="A77" s="39" t="s">
        <v>203</v>
      </c>
      <c r="B77" s="39" t="s">
        <v>204</v>
      </c>
      <c r="C77" s="28" t="s">
        <v>205</v>
      </c>
      <c r="D77" s="35">
        <v>142679</v>
      </c>
      <c r="E77" s="35">
        <v>142678653.25999999</v>
      </c>
    </row>
    <row r="78" spans="1:5" x14ac:dyDescent="0.3">
      <c r="A78" s="28" t="s">
        <v>206</v>
      </c>
      <c r="B78" s="28" t="s">
        <v>207</v>
      </c>
      <c r="C78" s="28" t="s">
        <v>208</v>
      </c>
      <c r="D78" s="35">
        <v>0</v>
      </c>
      <c r="E78" s="35">
        <v>0</v>
      </c>
    </row>
    <row r="79" spans="1:5" x14ac:dyDescent="0.3">
      <c r="A79" s="28" t="s">
        <v>209</v>
      </c>
      <c r="B79" s="28" t="s">
        <v>210</v>
      </c>
      <c r="C79" s="28" t="s">
        <v>211</v>
      </c>
      <c r="D79" s="35">
        <v>0</v>
      </c>
      <c r="E79" s="35">
        <v>0</v>
      </c>
    </row>
    <row r="80" spans="1:5" ht="16.2" customHeight="1" x14ac:dyDescent="0.3">
      <c r="A80" s="42" t="s">
        <v>212</v>
      </c>
      <c r="B80" s="42" t="s">
        <v>213</v>
      </c>
      <c r="C80" s="42" t="s">
        <v>214</v>
      </c>
      <c r="D80" s="38">
        <v>174793</v>
      </c>
      <c r="E80" s="38">
        <v>174792922.19</v>
      </c>
    </row>
    <row r="81" spans="1:5" ht="16.2" customHeight="1" x14ac:dyDescent="0.3">
      <c r="A81" s="42" t="s">
        <v>215</v>
      </c>
      <c r="B81" s="42" t="s">
        <v>216</v>
      </c>
      <c r="C81" s="42" t="s">
        <v>217</v>
      </c>
      <c r="D81" s="38">
        <v>472398</v>
      </c>
      <c r="E81" s="38">
        <v>472397566.43000001</v>
      </c>
    </row>
    <row r="82" spans="1:5" x14ac:dyDescent="0.3">
      <c r="A82" s="39" t="s">
        <v>218</v>
      </c>
      <c r="B82" s="39" t="s">
        <v>219</v>
      </c>
      <c r="C82" s="28" t="s">
        <v>220</v>
      </c>
      <c r="D82" s="35">
        <v>0</v>
      </c>
      <c r="E82" s="35">
        <v>0</v>
      </c>
    </row>
    <row r="83" spans="1:5" x14ac:dyDescent="0.3">
      <c r="A83" s="39" t="s">
        <v>221</v>
      </c>
      <c r="B83" s="39" t="s">
        <v>222</v>
      </c>
      <c r="C83" s="28" t="s">
        <v>223</v>
      </c>
      <c r="D83" s="35">
        <v>400000</v>
      </c>
      <c r="E83" s="35">
        <v>400000000</v>
      </c>
    </row>
    <row r="84" spans="1:5" x14ac:dyDescent="0.3">
      <c r="A84" s="39" t="s">
        <v>224</v>
      </c>
      <c r="B84" s="39" t="s">
        <v>225</v>
      </c>
      <c r="C84" s="28" t="s">
        <v>226</v>
      </c>
      <c r="D84" s="35">
        <v>72398</v>
      </c>
      <c r="E84" s="35">
        <v>72397566.430000007</v>
      </c>
    </row>
    <row r="85" spans="1:5" x14ac:dyDescent="0.3">
      <c r="A85" s="39" t="s">
        <v>227</v>
      </c>
      <c r="B85" s="39" t="s">
        <v>228</v>
      </c>
      <c r="C85" s="28" t="s">
        <v>229</v>
      </c>
      <c r="D85" s="35">
        <v>0</v>
      </c>
      <c r="E85" s="35">
        <v>0</v>
      </c>
    </row>
    <row r="86" spans="1:5" x14ac:dyDescent="0.3">
      <c r="A86" s="39" t="s">
        <v>230</v>
      </c>
      <c r="B86" s="39" t="s">
        <v>231</v>
      </c>
      <c r="C86" s="28" t="s">
        <v>211</v>
      </c>
      <c r="D86" s="35">
        <v>0</v>
      </c>
      <c r="E86" s="35">
        <v>0</v>
      </c>
    </row>
    <row r="87" spans="1:5" x14ac:dyDescent="0.3">
      <c r="A87" s="31" t="s">
        <v>232</v>
      </c>
      <c r="B87" s="31" t="s">
        <v>233</v>
      </c>
      <c r="C87" s="31" t="s">
        <v>234</v>
      </c>
      <c r="D87" s="38">
        <v>216540</v>
      </c>
      <c r="E87" s="38">
        <v>216539585.81</v>
      </c>
    </row>
    <row r="88" spans="1:5" x14ac:dyDescent="0.3">
      <c r="A88" s="31" t="s">
        <v>235</v>
      </c>
      <c r="B88" s="31" t="s">
        <v>236</v>
      </c>
      <c r="C88" s="31" t="s">
        <v>237</v>
      </c>
      <c r="D88" s="38">
        <v>0</v>
      </c>
      <c r="E88" s="38">
        <v>0</v>
      </c>
    </row>
    <row r="89" spans="1:5" ht="16.2" customHeight="1" x14ac:dyDescent="0.3">
      <c r="A89" s="31" t="s">
        <v>238</v>
      </c>
      <c r="B89" s="31" t="s">
        <v>239</v>
      </c>
      <c r="C89" s="31" t="s">
        <v>240</v>
      </c>
      <c r="D89" s="38">
        <v>19516</v>
      </c>
      <c r="E89" s="38">
        <v>19516068.059999999</v>
      </c>
    </row>
    <row r="90" spans="1:5" ht="16.2" customHeight="1" x14ac:dyDescent="0.3">
      <c r="A90" s="31" t="s">
        <v>241</v>
      </c>
      <c r="B90" s="31" t="s">
        <v>242</v>
      </c>
      <c r="C90" s="31" t="s">
        <v>243</v>
      </c>
      <c r="D90" s="38">
        <v>243432</v>
      </c>
      <c r="E90" s="38">
        <v>243433168.1699999</v>
      </c>
    </row>
    <row r="91" spans="1:5" ht="16.2" customHeight="1" x14ac:dyDescent="0.3">
      <c r="A91" s="132" t="s">
        <v>244</v>
      </c>
      <c r="B91" s="132" t="s">
        <v>245</v>
      </c>
      <c r="C91" s="132" t="s">
        <v>246</v>
      </c>
      <c r="D91" s="133">
        <v>50650710</v>
      </c>
      <c r="E91" s="133">
        <v>50650709190.650009</v>
      </c>
    </row>
    <row r="92" spans="1:5" ht="16.2" customHeight="1" x14ac:dyDescent="0.3">
      <c r="A92" s="31" t="s">
        <v>247</v>
      </c>
      <c r="B92" s="31" t="s">
        <v>248</v>
      </c>
      <c r="C92" s="31" t="s">
        <v>249</v>
      </c>
      <c r="D92" s="38">
        <v>34462347</v>
      </c>
      <c r="E92" s="38">
        <v>34462347732.307259</v>
      </c>
    </row>
    <row r="93" spans="1:5" x14ac:dyDescent="0.3">
      <c r="A93" s="28" t="s">
        <v>250</v>
      </c>
      <c r="B93" s="28" t="s">
        <v>251</v>
      </c>
      <c r="C93" s="28" t="s">
        <v>252</v>
      </c>
      <c r="D93" s="35">
        <v>726969</v>
      </c>
      <c r="E93" s="35">
        <v>726969227.80000007</v>
      </c>
    </row>
    <row r="94" spans="1:5" x14ac:dyDescent="0.3">
      <c r="A94" s="28" t="s">
        <v>253</v>
      </c>
      <c r="B94" s="28" t="s">
        <v>254</v>
      </c>
      <c r="C94" s="28" t="s">
        <v>255</v>
      </c>
      <c r="D94" s="35">
        <v>32955012</v>
      </c>
      <c r="E94" s="35">
        <v>32955012011.989731</v>
      </c>
    </row>
    <row r="95" spans="1:5" x14ac:dyDescent="0.3">
      <c r="A95" s="28" t="s">
        <v>256</v>
      </c>
      <c r="B95" s="28" t="s">
        <v>257</v>
      </c>
      <c r="C95" s="28" t="s">
        <v>258</v>
      </c>
      <c r="D95" s="35">
        <v>780366</v>
      </c>
      <c r="E95" s="35">
        <v>780366492.51753402</v>
      </c>
    </row>
    <row r="96" spans="1:5" x14ac:dyDescent="0.3">
      <c r="A96" s="28" t="s">
        <v>259</v>
      </c>
      <c r="B96" s="28" t="s">
        <v>260</v>
      </c>
      <c r="C96" s="28" t="s">
        <v>261</v>
      </c>
      <c r="D96" s="35">
        <v>0</v>
      </c>
      <c r="E96" s="35">
        <v>0</v>
      </c>
    </row>
    <row r="97" spans="1:5" x14ac:dyDescent="0.3">
      <c r="A97" s="28" t="s">
        <v>262</v>
      </c>
      <c r="B97" s="28" t="s">
        <v>263</v>
      </c>
      <c r="C97" s="28" t="s">
        <v>264</v>
      </c>
      <c r="D97" s="35">
        <v>0</v>
      </c>
      <c r="E97" s="35">
        <v>0</v>
      </c>
    </row>
    <row r="98" spans="1:5" x14ac:dyDescent="0.3">
      <c r="A98" s="28" t="s">
        <v>265</v>
      </c>
      <c r="B98" s="28" t="s">
        <v>266</v>
      </c>
      <c r="C98" s="28" t="s">
        <v>267</v>
      </c>
      <c r="D98" s="35">
        <v>0</v>
      </c>
      <c r="E98" s="35">
        <v>0</v>
      </c>
    </row>
    <row r="99" spans="1:5" x14ac:dyDescent="0.3">
      <c r="A99" s="42" t="s">
        <v>268</v>
      </c>
      <c r="B99" s="42" t="s">
        <v>269</v>
      </c>
      <c r="C99" s="42" t="s">
        <v>270</v>
      </c>
      <c r="D99" s="38">
        <v>9897525</v>
      </c>
      <c r="E99" s="38">
        <v>9897525010.4200001</v>
      </c>
    </row>
    <row r="100" spans="1:5" x14ac:dyDescent="0.3">
      <c r="A100" s="28" t="s">
        <v>271</v>
      </c>
      <c r="B100" s="28" t="s">
        <v>272</v>
      </c>
      <c r="C100" s="28" t="s">
        <v>273</v>
      </c>
      <c r="D100" s="35">
        <v>0</v>
      </c>
      <c r="E100" s="35">
        <v>0</v>
      </c>
    </row>
    <row r="101" spans="1:5" x14ac:dyDescent="0.3">
      <c r="A101" s="28" t="s">
        <v>274</v>
      </c>
      <c r="B101" s="28" t="s">
        <v>275</v>
      </c>
      <c r="C101" s="28" t="s">
        <v>276</v>
      </c>
      <c r="D101" s="35">
        <v>8408913</v>
      </c>
      <c r="E101" s="35">
        <v>8408912705</v>
      </c>
    </row>
    <row r="102" spans="1:5" x14ac:dyDescent="0.3">
      <c r="A102" s="28" t="s">
        <v>277</v>
      </c>
      <c r="B102" s="28" t="s">
        <v>278</v>
      </c>
      <c r="C102" s="28" t="s">
        <v>279</v>
      </c>
      <c r="D102" s="35">
        <v>1488612</v>
      </c>
      <c r="E102" s="35">
        <v>1488612305.4200001</v>
      </c>
    </row>
    <row r="103" spans="1:5" x14ac:dyDescent="0.3">
      <c r="A103" s="28" t="s">
        <v>280</v>
      </c>
      <c r="B103" s="28" t="s">
        <v>281</v>
      </c>
      <c r="C103" s="28" t="s">
        <v>282</v>
      </c>
      <c r="D103" s="35">
        <v>0</v>
      </c>
      <c r="E103" s="35">
        <v>0</v>
      </c>
    </row>
    <row r="104" spans="1:5" x14ac:dyDescent="0.3">
      <c r="A104" s="28" t="s">
        <v>283</v>
      </c>
      <c r="B104" s="28" t="s">
        <v>284</v>
      </c>
      <c r="C104" s="28" t="s">
        <v>285</v>
      </c>
      <c r="D104" s="35">
        <v>0</v>
      </c>
      <c r="E104" s="35">
        <v>0</v>
      </c>
    </row>
    <row r="105" spans="1:5" x14ac:dyDescent="0.3">
      <c r="A105" s="28" t="s">
        <v>286</v>
      </c>
      <c r="B105" s="28" t="s">
        <v>287</v>
      </c>
      <c r="C105" s="28" t="s">
        <v>288</v>
      </c>
      <c r="D105" s="35">
        <v>0</v>
      </c>
      <c r="E105" s="35">
        <v>0</v>
      </c>
    </row>
    <row r="106" spans="1:5" x14ac:dyDescent="0.3">
      <c r="A106" s="28" t="s">
        <v>289</v>
      </c>
      <c r="B106" s="28" t="s">
        <v>290</v>
      </c>
      <c r="C106" s="28" t="s">
        <v>291</v>
      </c>
      <c r="D106" s="35">
        <v>0</v>
      </c>
      <c r="E106" s="35">
        <v>0</v>
      </c>
    </row>
    <row r="107" spans="1:5" x14ac:dyDescent="0.3">
      <c r="A107" s="42" t="s">
        <v>292</v>
      </c>
      <c r="B107" s="42" t="s">
        <v>293</v>
      </c>
      <c r="C107" s="42" t="s">
        <v>294</v>
      </c>
      <c r="D107" s="38">
        <v>0</v>
      </c>
      <c r="E107" s="38">
        <v>0</v>
      </c>
    </row>
    <row r="108" spans="1:5" x14ac:dyDescent="0.3">
      <c r="A108" s="28" t="s">
        <v>295</v>
      </c>
      <c r="B108" s="28" t="s">
        <v>296</v>
      </c>
      <c r="C108" s="28" t="s">
        <v>69</v>
      </c>
      <c r="D108" s="35">
        <v>0</v>
      </c>
      <c r="E108" s="35">
        <v>0</v>
      </c>
    </row>
    <row r="109" spans="1:5" x14ac:dyDescent="0.3">
      <c r="A109" s="28" t="s">
        <v>297</v>
      </c>
      <c r="B109" s="28" t="s">
        <v>298</v>
      </c>
      <c r="C109" s="28" t="s">
        <v>72</v>
      </c>
      <c r="D109" s="35">
        <v>0</v>
      </c>
      <c r="E109" s="35">
        <v>0</v>
      </c>
    </row>
    <row r="110" spans="1:5" x14ac:dyDescent="0.3">
      <c r="A110" s="28" t="s">
        <v>299</v>
      </c>
      <c r="B110" s="28" t="s">
        <v>300</v>
      </c>
      <c r="C110" s="28" t="s">
        <v>301</v>
      </c>
      <c r="D110" s="35">
        <v>0</v>
      </c>
      <c r="E110" s="35">
        <v>0</v>
      </c>
    </row>
    <row r="111" spans="1:5" x14ac:dyDescent="0.3">
      <c r="A111" s="28" t="s">
        <v>302</v>
      </c>
      <c r="B111" s="28" t="s">
        <v>303</v>
      </c>
      <c r="C111" s="28" t="s">
        <v>304</v>
      </c>
      <c r="D111" s="35">
        <v>0</v>
      </c>
      <c r="E111" s="35">
        <v>0</v>
      </c>
    </row>
    <row r="112" spans="1:5" x14ac:dyDescent="0.3">
      <c r="A112" s="28" t="s">
        <v>305</v>
      </c>
      <c r="B112" s="28" t="s">
        <v>306</v>
      </c>
      <c r="C112" s="28" t="s">
        <v>211</v>
      </c>
      <c r="D112" s="35">
        <v>0</v>
      </c>
      <c r="E112" s="35">
        <v>0</v>
      </c>
    </row>
    <row r="113" spans="1:5" x14ac:dyDescent="0.3">
      <c r="A113" s="42" t="s">
        <v>307</v>
      </c>
      <c r="B113" s="42" t="s">
        <v>308</v>
      </c>
      <c r="C113" s="42" t="s">
        <v>309</v>
      </c>
      <c r="D113" s="38">
        <v>0</v>
      </c>
      <c r="E113" s="38">
        <v>0</v>
      </c>
    </row>
    <row r="114" spans="1:5" x14ac:dyDescent="0.3">
      <c r="A114" s="39" t="s">
        <v>310</v>
      </c>
      <c r="B114" s="39" t="s">
        <v>311</v>
      </c>
      <c r="C114" s="28" t="s">
        <v>42</v>
      </c>
      <c r="D114" s="35">
        <v>0</v>
      </c>
      <c r="E114" s="35">
        <v>0</v>
      </c>
    </row>
    <row r="115" spans="1:5" x14ac:dyDescent="0.3">
      <c r="A115" s="39" t="s">
        <v>312</v>
      </c>
      <c r="B115" s="39" t="s">
        <v>313</v>
      </c>
      <c r="C115" s="28" t="s">
        <v>45</v>
      </c>
      <c r="D115" s="35">
        <v>0</v>
      </c>
      <c r="E115" s="35">
        <v>0</v>
      </c>
    </row>
    <row r="116" spans="1:5" x14ac:dyDescent="0.3">
      <c r="A116" s="39" t="s">
        <v>314</v>
      </c>
      <c r="B116" s="39" t="s">
        <v>315</v>
      </c>
      <c r="C116" s="28" t="s">
        <v>48</v>
      </c>
      <c r="D116" s="35">
        <v>0</v>
      </c>
      <c r="E116" s="35">
        <v>0</v>
      </c>
    </row>
    <row r="117" spans="1:5" x14ac:dyDescent="0.3">
      <c r="A117" s="39" t="s">
        <v>316</v>
      </c>
      <c r="B117" s="39" t="s">
        <v>317</v>
      </c>
      <c r="C117" s="28" t="s">
        <v>51</v>
      </c>
      <c r="D117" s="35">
        <v>0</v>
      </c>
      <c r="E117" s="35">
        <v>0</v>
      </c>
    </row>
    <row r="118" spans="1:5" x14ac:dyDescent="0.3">
      <c r="A118" s="39" t="s">
        <v>318</v>
      </c>
      <c r="B118" s="39" t="s">
        <v>319</v>
      </c>
      <c r="C118" s="28" t="s">
        <v>54</v>
      </c>
      <c r="D118" s="35">
        <v>0</v>
      </c>
      <c r="E118" s="35">
        <v>0</v>
      </c>
    </row>
    <row r="119" spans="1:5" x14ac:dyDescent="0.3">
      <c r="A119" s="39" t="s">
        <v>320</v>
      </c>
      <c r="B119" s="39" t="s">
        <v>321</v>
      </c>
      <c r="C119" s="28" t="s">
        <v>57</v>
      </c>
      <c r="D119" s="35">
        <v>0</v>
      </c>
      <c r="E119" s="35">
        <v>0</v>
      </c>
    </row>
    <row r="120" spans="1:5" x14ac:dyDescent="0.3">
      <c r="A120" s="42" t="s">
        <v>322</v>
      </c>
      <c r="B120" s="42" t="s">
        <v>323</v>
      </c>
      <c r="C120" s="42" t="s">
        <v>324</v>
      </c>
      <c r="D120" s="38">
        <v>944773</v>
      </c>
      <c r="E120" s="38">
        <v>944772946.41273999</v>
      </c>
    </row>
    <row r="121" spans="1:5" x14ac:dyDescent="0.3">
      <c r="A121" s="28" t="s">
        <v>325</v>
      </c>
      <c r="B121" s="28" t="s">
        <v>326</v>
      </c>
      <c r="C121" s="28" t="s">
        <v>327</v>
      </c>
      <c r="D121" s="35">
        <v>0</v>
      </c>
      <c r="E121" s="35">
        <v>0</v>
      </c>
    </row>
    <row r="122" spans="1:5" x14ac:dyDescent="0.3">
      <c r="A122" s="28" t="s">
        <v>328</v>
      </c>
      <c r="B122" s="28" t="s">
        <v>329</v>
      </c>
      <c r="C122" s="28" t="s">
        <v>330</v>
      </c>
      <c r="D122" s="35">
        <v>0</v>
      </c>
      <c r="E122" s="35">
        <v>0</v>
      </c>
    </row>
    <row r="123" spans="1:5" x14ac:dyDescent="0.3">
      <c r="A123" s="28" t="s">
        <v>331</v>
      </c>
      <c r="B123" s="28" t="s">
        <v>332</v>
      </c>
      <c r="C123" s="28" t="s">
        <v>333</v>
      </c>
      <c r="D123" s="35">
        <v>0</v>
      </c>
      <c r="E123" s="35">
        <v>0</v>
      </c>
    </row>
    <row r="124" spans="1:5" x14ac:dyDescent="0.3">
      <c r="A124" s="28" t="s">
        <v>334</v>
      </c>
      <c r="B124" s="28" t="s">
        <v>335</v>
      </c>
      <c r="C124" s="28" t="s">
        <v>258</v>
      </c>
      <c r="D124" s="35">
        <v>0</v>
      </c>
      <c r="E124" s="35">
        <v>0</v>
      </c>
    </row>
    <row r="125" spans="1:5" x14ac:dyDescent="0.3">
      <c r="A125" s="28" t="s">
        <v>336</v>
      </c>
      <c r="B125" s="28" t="s">
        <v>337</v>
      </c>
      <c r="C125" s="28" t="s">
        <v>261</v>
      </c>
      <c r="D125" s="35">
        <v>944773</v>
      </c>
      <c r="E125" s="35">
        <v>944772946.41273999</v>
      </c>
    </row>
    <row r="126" spans="1:5" x14ac:dyDescent="0.3">
      <c r="A126" s="28" t="s">
        <v>338</v>
      </c>
      <c r="B126" s="28" t="s">
        <v>339</v>
      </c>
      <c r="C126" s="28" t="s">
        <v>211</v>
      </c>
      <c r="D126" s="35">
        <v>0</v>
      </c>
      <c r="E126" s="35">
        <v>0</v>
      </c>
    </row>
    <row r="127" spans="1:5" x14ac:dyDescent="0.3">
      <c r="A127" s="42" t="s">
        <v>340</v>
      </c>
      <c r="B127" s="42" t="s">
        <v>341</v>
      </c>
      <c r="C127" s="42" t="s">
        <v>342</v>
      </c>
      <c r="D127" s="38">
        <v>208066</v>
      </c>
      <c r="E127" s="38">
        <v>208065784.72999999</v>
      </c>
    </row>
    <row r="128" spans="1:5" x14ac:dyDescent="0.3">
      <c r="A128" s="42" t="s">
        <v>343</v>
      </c>
      <c r="B128" s="42" t="s">
        <v>344</v>
      </c>
      <c r="C128" s="42" t="s">
        <v>345</v>
      </c>
      <c r="D128" s="38">
        <v>461719</v>
      </c>
      <c r="E128" s="38">
        <v>461718527.47000003</v>
      </c>
    </row>
    <row r="129" spans="1:5" x14ac:dyDescent="0.3">
      <c r="A129" s="42" t="s">
        <v>346</v>
      </c>
      <c r="B129" s="42" t="s">
        <v>347</v>
      </c>
      <c r="C129" s="42" t="s">
        <v>348</v>
      </c>
      <c r="D129" s="38">
        <v>0</v>
      </c>
      <c r="E129" s="38">
        <v>0</v>
      </c>
    </row>
    <row r="130" spans="1:5" x14ac:dyDescent="0.3">
      <c r="A130" s="42" t="s">
        <v>349</v>
      </c>
      <c r="B130" s="42" t="s">
        <v>350</v>
      </c>
      <c r="C130" s="42" t="s">
        <v>351</v>
      </c>
      <c r="D130" s="38">
        <v>207307</v>
      </c>
      <c r="E130" s="38">
        <v>207306880.13999999</v>
      </c>
    </row>
    <row r="131" spans="1:5" x14ac:dyDescent="0.3">
      <c r="A131" s="42" t="s">
        <v>352</v>
      </c>
      <c r="B131" s="42" t="s">
        <v>353</v>
      </c>
      <c r="C131" s="42" t="s">
        <v>354</v>
      </c>
      <c r="D131" s="38">
        <v>236261</v>
      </c>
      <c r="E131" s="38">
        <v>236260524.25</v>
      </c>
    </row>
    <row r="132" spans="1:5" x14ac:dyDescent="0.3">
      <c r="A132" s="42" t="s">
        <v>355</v>
      </c>
      <c r="B132" s="42" t="s">
        <v>356</v>
      </c>
      <c r="C132" s="42" t="s">
        <v>357</v>
      </c>
      <c r="D132" s="38">
        <v>4232712</v>
      </c>
      <c r="E132" s="38">
        <v>4232711784.920002</v>
      </c>
    </row>
    <row r="133" spans="1:5" x14ac:dyDescent="0.3">
      <c r="A133" s="134" t="s">
        <v>358</v>
      </c>
      <c r="B133" s="134" t="s">
        <v>359</v>
      </c>
      <c r="C133" s="134" t="s">
        <v>360</v>
      </c>
      <c r="D133" s="135">
        <v>16934671</v>
      </c>
      <c r="E133" s="135">
        <v>16934670936.209999</v>
      </c>
    </row>
    <row r="134" spans="1:5" x14ac:dyDescent="0.3">
      <c r="A134" s="39" t="s">
        <v>361</v>
      </c>
      <c r="B134" s="39" t="s">
        <v>362</v>
      </c>
      <c r="C134" s="28" t="s">
        <v>363</v>
      </c>
      <c r="D134" s="35">
        <v>3550000</v>
      </c>
      <c r="E134" s="35">
        <v>3550000003.3000002</v>
      </c>
    </row>
    <row r="135" spans="1:5" x14ac:dyDescent="0.3">
      <c r="A135" s="39" t="s">
        <v>364</v>
      </c>
      <c r="B135" s="39" t="s">
        <v>365</v>
      </c>
      <c r="C135" s="28" t="s">
        <v>366</v>
      </c>
      <c r="D135" s="35">
        <v>2338465</v>
      </c>
      <c r="E135" s="35">
        <v>2338465110.7600002</v>
      </c>
    </row>
    <row r="136" spans="1:5" x14ac:dyDescent="0.3">
      <c r="A136" s="39" t="s">
        <v>367</v>
      </c>
      <c r="B136" s="39" t="s">
        <v>368</v>
      </c>
      <c r="C136" s="28" t="s">
        <v>369</v>
      </c>
      <c r="D136" s="35">
        <v>11046206</v>
      </c>
      <c r="E136" s="35">
        <v>11046205822.15</v>
      </c>
    </row>
    <row r="137" spans="1:5" x14ac:dyDescent="0.3">
      <c r="A137" s="39" t="s">
        <v>370</v>
      </c>
      <c r="B137" s="39" t="s">
        <v>371</v>
      </c>
      <c r="C137" s="28" t="s">
        <v>75</v>
      </c>
      <c r="D137" s="35">
        <v>0</v>
      </c>
      <c r="E137" s="35">
        <v>0</v>
      </c>
    </row>
    <row r="138" spans="1:5" s="124" customFormat="1" x14ac:dyDescent="0.3">
      <c r="C138" s="136"/>
      <c r="D138" s="137"/>
      <c r="E138" s="137"/>
    </row>
    <row r="139" spans="1:5" s="124" customFormat="1" x14ac:dyDescent="0.3">
      <c r="C139" s="136"/>
      <c r="D139" s="137"/>
      <c r="E139" s="137"/>
    </row>
    <row r="140" spans="1:5" s="124" customFormat="1" x14ac:dyDescent="0.3">
      <c r="A140" s="182"/>
      <c r="B140" s="178"/>
      <c r="C140" s="178"/>
      <c r="D140" s="178"/>
      <c r="E140" s="128"/>
    </row>
    <row r="141" spans="1:5" s="124" customFormat="1" x14ac:dyDescent="0.3">
      <c r="A141" s="179"/>
      <c r="B141" s="178"/>
      <c r="C141" s="178"/>
      <c r="D141" s="178"/>
      <c r="E141" s="128"/>
    </row>
    <row r="142" spans="1:5" s="124" customFormat="1" x14ac:dyDescent="0.3">
      <c r="A142" s="179"/>
      <c r="B142" s="178"/>
      <c r="C142" s="178"/>
      <c r="D142" s="178"/>
      <c r="E142" s="128"/>
    </row>
    <row r="143" spans="1:5" s="124" customFormat="1" x14ac:dyDescent="0.3">
      <c r="A143" s="179"/>
      <c r="B143" s="178"/>
      <c r="C143" s="178"/>
      <c r="D143" s="178"/>
      <c r="E143" s="128"/>
    </row>
    <row r="144" spans="1:5" s="124" customFormat="1" ht="36" customHeight="1" x14ac:dyDescent="0.3">
      <c r="A144" s="177"/>
      <c r="B144" s="178"/>
      <c r="C144" s="178"/>
      <c r="D144" s="178"/>
      <c r="E144" s="128"/>
    </row>
    <row r="145" spans="4:5" s="124" customFormat="1" x14ac:dyDescent="0.3">
      <c r="D145" s="128"/>
      <c r="E145" s="128"/>
    </row>
    <row r="146" spans="4:5" s="124" customFormat="1" x14ac:dyDescent="0.3">
      <c r="D146" s="128"/>
      <c r="E146" s="128"/>
    </row>
    <row r="147" spans="4:5" s="124" customFormat="1" x14ac:dyDescent="0.3">
      <c r="D147" s="128"/>
      <c r="E147" s="128"/>
    </row>
    <row r="148" spans="4:5" s="124" customFormat="1" x14ac:dyDescent="0.3">
      <c r="D148" s="128"/>
      <c r="E148" s="128"/>
    </row>
    <row r="149" spans="4:5" s="124" customFormat="1" x14ac:dyDescent="0.3">
      <c r="D149" s="128"/>
      <c r="E149" s="128"/>
    </row>
    <row r="150" spans="4:5" s="124" customFormat="1" x14ac:dyDescent="0.3">
      <c r="D150" s="128"/>
      <c r="E150" s="128"/>
    </row>
    <row r="151" spans="4:5" s="124" customFormat="1" x14ac:dyDescent="0.3">
      <c r="D151" s="128"/>
      <c r="E151" s="128"/>
    </row>
    <row r="152" spans="4:5" s="124" customFormat="1" x14ac:dyDescent="0.3">
      <c r="D152" s="128"/>
      <c r="E152" s="128"/>
    </row>
    <row r="153" spans="4:5" s="124" customFormat="1" x14ac:dyDescent="0.3">
      <c r="D153" s="128"/>
      <c r="E153" s="128"/>
    </row>
    <row r="154" spans="4:5" s="124" customFormat="1" x14ac:dyDescent="0.3">
      <c r="D154" s="128"/>
      <c r="E154" s="128"/>
    </row>
    <row r="155" spans="4:5" s="124" customFormat="1" x14ac:dyDescent="0.3">
      <c r="D155" s="128"/>
      <c r="E155" s="128"/>
    </row>
    <row r="156" spans="4:5" s="124" customFormat="1" x14ac:dyDescent="0.3">
      <c r="D156" s="128"/>
      <c r="E156" s="128"/>
    </row>
    <row r="157" spans="4:5" s="124" customFormat="1" x14ac:dyDescent="0.3">
      <c r="D157" s="128"/>
      <c r="E157" s="128"/>
    </row>
    <row r="158" spans="4:5" s="124" customFormat="1" x14ac:dyDescent="0.3">
      <c r="D158" s="128"/>
      <c r="E158" s="128"/>
    </row>
    <row r="159" spans="4:5" s="124" customFormat="1" x14ac:dyDescent="0.3">
      <c r="D159" s="128"/>
      <c r="E159" s="128"/>
    </row>
    <row r="160" spans="4:5" s="124" customFormat="1" x14ac:dyDescent="0.3">
      <c r="D160" s="128"/>
      <c r="E160" s="128"/>
    </row>
    <row r="161" spans="4:5" s="124" customFormat="1" x14ac:dyDescent="0.3">
      <c r="D161" s="128"/>
      <c r="E161" s="128"/>
    </row>
    <row r="162" spans="4:5" s="124" customFormat="1" x14ac:dyDescent="0.3">
      <c r="D162" s="128"/>
      <c r="E162" s="128"/>
    </row>
    <row r="163" spans="4:5" s="124" customFormat="1" x14ac:dyDescent="0.3">
      <c r="D163" s="128"/>
      <c r="E163" s="128"/>
    </row>
    <row r="164" spans="4:5" s="124" customFormat="1" x14ac:dyDescent="0.3">
      <c r="D164" s="128"/>
      <c r="E164" s="128"/>
    </row>
    <row r="165" spans="4:5" s="124" customFormat="1" x14ac:dyDescent="0.3">
      <c r="D165" s="128"/>
      <c r="E165" s="128"/>
    </row>
    <row r="166" spans="4:5" s="124" customFormat="1" x14ac:dyDescent="0.3">
      <c r="D166" s="128"/>
      <c r="E166" s="128"/>
    </row>
    <row r="167" spans="4:5" s="124" customFormat="1" x14ac:dyDescent="0.3">
      <c r="D167" s="128"/>
      <c r="E167" s="128"/>
    </row>
    <row r="168" spans="4:5" s="124" customFormat="1" x14ac:dyDescent="0.3">
      <c r="D168" s="128"/>
      <c r="E168" s="128"/>
    </row>
    <row r="169" spans="4:5" s="124" customFormat="1" x14ac:dyDescent="0.3">
      <c r="D169" s="128"/>
      <c r="E169" s="128"/>
    </row>
    <row r="170" spans="4:5" s="124" customFormat="1" x14ac:dyDescent="0.3">
      <c r="D170" s="128"/>
      <c r="E170" s="128"/>
    </row>
    <row r="171" spans="4:5" s="124" customFormat="1" x14ac:dyDescent="0.3">
      <c r="D171" s="128"/>
      <c r="E171" s="128"/>
    </row>
    <row r="172" spans="4:5" s="124" customFormat="1" x14ac:dyDescent="0.3">
      <c r="D172" s="128"/>
      <c r="E172" s="128"/>
    </row>
    <row r="173" spans="4:5" s="124" customFormat="1" x14ac:dyDescent="0.3">
      <c r="D173" s="128"/>
      <c r="E173" s="128"/>
    </row>
    <row r="174" spans="4:5" s="124" customFormat="1" x14ac:dyDescent="0.3">
      <c r="D174" s="128"/>
      <c r="E174" s="128"/>
    </row>
    <row r="175" spans="4:5" s="124" customFormat="1" x14ac:dyDescent="0.3">
      <c r="D175" s="128"/>
      <c r="E175" s="128"/>
    </row>
    <row r="176" spans="4:5" s="124" customFormat="1" x14ac:dyDescent="0.3">
      <c r="D176" s="128"/>
      <c r="E176" s="128"/>
    </row>
    <row r="177" spans="4:5" s="124" customFormat="1" x14ac:dyDescent="0.3">
      <c r="D177" s="128"/>
      <c r="E177" s="128"/>
    </row>
    <row r="178" spans="4:5" s="124" customFormat="1" x14ac:dyDescent="0.3">
      <c r="D178" s="128"/>
      <c r="E178" s="128"/>
    </row>
    <row r="179" spans="4:5" s="124" customFormat="1" x14ac:dyDescent="0.3">
      <c r="D179" s="128"/>
      <c r="E179" s="128"/>
    </row>
    <row r="180" spans="4:5" s="124" customFormat="1" x14ac:dyDescent="0.3">
      <c r="D180" s="128"/>
      <c r="E180" s="128"/>
    </row>
    <row r="181" spans="4:5" s="124" customFormat="1" x14ac:dyDescent="0.3">
      <c r="D181" s="128"/>
      <c r="E181" s="128"/>
    </row>
    <row r="182" spans="4:5" s="124" customFormat="1" x14ac:dyDescent="0.3">
      <c r="D182" s="128"/>
      <c r="E182" s="128"/>
    </row>
    <row r="183" spans="4:5" s="124" customFormat="1" x14ac:dyDescent="0.3">
      <c r="D183" s="128"/>
      <c r="E183" s="128"/>
    </row>
    <row r="184" spans="4:5" s="124" customFormat="1" x14ac:dyDescent="0.3">
      <c r="D184" s="128"/>
      <c r="E184" s="128"/>
    </row>
    <row r="185" spans="4:5" s="124" customFormat="1" x14ac:dyDescent="0.3">
      <c r="D185" s="128"/>
      <c r="E185" s="128"/>
    </row>
    <row r="186" spans="4:5" s="124" customFormat="1" x14ac:dyDescent="0.3">
      <c r="D186" s="128"/>
      <c r="E186" s="128"/>
    </row>
    <row r="187" spans="4:5" s="124" customFormat="1" x14ac:dyDescent="0.3">
      <c r="D187" s="128"/>
      <c r="E187" s="128"/>
    </row>
    <row r="188" spans="4:5" s="124" customFormat="1" x14ac:dyDescent="0.3">
      <c r="D188" s="128"/>
      <c r="E188" s="128"/>
    </row>
    <row r="189" spans="4:5" s="124" customFormat="1" x14ac:dyDescent="0.3">
      <c r="D189" s="128"/>
      <c r="E189" s="128"/>
    </row>
    <row r="190" spans="4:5" s="124" customFormat="1" x14ac:dyDescent="0.3">
      <c r="D190" s="128"/>
      <c r="E190" s="128"/>
    </row>
    <row r="191" spans="4:5" s="124" customFormat="1" x14ac:dyDescent="0.3">
      <c r="D191" s="128"/>
      <c r="E191" s="128"/>
    </row>
    <row r="192" spans="4:5" s="124" customFormat="1" x14ac:dyDescent="0.3">
      <c r="D192" s="128"/>
      <c r="E192" s="128"/>
    </row>
    <row r="193" spans="4:5" s="124" customFormat="1" x14ac:dyDescent="0.3">
      <c r="D193" s="128"/>
      <c r="E193" s="128"/>
    </row>
    <row r="194" spans="4:5" s="124" customFormat="1" x14ac:dyDescent="0.3">
      <c r="D194" s="128"/>
      <c r="E194" s="128"/>
    </row>
    <row r="195" spans="4:5" s="124" customFormat="1" x14ac:dyDescent="0.3">
      <c r="D195" s="128"/>
      <c r="E195" s="128"/>
    </row>
    <row r="196" spans="4:5" s="124" customFormat="1" x14ac:dyDescent="0.3">
      <c r="D196" s="128"/>
      <c r="E196" s="128"/>
    </row>
    <row r="197" spans="4:5" s="124" customFormat="1" x14ac:dyDescent="0.3">
      <c r="D197" s="128"/>
      <c r="E197" s="128"/>
    </row>
    <row r="198" spans="4:5" s="124" customFormat="1" x14ac:dyDescent="0.3">
      <c r="D198" s="128"/>
      <c r="E198" s="128"/>
    </row>
    <row r="199" spans="4:5" s="124" customFormat="1" x14ac:dyDescent="0.3">
      <c r="D199" s="128"/>
      <c r="E199" s="128"/>
    </row>
    <row r="200" spans="4:5" s="124" customFormat="1" x14ac:dyDescent="0.3">
      <c r="D200" s="128"/>
      <c r="E200" s="128"/>
    </row>
    <row r="201" spans="4:5" s="124" customFormat="1" x14ac:dyDescent="0.3">
      <c r="D201" s="128"/>
      <c r="E201" s="128"/>
    </row>
    <row r="202" spans="4:5" s="124" customFormat="1" x14ac:dyDescent="0.3">
      <c r="D202" s="128"/>
      <c r="E202" s="128"/>
    </row>
    <row r="203" spans="4:5" s="124" customFormat="1" x14ac:dyDescent="0.3">
      <c r="D203" s="128"/>
      <c r="E203" s="128"/>
    </row>
    <row r="204" spans="4:5" s="124" customFormat="1" x14ac:dyDescent="0.3">
      <c r="D204" s="128"/>
      <c r="E204" s="128"/>
    </row>
    <row r="205" spans="4:5" s="124" customFormat="1" x14ac:dyDescent="0.3">
      <c r="D205" s="128"/>
      <c r="E205" s="128"/>
    </row>
    <row r="206" spans="4:5" s="124" customFormat="1" x14ac:dyDescent="0.3">
      <c r="D206" s="128"/>
      <c r="E206" s="128"/>
    </row>
    <row r="207" spans="4:5" s="124" customFormat="1" x14ac:dyDescent="0.3">
      <c r="D207" s="128"/>
      <c r="E207" s="128"/>
    </row>
    <row r="208" spans="4:5" s="124" customFormat="1" x14ac:dyDescent="0.3">
      <c r="D208" s="128"/>
      <c r="E208" s="128"/>
    </row>
    <row r="209" spans="4:5" s="124" customFormat="1" x14ac:dyDescent="0.3">
      <c r="D209" s="128"/>
      <c r="E209" s="128"/>
    </row>
    <row r="210" spans="4:5" s="124" customFormat="1" x14ac:dyDescent="0.3">
      <c r="D210" s="128"/>
      <c r="E210" s="128"/>
    </row>
    <row r="211" spans="4:5" s="124" customFormat="1" x14ac:dyDescent="0.3">
      <c r="D211" s="128"/>
      <c r="E211" s="128"/>
    </row>
    <row r="212" spans="4:5" s="124" customFormat="1" x14ac:dyDescent="0.3">
      <c r="D212" s="128"/>
      <c r="E212" s="128"/>
    </row>
    <row r="213" spans="4:5" s="124" customFormat="1" x14ac:dyDescent="0.3">
      <c r="D213" s="128"/>
      <c r="E213" s="128"/>
    </row>
    <row r="214" spans="4:5" s="124" customFormat="1" x14ac:dyDescent="0.3">
      <c r="D214" s="128"/>
      <c r="E214" s="128"/>
    </row>
    <row r="215" spans="4:5" s="124" customFormat="1" x14ac:dyDescent="0.3">
      <c r="D215" s="128"/>
      <c r="E215" s="128"/>
    </row>
    <row r="216" spans="4:5" s="124" customFormat="1" x14ac:dyDescent="0.3">
      <c r="D216" s="128"/>
      <c r="E216" s="128"/>
    </row>
    <row r="217" spans="4:5" s="124" customFormat="1" x14ac:dyDescent="0.3">
      <c r="D217" s="128"/>
      <c r="E217" s="128"/>
    </row>
    <row r="218" spans="4:5" s="124" customFormat="1" x14ac:dyDescent="0.3">
      <c r="D218" s="128"/>
      <c r="E218" s="128"/>
    </row>
    <row r="219" spans="4:5" s="124" customFormat="1" x14ac:dyDescent="0.3">
      <c r="D219" s="128"/>
      <c r="E219" s="128"/>
    </row>
    <row r="220" spans="4:5" s="124" customFormat="1" x14ac:dyDescent="0.3">
      <c r="D220" s="128"/>
      <c r="E220" s="128"/>
    </row>
    <row r="221" spans="4:5" s="124" customFormat="1" x14ac:dyDescent="0.3">
      <c r="D221" s="128"/>
      <c r="E221" s="128"/>
    </row>
    <row r="222" spans="4:5" s="124" customFormat="1" x14ac:dyDescent="0.3">
      <c r="D222" s="128"/>
      <c r="E222" s="128"/>
    </row>
    <row r="223" spans="4:5" s="124" customFormat="1" x14ac:dyDescent="0.3">
      <c r="D223" s="128"/>
      <c r="E223" s="128"/>
    </row>
    <row r="224" spans="4:5" s="124" customFormat="1" x14ac:dyDescent="0.3">
      <c r="D224" s="128"/>
      <c r="E224" s="128"/>
    </row>
    <row r="225" spans="4:5" s="124" customFormat="1" x14ac:dyDescent="0.3">
      <c r="D225" s="128"/>
      <c r="E225" s="128"/>
    </row>
    <row r="226" spans="4:5" s="124" customFormat="1" x14ac:dyDescent="0.3">
      <c r="D226" s="128"/>
      <c r="E226" s="128"/>
    </row>
    <row r="227" spans="4:5" s="124" customFormat="1" x14ac:dyDescent="0.3">
      <c r="D227" s="128"/>
      <c r="E227" s="128"/>
    </row>
    <row r="228" spans="4:5" s="124" customFormat="1" x14ac:dyDescent="0.3">
      <c r="D228" s="128"/>
      <c r="E228" s="128"/>
    </row>
    <row r="229" spans="4:5" s="124" customFormat="1" x14ac:dyDescent="0.3">
      <c r="D229" s="128"/>
      <c r="E229" s="128"/>
    </row>
    <row r="230" spans="4:5" s="124" customFormat="1" x14ac:dyDescent="0.3">
      <c r="D230" s="128"/>
      <c r="E230" s="128"/>
    </row>
    <row r="231" spans="4:5" s="124" customFormat="1" x14ac:dyDescent="0.3">
      <c r="D231" s="128"/>
      <c r="E231" s="128"/>
    </row>
    <row r="232" spans="4:5" s="124" customFormat="1" x14ac:dyDescent="0.3">
      <c r="D232" s="128"/>
      <c r="E232" s="128"/>
    </row>
    <row r="233" spans="4:5" s="124" customFormat="1" x14ac:dyDescent="0.3">
      <c r="D233" s="128"/>
      <c r="E233" s="128"/>
    </row>
    <row r="234" spans="4:5" s="124" customFormat="1" x14ac:dyDescent="0.3">
      <c r="D234" s="128"/>
      <c r="E234" s="128"/>
    </row>
    <row r="235" spans="4:5" s="124" customFormat="1" x14ac:dyDescent="0.3">
      <c r="D235" s="128"/>
      <c r="E235" s="128"/>
    </row>
    <row r="236" spans="4:5" s="124" customFormat="1" x14ac:dyDescent="0.3">
      <c r="D236" s="128"/>
      <c r="E236" s="128"/>
    </row>
    <row r="237" spans="4:5" s="124" customFormat="1" x14ac:dyDescent="0.3">
      <c r="D237" s="128"/>
      <c r="E237" s="128"/>
    </row>
    <row r="238" spans="4:5" s="124" customFormat="1" x14ac:dyDescent="0.3">
      <c r="D238" s="128"/>
      <c r="E238" s="128"/>
    </row>
    <row r="239" spans="4:5" s="124" customFormat="1" x14ac:dyDescent="0.3">
      <c r="D239" s="128"/>
      <c r="E239" s="128"/>
    </row>
    <row r="240" spans="4:5" s="124" customFormat="1" x14ac:dyDescent="0.3">
      <c r="D240" s="128"/>
      <c r="E240" s="128"/>
    </row>
    <row r="241" spans="4:5" s="124" customFormat="1" x14ac:dyDescent="0.3">
      <c r="D241" s="128"/>
      <c r="E241" s="128"/>
    </row>
    <row r="242" spans="4:5" s="124" customFormat="1" x14ac:dyDescent="0.3">
      <c r="D242" s="128"/>
      <c r="E242" s="128"/>
    </row>
    <row r="243" spans="4:5" s="124" customFormat="1" x14ac:dyDescent="0.3">
      <c r="D243" s="128"/>
      <c r="E243" s="128"/>
    </row>
    <row r="244" spans="4:5" s="124" customFormat="1" x14ac:dyDescent="0.3">
      <c r="D244" s="128"/>
      <c r="E244" s="128"/>
    </row>
    <row r="245" spans="4:5" s="124" customFormat="1" x14ac:dyDescent="0.3">
      <c r="D245" s="128"/>
      <c r="E245" s="128"/>
    </row>
    <row r="246" spans="4:5" s="124" customFormat="1" x14ac:dyDescent="0.3">
      <c r="D246" s="128"/>
      <c r="E246" s="128"/>
    </row>
    <row r="247" spans="4:5" s="124" customFormat="1" x14ac:dyDescent="0.3">
      <c r="D247" s="128"/>
      <c r="E247" s="128"/>
    </row>
    <row r="248" spans="4:5" s="124" customFormat="1" x14ac:dyDescent="0.3">
      <c r="D248" s="128"/>
      <c r="E248" s="128"/>
    </row>
    <row r="249" spans="4:5" s="124" customFormat="1" x14ac:dyDescent="0.3">
      <c r="D249" s="128"/>
      <c r="E249" s="128"/>
    </row>
    <row r="250" spans="4:5" s="124" customFormat="1" x14ac:dyDescent="0.3">
      <c r="D250" s="128"/>
      <c r="E250" s="128"/>
    </row>
    <row r="251" spans="4:5" s="124" customFormat="1" x14ac:dyDescent="0.3">
      <c r="D251" s="128"/>
      <c r="E251" s="128"/>
    </row>
    <row r="252" spans="4:5" s="124" customFormat="1" x14ac:dyDescent="0.3">
      <c r="D252" s="128"/>
      <c r="E252" s="128"/>
    </row>
    <row r="253" spans="4:5" s="124" customFormat="1" x14ac:dyDescent="0.3">
      <c r="D253" s="128"/>
      <c r="E253" s="128"/>
    </row>
    <row r="254" spans="4:5" s="124" customFormat="1" x14ac:dyDescent="0.3">
      <c r="D254" s="128"/>
      <c r="E254" s="128"/>
    </row>
    <row r="255" spans="4:5" s="124" customFormat="1" x14ac:dyDescent="0.3">
      <c r="D255" s="128"/>
      <c r="E255" s="128"/>
    </row>
    <row r="256" spans="4:5" s="124" customFormat="1" x14ac:dyDescent="0.3">
      <c r="D256" s="128"/>
      <c r="E256" s="128"/>
    </row>
    <row r="257" spans="4:5" s="124" customFormat="1" x14ac:dyDescent="0.3">
      <c r="D257" s="128"/>
      <c r="E257" s="128"/>
    </row>
    <row r="258" spans="4:5" s="124" customFormat="1" x14ac:dyDescent="0.3">
      <c r="D258" s="128"/>
      <c r="E258" s="128"/>
    </row>
    <row r="259" spans="4:5" s="124" customFormat="1" x14ac:dyDescent="0.3">
      <c r="D259" s="128"/>
      <c r="E259" s="128"/>
    </row>
    <row r="260" spans="4:5" s="124" customFormat="1" x14ac:dyDescent="0.3">
      <c r="D260" s="128"/>
      <c r="E260" s="128"/>
    </row>
    <row r="261" spans="4:5" s="124" customFormat="1" x14ac:dyDescent="0.3">
      <c r="D261" s="128"/>
      <c r="E261" s="128"/>
    </row>
    <row r="262" spans="4:5" s="124" customFormat="1" x14ac:dyDescent="0.3">
      <c r="D262" s="128"/>
      <c r="E262" s="128"/>
    </row>
    <row r="263" spans="4:5" s="124" customFormat="1" x14ac:dyDescent="0.3">
      <c r="D263" s="128"/>
      <c r="E263" s="128"/>
    </row>
    <row r="264" spans="4:5" s="124" customFormat="1" x14ac:dyDescent="0.3">
      <c r="D264" s="128"/>
      <c r="E264" s="128"/>
    </row>
    <row r="265" spans="4:5" s="124" customFormat="1" x14ac:dyDescent="0.3">
      <c r="D265" s="128"/>
      <c r="E265" s="128"/>
    </row>
    <row r="266" spans="4:5" s="124" customFormat="1" x14ac:dyDescent="0.3">
      <c r="D266" s="128"/>
      <c r="E266" s="128"/>
    </row>
    <row r="267" spans="4:5" s="124" customFormat="1" x14ac:dyDescent="0.3">
      <c r="D267" s="128"/>
      <c r="E267" s="128"/>
    </row>
    <row r="268" spans="4:5" s="124" customFormat="1" x14ac:dyDescent="0.3">
      <c r="D268" s="128"/>
      <c r="E268" s="128"/>
    </row>
    <row r="269" spans="4:5" s="124" customFormat="1" x14ac:dyDescent="0.3">
      <c r="D269" s="128"/>
      <c r="E269" s="128"/>
    </row>
    <row r="270" spans="4:5" s="124" customFormat="1" x14ac:dyDescent="0.3">
      <c r="D270" s="128"/>
      <c r="E270" s="128"/>
    </row>
    <row r="271" spans="4:5" s="124" customFormat="1" x14ac:dyDescent="0.3">
      <c r="D271" s="128"/>
      <c r="E271" s="128"/>
    </row>
    <row r="272" spans="4:5" s="124" customFormat="1" x14ac:dyDescent="0.3">
      <c r="D272" s="128"/>
      <c r="E272" s="128"/>
    </row>
    <row r="273" spans="4:5" s="124" customFormat="1" x14ac:dyDescent="0.3">
      <c r="D273" s="128"/>
      <c r="E273" s="128"/>
    </row>
    <row r="274" spans="4:5" s="124" customFormat="1" x14ac:dyDescent="0.3">
      <c r="D274" s="128"/>
      <c r="E274" s="128"/>
    </row>
    <row r="275" spans="4:5" s="124" customFormat="1" x14ac:dyDescent="0.3">
      <c r="D275" s="128"/>
      <c r="E275" s="128"/>
    </row>
    <row r="276" spans="4:5" s="124" customFormat="1" x14ac:dyDescent="0.3">
      <c r="D276" s="128"/>
      <c r="E276" s="128"/>
    </row>
    <row r="277" spans="4:5" s="124" customFormat="1" x14ac:dyDescent="0.3">
      <c r="D277" s="128"/>
      <c r="E277" s="128"/>
    </row>
    <row r="278" spans="4:5" s="124" customFormat="1" x14ac:dyDescent="0.3">
      <c r="D278" s="128"/>
      <c r="E278" s="128"/>
    </row>
    <row r="279" spans="4:5" s="124" customFormat="1" x14ac:dyDescent="0.3">
      <c r="D279" s="128"/>
      <c r="E279" s="128"/>
    </row>
    <row r="280" spans="4:5" s="124" customFormat="1" x14ac:dyDescent="0.3">
      <c r="D280" s="128"/>
      <c r="E280" s="128"/>
    </row>
    <row r="281" spans="4:5" s="124" customFormat="1" x14ac:dyDescent="0.3">
      <c r="D281" s="128"/>
      <c r="E281" s="128"/>
    </row>
    <row r="282" spans="4:5" s="124" customFormat="1" x14ac:dyDescent="0.3">
      <c r="D282" s="128"/>
      <c r="E282" s="128"/>
    </row>
    <row r="283" spans="4:5" s="124" customFormat="1" x14ac:dyDescent="0.3">
      <c r="D283" s="128"/>
      <c r="E283" s="128"/>
    </row>
    <row r="284" spans="4:5" s="124" customFormat="1" x14ac:dyDescent="0.3">
      <c r="D284" s="128"/>
      <c r="E284" s="128"/>
    </row>
    <row r="285" spans="4:5" s="124" customFormat="1" x14ac:dyDescent="0.3">
      <c r="D285" s="128"/>
      <c r="E285" s="128"/>
    </row>
    <row r="286" spans="4:5" s="124" customFormat="1" x14ac:dyDescent="0.3">
      <c r="D286" s="128"/>
      <c r="E286" s="128"/>
    </row>
    <row r="287" spans="4:5" s="124" customFormat="1" x14ac:dyDescent="0.3">
      <c r="D287" s="128"/>
      <c r="E287" s="128"/>
    </row>
    <row r="288" spans="4:5" s="124" customFormat="1" x14ac:dyDescent="0.3">
      <c r="D288" s="128"/>
      <c r="E288" s="128"/>
    </row>
    <row r="289" spans="4:5" s="124" customFormat="1" x14ac:dyDescent="0.3">
      <c r="D289" s="128"/>
      <c r="E289" s="128"/>
    </row>
    <row r="290" spans="4:5" s="124" customFormat="1" x14ac:dyDescent="0.3">
      <c r="D290" s="128"/>
      <c r="E290" s="128"/>
    </row>
    <row r="291" spans="4:5" s="124" customFormat="1" x14ac:dyDescent="0.3">
      <c r="D291" s="128"/>
      <c r="E291" s="128"/>
    </row>
    <row r="292" spans="4:5" s="124" customFormat="1" x14ac:dyDescent="0.3">
      <c r="D292" s="128"/>
      <c r="E292" s="128"/>
    </row>
    <row r="293" spans="4:5" s="124" customFormat="1" x14ac:dyDescent="0.3">
      <c r="D293" s="128"/>
      <c r="E293" s="128"/>
    </row>
    <row r="294" spans="4:5" s="124" customFormat="1" x14ac:dyDescent="0.3">
      <c r="D294" s="128"/>
      <c r="E294" s="128"/>
    </row>
    <row r="295" spans="4:5" s="124" customFormat="1" x14ac:dyDescent="0.3">
      <c r="D295" s="128"/>
      <c r="E295" s="128"/>
    </row>
    <row r="296" spans="4:5" s="124" customFormat="1" x14ac:dyDescent="0.3">
      <c r="D296" s="128"/>
      <c r="E296" s="128"/>
    </row>
    <row r="297" spans="4:5" s="124" customFormat="1" x14ac:dyDescent="0.3">
      <c r="D297" s="128"/>
      <c r="E297" s="128"/>
    </row>
    <row r="298" spans="4:5" s="124" customFormat="1" x14ac:dyDescent="0.3">
      <c r="D298" s="128"/>
      <c r="E298" s="128"/>
    </row>
    <row r="299" spans="4:5" s="124" customFormat="1" x14ac:dyDescent="0.3">
      <c r="D299" s="128"/>
      <c r="E299" s="128"/>
    </row>
    <row r="300" spans="4:5" s="124" customFormat="1" x14ac:dyDescent="0.3">
      <c r="D300" s="128"/>
      <c r="E300" s="128"/>
    </row>
    <row r="301" spans="4:5" s="124" customFormat="1" x14ac:dyDescent="0.3">
      <c r="D301" s="128"/>
      <c r="E301" s="128"/>
    </row>
    <row r="302" spans="4:5" s="124" customFormat="1" x14ac:dyDescent="0.3">
      <c r="D302" s="128"/>
      <c r="E302" s="128"/>
    </row>
    <row r="303" spans="4:5" s="124" customFormat="1" x14ac:dyDescent="0.3">
      <c r="D303" s="128"/>
      <c r="E303" s="128"/>
    </row>
    <row r="304" spans="4:5" s="124" customFormat="1" x14ac:dyDescent="0.3">
      <c r="D304" s="128"/>
      <c r="E304" s="128"/>
    </row>
    <row r="305" spans="4:5" s="124" customFormat="1" x14ac:dyDescent="0.3">
      <c r="D305" s="128"/>
      <c r="E305" s="128"/>
    </row>
    <row r="306" spans="4:5" s="124" customFormat="1" x14ac:dyDescent="0.3">
      <c r="D306" s="128"/>
      <c r="E306" s="128"/>
    </row>
    <row r="307" spans="4:5" s="124" customFormat="1" x14ac:dyDescent="0.3">
      <c r="D307" s="128"/>
      <c r="E307" s="128"/>
    </row>
    <row r="308" spans="4:5" s="124" customFormat="1" x14ac:dyDescent="0.3">
      <c r="D308" s="128"/>
      <c r="E308" s="128"/>
    </row>
    <row r="309" spans="4:5" s="124" customFormat="1" x14ac:dyDescent="0.3">
      <c r="D309" s="128"/>
      <c r="E309" s="128"/>
    </row>
    <row r="310" spans="4:5" s="124" customFormat="1" x14ac:dyDescent="0.3">
      <c r="D310" s="128"/>
      <c r="E310" s="128"/>
    </row>
    <row r="311" spans="4:5" s="124" customFormat="1" x14ac:dyDescent="0.3">
      <c r="D311" s="128"/>
      <c r="E311" s="128"/>
    </row>
    <row r="312" spans="4:5" s="124" customFormat="1" x14ac:dyDescent="0.3">
      <c r="D312" s="128"/>
      <c r="E312" s="128"/>
    </row>
    <row r="313" spans="4:5" s="124" customFormat="1" x14ac:dyDescent="0.3">
      <c r="D313" s="128"/>
      <c r="E313" s="128"/>
    </row>
    <row r="314" spans="4:5" s="124" customFormat="1" x14ac:dyDescent="0.3">
      <c r="D314" s="128"/>
      <c r="E314" s="128"/>
    </row>
    <row r="315" spans="4:5" s="124" customFormat="1" x14ac:dyDescent="0.3">
      <c r="D315" s="128"/>
      <c r="E315" s="128"/>
    </row>
    <row r="316" spans="4:5" s="124" customFormat="1" x14ac:dyDescent="0.3">
      <c r="D316" s="128"/>
      <c r="E316" s="128"/>
    </row>
    <row r="317" spans="4:5" s="124" customFormat="1" x14ac:dyDescent="0.3">
      <c r="D317" s="128"/>
      <c r="E317" s="128"/>
    </row>
    <row r="318" spans="4:5" s="124" customFormat="1" x14ac:dyDescent="0.3">
      <c r="D318" s="128"/>
      <c r="E318" s="128"/>
    </row>
    <row r="319" spans="4:5" s="124" customFormat="1" x14ac:dyDescent="0.3">
      <c r="D319" s="128"/>
      <c r="E319" s="128"/>
    </row>
    <row r="320" spans="4:5" s="124" customFormat="1" x14ac:dyDescent="0.3">
      <c r="D320" s="128"/>
      <c r="E320" s="128"/>
    </row>
    <row r="321" spans="4:5" s="124" customFormat="1" x14ac:dyDescent="0.3">
      <c r="D321" s="128"/>
      <c r="E321" s="128"/>
    </row>
    <row r="322" spans="4:5" s="124" customFormat="1" x14ac:dyDescent="0.3">
      <c r="D322" s="128"/>
      <c r="E322" s="128"/>
    </row>
    <row r="323" spans="4:5" s="124" customFormat="1" x14ac:dyDescent="0.3">
      <c r="D323" s="128"/>
      <c r="E323" s="128"/>
    </row>
    <row r="324" spans="4:5" s="124" customFormat="1" x14ac:dyDescent="0.3">
      <c r="D324" s="128"/>
      <c r="E324" s="128"/>
    </row>
    <row r="325" spans="4:5" s="124" customFormat="1" x14ac:dyDescent="0.3">
      <c r="D325" s="128"/>
      <c r="E325" s="128"/>
    </row>
    <row r="326" spans="4:5" s="124" customFormat="1" x14ac:dyDescent="0.3">
      <c r="D326" s="128"/>
      <c r="E326" s="128"/>
    </row>
    <row r="327" spans="4:5" s="124" customFormat="1" x14ac:dyDescent="0.3">
      <c r="D327" s="128"/>
      <c r="E327" s="128"/>
    </row>
    <row r="328" spans="4:5" s="124" customFormat="1" x14ac:dyDescent="0.3">
      <c r="D328" s="128"/>
      <c r="E328" s="128"/>
    </row>
    <row r="329" spans="4:5" s="124" customFormat="1" x14ac:dyDescent="0.3">
      <c r="D329" s="128"/>
      <c r="E329" s="128"/>
    </row>
    <row r="330" spans="4:5" s="124" customFormat="1" x14ac:dyDescent="0.3">
      <c r="D330" s="128"/>
      <c r="E330" s="128"/>
    </row>
    <row r="331" spans="4:5" s="124" customFormat="1" x14ac:dyDescent="0.3">
      <c r="D331" s="128"/>
      <c r="E331" s="128"/>
    </row>
    <row r="332" spans="4:5" s="124" customFormat="1" x14ac:dyDescent="0.3">
      <c r="D332" s="128"/>
      <c r="E332" s="128"/>
    </row>
    <row r="333" spans="4:5" s="124" customFormat="1" x14ac:dyDescent="0.3">
      <c r="D333" s="128"/>
      <c r="E333" s="128"/>
    </row>
    <row r="334" spans="4:5" s="124" customFormat="1" x14ac:dyDescent="0.3">
      <c r="D334" s="128"/>
      <c r="E334" s="128"/>
    </row>
    <row r="335" spans="4:5" s="124" customFormat="1" x14ac:dyDescent="0.3">
      <c r="D335" s="128"/>
      <c r="E335" s="128"/>
    </row>
    <row r="336" spans="4:5" s="124" customFormat="1" x14ac:dyDescent="0.3">
      <c r="D336" s="128"/>
      <c r="E336" s="128"/>
    </row>
    <row r="337" spans="4:5" s="124" customFormat="1" x14ac:dyDescent="0.3">
      <c r="D337" s="128"/>
      <c r="E337" s="128"/>
    </row>
    <row r="338" spans="4:5" s="124" customFormat="1" x14ac:dyDescent="0.3">
      <c r="D338" s="128"/>
      <c r="E338" s="128"/>
    </row>
    <row r="339" spans="4:5" s="124" customFormat="1" x14ac:dyDescent="0.3">
      <c r="D339" s="128"/>
      <c r="E339" s="128"/>
    </row>
    <row r="340" spans="4:5" s="124" customFormat="1" x14ac:dyDescent="0.3">
      <c r="D340" s="128"/>
      <c r="E340" s="128"/>
    </row>
    <row r="341" spans="4:5" s="124" customFormat="1" x14ac:dyDescent="0.3">
      <c r="D341" s="128"/>
      <c r="E341" s="128"/>
    </row>
    <row r="342" spans="4:5" s="124" customFormat="1" x14ac:dyDescent="0.3">
      <c r="D342" s="128"/>
      <c r="E342" s="128"/>
    </row>
    <row r="343" spans="4:5" s="124" customFormat="1" x14ac:dyDescent="0.3">
      <c r="D343" s="128"/>
      <c r="E343" s="128"/>
    </row>
    <row r="344" spans="4:5" s="124" customFormat="1" x14ac:dyDescent="0.3">
      <c r="D344" s="128"/>
      <c r="E344" s="128"/>
    </row>
    <row r="345" spans="4:5" s="124" customFormat="1" x14ac:dyDescent="0.3">
      <c r="D345" s="128"/>
      <c r="E345" s="128"/>
    </row>
    <row r="346" spans="4:5" s="124" customFormat="1" x14ac:dyDescent="0.3">
      <c r="D346" s="128"/>
      <c r="E346" s="128"/>
    </row>
    <row r="347" spans="4:5" s="124" customFormat="1" x14ac:dyDescent="0.3">
      <c r="D347" s="128"/>
      <c r="E347" s="128"/>
    </row>
    <row r="348" spans="4:5" s="124" customFormat="1" x14ac:dyDescent="0.3">
      <c r="D348" s="128"/>
      <c r="E348" s="128"/>
    </row>
    <row r="349" spans="4:5" s="124" customFormat="1" x14ac:dyDescent="0.3">
      <c r="D349" s="128"/>
      <c r="E349" s="128"/>
    </row>
    <row r="350" spans="4:5" s="124" customFormat="1" x14ac:dyDescent="0.3">
      <c r="D350" s="128"/>
      <c r="E350" s="128"/>
    </row>
    <row r="351" spans="4:5" s="124" customFormat="1" x14ac:dyDescent="0.3">
      <c r="D351" s="128"/>
      <c r="E351" s="128"/>
    </row>
    <row r="352" spans="4:5" s="124" customFormat="1" x14ac:dyDescent="0.3">
      <c r="D352" s="128"/>
      <c r="E352" s="128"/>
    </row>
    <row r="353" spans="4:5" s="124" customFormat="1" x14ac:dyDescent="0.3">
      <c r="D353" s="128"/>
      <c r="E353" s="128"/>
    </row>
    <row r="354" spans="4:5" s="124" customFormat="1" x14ac:dyDescent="0.3">
      <c r="D354" s="128"/>
      <c r="E354" s="128"/>
    </row>
    <row r="355" spans="4:5" s="124" customFormat="1" x14ac:dyDescent="0.3">
      <c r="D355" s="128"/>
      <c r="E355" s="128"/>
    </row>
    <row r="356" spans="4:5" s="124" customFormat="1" x14ac:dyDescent="0.3">
      <c r="D356" s="128"/>
      <c r="E356" s="128"/>
    </row>
    <row r="357" spans="4:5" s="124" customFormat="1" x14ac:dyDescent="0.3">
      <c r="D357" s="128"/>
      <c r="E357" s="128"/>
    </row>
    <row r="358" spans="4:5" s="124" customFormat="1" x14ac:dyDescent="0.3">
      <c r="D358" s="128"/>
      <c r="E358" s="128"/>
    </row>
    <row r="359" spans="4:5" s="124" customFormat="1" x14ac:dyDescent="0.3">
      <c r="D359" s="128"/>
      <c r="E359" s="128"/>
    </row>
    <row r="360" spans="4:5" s="124" customFormat="1" x14ac:dyDescent="0.3">
      <c r="D360" s="128"/>
      <c r="E360" s="128"/>
    </row>
    <row r="361" spans="4:5" s="124" customFormat="1" x14ac:dyDescent="0.3">
      <c r="D361" s="128"/>
      <c r="E361" s="128"/>
    </row>
    <row r="362" spans="4:5" s="124" customFormat="1" x14ac:dyDescent="0.3">
      <c r="D362" s="128"/>
      <c r="E362" s="128"/>
    </row>
    <row r="363" spans="4:5" s="124" customFormat="1" x14ac:dyDescent="0.3">
      <c r="D363" s="128"/>
      <c r="E363" s="128"/>
    </row>
    <row r="364" spans="4:5" s="124" customFormat="1" x14ac:dyDescent="0.3">
      <c r="D364" s="128"/>
      <c r="E364" s="128"/>
    </row>
    <row r="365" spans="4:5" s="124" customFormat="1" x14ac:dyDescent="0.3">
      <c r="D365" s="128"/>
      <c r="E365" s="128"/>
    </row>
    <row r="366" spans="4:5" s="124" customFormat="1" x14ac:dyDescent="0.3">
      <c r="D366" s="128"/>
      <c r="E366" s="128"/>
    </row>
    <row r="367" spans="4:5" s="124" customFormat="1" x14ac:dyDescent="0.3">
      <c r="D367" s="128"/>
      <c r="E367" s="128"/>
    </row>
    <row r="368" spans="4:5" s="124" customFormat="1" x14ac:dyDescent="0.3">
      <c r="D368" s="128"/>
      <c r="E368" s="128"/>
    </row>
    <row r="369" spans="4:5" s="124" customFormat="1" x14ac:dyDescent="0.3">
      <c r="D369" s="128"/>
      <c r="E369" s="128"/>
    </row>
    <row r="370" spans="4:5" s="124" customFormat="1" x14ac:dyDescent="0.3">
      <c r="D370" s="128"/>
      <c r="E370" s="128"/>
    </row>
    <row r="371" spans="4:5" s="124" customFormat="1" x14ac:dyDescent="0.3">
      <c r="D371" s="128"/>
      <c r="E371" s="128"/>
    </row>
    <row r="372" spans="4:5" s="124" customFormat="1" x14ac:dyDescent="0.3">
      <c r="D372" s="128"/>
      <c r="E372" s="128"/>
    </row>
    <row r="373" spans="4:5" s="124" customFormat="1" x14ac:dyDescent="0.3">
      <c r="D373" s="128"/>
      <c r="E373" s="128"/>
    </row>
    <row r="374" spans="4:5" s="124" customFormat="1" x14ac:dyDescent="0.3">
      <c r="D374" s="128"/>
      <c r="E374" s="128"/>
    </row>
    <row r="375" spans="4:5" s="124" customFormat="1" x14ac:dyDescent="0.3">
      <c r="D375" s="128"/>
      <c r="E375" s="128"/>
    </row>
    <row r="376" spans="4:5" s="124" customFormat="1" x14ac:dyDescent="0.3">
      <c r="D376" s="128"/>
      <c r="E376" s="128"/>
    </row>
    <row r="377" spans="4:5" s="124" customFormat="1" x14ac:dyDescent="0.3">
      <c r="D377" s="128"/>
      <c r="E377" s="128"/>
    </row>
    <row r="378" spans="4:5" s="124" customFormat="1" x14ac:dyDescent="0.3">
      <c r="D378" s="128"/>
      <c r="E378" s="128"/>
    </row>
    <row r="379" spans="4:5" s="124" customFormat="1" x14ac:dyDescent="0.3">
      <c r="D379" s="128"/>
      <c r="E379" s="128"/>
    </row>
    <row r="380" spans="4:5" s="124" customFormat="1" x14ac:dyDescent="0.3">
      <c r="D380" s="128"/>
      <c r="E380" s="128"/>
    </row>
    <row r="381" spans="4:5" s="124" customFormat="1" x14ac:dyDescent="0.3">
      <c r="D381" s="128"/>
      <c r="E381" s="128"/>
    </row>
    <row r="382" spans="4:5" s="124" customFormat="1" x14ac:dyDescent="0.3">
      <c r="D382" s="128"/>
      <c r="E382" s="128"/>
    </row>
    <row r="383" spans="4:5" s="124" customFormat="1" x14ac:dyDescent="0.3">
      <c r="D383" s="128"/>
      <c r="E383" s="128"/>
    </row>
    <row r="384" spans="4:5" s="124" customFormat="1" x14ac:dyDescent="0.3">
      <c r="D384" s="128"/>
      <c r="E384" s="128"/>
    </row>
    <row r="385" spans="4:5" s="124" customFormat="1" x14ac:dyDescent="0.3">
      <c r="D385" s="128"/>
      <c r="E385" s="128"/>
    </row>
    <row r="386" spans="4:5" s="124" customFormat="1" x14ac:dyDescent="0.3">
      <c r="D386" s="128"/>
      <c r="E386" s="128"/>
    </row>
    <row r="387" spans="4:5" s="124" customFormat="1" x14ac:dyDescent="0.3">
      <c r="D387" s="128"/>
      <c r="E387" s="128"/>
    </row>
    <row r="388" spans="4:5" s="124" customFormat="1" x14ac:dyDescent="0.3">
      <c r="D388" s="128"/>
      <c r="E388" s="128"/>
    </row>
    <row r="389" spans="4:5" s="124" customFormat="1" x14ac:dyDescent="0.3">
      <c r="D389" s="128"/>
      <c r="E389" s="128"/>
    </row>
    <row r="390" spans="4:5" s="124" customFormat="1" x14ac:dyDescent="0.3">
      <c r="D390" s="128"/>
      <c r="E390" s="128"/>
    </row>
    <row r="391" spans="4:5" s="124" customFormat="1" x14ac:dyDescent="0.3">
      <c r="D391" s="128"/>
      <c r="E391" s="128"/>
    </row>
    <row r="392" spans="4:5" s="124" customFormat="1" x14ac:dyDescent="0.3">
      <c r="D392" s="128"/>
      <c r="E392" s="128"/>
    </row>
    <row r="393" spans="4:5" s="124" customFormat="1" x14ac:dyDescent="0.3">
      <c r="D393" s="128"/>
      <c r="E393" s="128"/>
    </row>
    <row r="394" spans="4:5" s="124" customFormat="1" x14ac:dyDescent="0.3">
      <c r="D394" s="128"/>
      <c r="E394" s="128"/>
    </row>
    <row r="395" spans="4:5" s="124" customFormat="1" x14ac:dyDescent="0.3">
      <c r="D395" s="128"/>
      <c r="E395" s="128"/>
    </row>
    <row r="396" spans="4:5" s="124" customFormat="1" x14ac:dyDescent="0.3">
      <c r="D396" s="128"/>
      <c r="E396" s="128"/>
    </row>
    <row r="397" spans="4:5" s="124" customFormat="1" x14ac:dyDescent="0.3">
      <c r="D397" s="128"/>
      <c r="E397" s="128"/>
    </row>
    <row r="398" spans="4:5" s="124" customFormat="1" x14ac:dyDescent="0.3">
      <c r="D398" s="128"/>
      <c r="E398" s="128"/>
    </row>
    <row r="399" spans="4:5" s="124" customFormat="1" x14ac:dyDescent="0.3">
      <c r="D399" s="128"/>
      <c r="E399" s="128"/>
    </row>
    <row r="400" spans="4:5" s="124" customFormat="1" x14ac:dyDescent="0.3">
      <c r="D400" s="128"/>
      <c r="E400" s="128"/>
    </row>
    <row r="401" spans="4:5" s="124" customFormat="1" x14ac:dyDescent="0.3">
      <c r="D401" s="128"/>
      <c r="E401" s="128"/>
    </row>
    <row r="402" spans="4:5" s="124" customFormat="1" x14ac:dyDescent="0.3">
      <c r="D402" s="128"/>
      <c r="E402" s="128"/>
    </row>
    <row r="403" spans="4:5" s="124" customFormat="1" x14ac:dyDescent="0.3">
      <c r="D403" s="128"/>
      <c r="E403" s="128"/>
    </row>
    <row r="404" spans="4:5" s="124" customFormat="1" x14ac:dyDescent="0.3">
      <c r="D404" s="128"/>
      <c r="E404" s="128"/>
    </row>
    <row r="405" spans="4:5" s="124" customFormat="1" x14ac:dyDescent="0.3">
      <c r="D405" s="128"/>
      <c r="E405" s="128"/>
    </row>
    <row r="406" spans="4:5" s="124" customFormat="1" x14ac:dyDescent="0.3">
      <c r="D406" s="128"/>
      <c r="E406" s="128"/>
    </row>
    <row r="407" spans="4:5" s="124" customFormat="1" x14ac:dyDescent="0.3">
      <c r="D407" s="128"/>
      <c r="E407" s="128"/>
    </row>
    <row r="408" spans="4:5" s="124" customFormat="1" x14ac:dyDescent="0.3">
      <c r="D408" s="128"/>
      <c r="E408" s="128"/>
    </row>
    <row r="409" spans="4:5" s="124" customFormat="1" x14ac:dyDescent="0.3">
      <c r="D409" s="128"/>
      <c r="E409" s="128"/>
    </row>
    <row r="410" spans="4:5" s="124" customFormat="1" x14ac:dyDescent="0.3">
      <c r="D410" s="128"/>
      <c r="E410" s="128"/>
    </row>
    <row r="411" spans="4:5" s="124" customFormat="1" x14ac:dyDescent="0.3">
      <c r="D411" s="128"/>
      <c r="E411" s="128"/>
    </row>
    <row r="412" spans="4:5" s="124" customFormat="1" x14ac:dyDescent="0.3">
      <c r="D412" s="128"/>
      <c r="E412" s="128"/>
    </row>
    <row r="413" spans="4:5" s="124" customFormat="1" x14ac:dyDescent="0.3">
      <c r="D413" s="128"/>
      <c r="E413" s="128"/>
    </row>
    <row r="414" spans="4:5" s="124" customFormat="1" x14ac:dyDescent="0.3">
      <c r="D414" s="128"/>
      <c r="E414" s="128"/>
    </row>
    <row r="415" spans="4:5" s="124" customFormat="1" x14ac:dyDescent="0.3">
      <c r="D415" s="128"/>
      <c r="E415" s="128"/>
    </row>
    <row r="416" spans="4:5" s="124" customFormat="1" x14ac:dyDescent="0.3">
      <c r="D416" s="128"/>
      <c r="E416" s="128"/>
    </row>
    <row r="417" spans="4:5" s="124" customFormat="1" x14ac:dyDescent="0.3">
      <c r="D417" s="128"/>
      <c r="E417" s="128"/>
    </row>
    <row r="418" spans="4:5" s="124" customFormat="1" x14ac:dyDescent="0.3">
      <c r="D418" s="128"/>
      <c r="E418" s="128"/>
    </row>
    <row r="419" spans="4:5" s="124" customFormat="1" x14ac:dyDescent="0.3">
      <c r="D419" s="128"/>
      <c r="E419" s="128"/>
    </row>
    <row r="420" spans="4:5" s="124" customFormat="1" x14ac:dyDescent="0.3">
      <c r="D420" s="128"/>
      <c r="E420" s="128"/>
    </row>
    <row r="421" spans="4:5" s="124" customFormat="1" x14ac:dyDescent="0.3">
      <c r="D421" s="128"/>
      <c r="E421" s="128"/>
    </row>
    <row r="422" spans="4:5" s="124" customFormat="1" x14ac:dyDescent="0.3">
      <c r="D422" s="128"/>
      <c r="E422" s="128"/>
    </row>
    <row r="423" spans="4:5" s="124" customFormat="1" x14ac:dyDescent="0.3">
      <c r="D423" s="128"/>
      <c r="E423" s="128"/>
    </row>
    <row r="424" spans="4:5" s="124" customFormat="1" x14ac:dyDescent="0.3">
      <c r="D424" s="128"/>
      <c r="E424" s="128"/>
    </row>
    <row r="425" spans="4:5" s="124" customFormat="1" x14ac:dyDescent="0.3">
      <c r="D425" s="128"/>
      <c r="E425" s="128"/>
    </row>
    <row r="426" spans="4:5" s="124" customFormat="1" x14ac:dyDescent="0.3">
      <c r="D426" s="128"/>
      <c r="E426" s="128"/>
    </row>
    <row r="427" spans="4:5" s="124" customFormat="1" x14ac:dyDescent="0.3">
      <c r="D427" s="128"/>
      <c r="E427" s="128"/>
    </row>
    <row r="428" spans="4:5" s="124" customFormat="1" x14ac:dyDescent="0.3">
      <c r="D428" s="128"/>
      <c r="E428" s="128"/>
    </row>
    <row r="429" spans="4:5" s="124" customFormat="1" x14ac:dyDescent="0.3">
      <c r="D429" s="128"/>
      <c r="E429" s="128"/>
    </row>
    <row r="430" spans="4:5" s="124" customFormat="1" x14ac:dyDescent="0.3">
      <c r="D430" s="128"/>
      <c r="E430" s="128"/>
    </row>
    <row r="431" spans="4:5" s="124" customFormat="1" x14ac:dyDescent="0.3">
      <c r="D431" s="128"/>
      <c r="E431" s="128"/>
    </row>
    <row r="432" spans="4:5" s="124" customFormat="1" x14ac:dyDescent="0.3">
      <c r="D432" s="128"/>
      <c r="E432" s="128"/>
    </row>
    <row r="433" spans="4:5" s="124" customFormat="1" x14ac:dyDescent="0.3">
      <c r="D433" s="128"/>
      <c r="E433" s="128"/>
    </row>
    <row r="434" spans="4:5" s="124" customFormat="1" x14ac:dyDescent="0.3">
      <c r="D434" s="128"/>
      <c r="E434" s="128"/>
    </row>
    <row r="435" spans="4:5" s="124" customFormat="1" x14ac:dyDescent="0.3">
      <c r="D435" s="128"/>
      <c r="E435" s="128"/>
    </row>
    <row r="436" spans="4:5" s="124" customFormat="1" x14ac:dyDescent="0.3">
      <c r="D436" s="128"/>
      <c r="E436" s="128"/>
    </row>
    <row r="437" spans="4:5" s="124" customFormat="1" x14ac:dyDescent="0.3">
      <c r="D437" s="128"/>
      <c r="E437" s="128"/>
    </row>
    <row r="438" spans="4:5" s="124" customFormat="1" x14ac:dyDescent="0.3">
      <c r="D438" s="128"/>
      <c r="E438" s="128"/>
    </row>
    <row r="439" spans="4:5" s="124" customFormat="1" x14ac:dyDescent="0.3">
      <c r="D439" s="128"/>
      <c r="E439" s="128"/>
    </row>
    <row r="440" spans="4:5" s="124" customFormat="1" x14ac:dyDescent="0.3">
      <c r="D440" s="128"/>
      <c r="E440" s="128"/>
    </row>
    <row r="441" spans="4:5" s="124" customFormat="1" x14ac:dyDescent="0.3">
      <c r="D441" s="128"/>
      <c r="E441" s="128"/>
    </row>
    <row r="442" spans="4:5" s="124" customFormat="1" x14ac:dyDescent="0.3">
      <c r="D442" s="128"/>
      <c r="E442" s="128"/>
    </row>
    <row r="443" spans="4:5" s="124" customFormat="1" x14ac:dyDescent="0.3">
      <c r="D443" s="128"/>
      <c r="E443" s="128"/>
    </row>
    <row r="444" spans="4:5" s="124" customFormat="1" x14ac:dyDescent="0.3">
      <c r="D444" s="128"/>
      <c r="E444" s="128"/>
    </row>
    <row r="445" spans="4:5" s="124" customFormat="1" x14ac:dyDescent="0.3">
      <c r="D445" s="128"/>
      <c r="E445" s="128"/>
    </row>
    <row r="446" spans="4:5" s="124" customFormat="1" x14ac:dyDescent="0.3">
      <c r="D446" s="128"/>
      <c r="E446" s="128"/>
    </row>
    <row r="447" spans="4:5" s="124" customFormat="1" x14ac:dyDescent="0.3">
      <c r="D447" s="128"/>
      <c r="E447" s="128"/>
    </row>
    <row r="448" spans="4:5" s="124" customFormat="1" x14ac:dyDescent="0.3">
      <c r="D448" s="128"/>
      <c r="E448" s="128"/>
    </row>
    <row r="449" spans="4:5" s="124" customFormat="1" x14ac:dyDescent="0.3">
      <c r="D449" s="128"/>
      <c r="E449" s="128"/>
    </row>
    <row r="450" spans="4:5" s="124" customFormat="1" x14ac:dyDescent="0.3">
      <c r="D450" s="128"/>
      <c r="E450" s="128"/>
    </row>
    <row r="451" spans="4:5" s="124" customFormat="1" x14ac:dyDescent="0.3">
      <c r="D451" s="128"/>
      <c r="E451" s="128"/>
    </row>
    <row r="452" spans="4:5" s="124" customFormat="1" x14ac:dyDescent="0.3">
      <c r="D452" s="128"/>
      <c r="E452" s="128"/>
    </row>
    <row r="453" spans="4:5" s="124" customFormat="1" x14ac:dyDescent="0.3">
      <c r="D453" s="128"/>
      <c r="E453" s="128"/>
    </row>
    <row r="454" spans="4:5" s="124" customFormat="1" x14ac:dyDescent="0.3">
      <c r="D454" s="128"/>
      <c r="E454" s="128"/>
    </row>
    <row r="455" spans="4:5" s="124" customFormat="1" x14ac:dyDescent="0.3">
      <c r="D455" s="128"/>
      <c r="E455" s="128"/>
    </row>
    <row r="456" spans="4:5" s="124" customFormat="1" x14ac:dyDescent="0.3">
      <c r="D456" s="128"/>
      <c r="E456" s="128"/>
    </row>
    <row r="457" spans="4:5" s="124" customFormat="1" x14ac:dyDescent="0.3">
      <c r="D457" s="128"/>
      <c r="E457" s="128"/>
    </row>
    <row r="458" spans="4:5" s="124" customFormat="1" x14ac:dyDescent="0.3">
      <c r="D458" s="128"/>
      <c r="E458" s="128"/>
    </row>
    <row r="459" spans="4:5" s="124" customFormat="1" x14ac:dyDescent="0.3">
      <c r="D459" s="128"/>
      <c r="E459" s="128"/>
    </row>
    <row r="460" spans="4:5" s="124" customFormat="1" x14ac:dyDescent="0.3">
      <c r="D460" s="128"/>
      <c r="E460" s="128"/>
    </row>
    <row r="461" spans="4:5" s="124" customFormat="1" x14ac:dyDescent="0.3">
      <c r="D461" s="128"/>
      <c r="E461" s="128"/>
    </row>
    <row r="462" spans="4:5" s="124" customFormat="1" x14ac:dyDescent="0.3">
      <c r="D462" s="128"/>
      <c r="E462" s="128"/>
    </row>
    <row r="463" spans="4:5" s="124" customFormat="1" x14ac:dyDescent="0.3">
      <c r="D463" s="128"/>
      <c r="E463" s="128"/>
    </row>
    <row r="464" spans="4:5" s="124" customFormat="1" x14ac:dyDescent="0.3">
      <c r="D464" s="128"/>
      <c r="E464" s="128"/>
    </row>
    <row r="465" spans="4:5" s="124" customFormat="1" x14ac:dyDescent="0.3">
      <c r="D465" s="128"/>
      <c r="E465" s="128"/>
    </row>
    <row r="466" spans="4:5" s="124" customFormat="1" x14ac:dyDescent="0.3">
      <c r="D466" s="128"/>
      <c r="E466" s="128"/>
    </row>
    <row r="467" spans="4:5" s="124" customFormat="1" x14ac:dyDescent="0.3">
      <c r="D467" s="128"/>
      <c r="E467" s="128"/>
    </row>
    <row r="468" spans="4:5" s="124" customFormat="1" x14ac:dyDescent="0.3">
      <c r="D468" s="128"/>
      <c r="E468" s="128"/>
    </row>
    <row r="469" spans="4:5" s="124" customFormat="1" x14ac:dyDescent="0.3">
      <c r="D469" s="128"/>
      <c r="E469" s="128"/>
    </row>
    <row r="470" spans="4:5" s="124" customFormat="1" x14ac:dyDescent="0.3">
      <c r="D470" s="128"/>
      <c r="E470" s="128"/>
    </row>
    <row r="471" spans="4:5" s="124" customFormat="1" x14ac:dyDescent="0.3">
      <c r="D471" s="128"/>
      <c r="E471" s="128"/>
    </row>
    <row r="472" spans="4:5" s="124" customFormat="1" x14ac:dyDescent="0.3">
      <c r="D472" s="128"/>
      <c r="E472" s="128"/>
    </row>
    <row r="473" spans="4:5" s="124" customFormat="1" x14ac:dyDescent="0.3">
      <c r="D473" s="128"/>
      <c r="E473" s="128"/>
    </row>
    <row r="474" spans="4:5" s="124" customFormat="1" x14ac:dyDescent="0.3">
      <c r="D474" s="128"/>
      <c r="E474" s="128"/>
    </row>
    <row r="475" spans="4:5" s="124" customFormat="1" x14ac:dyDescent="0.3">
      <c r="D475" s="128"/>
      <c r="E475" s="128"/>
    </row>
    <row r="476" spans="4:5" s="124" customFormat="1" x14ac:dyDescent="0.3">
      <c r="D476" s="128"/>
      <c r="E476" s="128"/>
    </row>
    <row r="477" spans="4:5" s="124" customFormat="1" x14ac:dyDescent="0.3">
      <c r="D477" s="128"/>
      <c r="E477" s="128"/>
    </row>
    <row r="478" spans="4:5" s="124" customFormat="1" x14ac:dyDescent="0.3">
      <c r="D478" s="128"/>
      <c r="E478" s="128"/>
    </row>
    <row r="479" spans="4:5" s="124" customFormat="1" x14ac:dyDescent="0.3">
      <c r="D479" s="128"/>
      <c r="E479" s="128"/>
    </row>
    <row r="480" spans="4:5" s="124" customFormat="1" x14ac:dyDescent="0.3">
      <c r="D480" s="128"/>
      <c r="E480" s="128"/>
    </row>
    <row r="481" spans="4:5" s="124" customFormat="1" x14ac:dyDescent="0.3">
      <c r="D481" s="128"/>
      <c r="E481" s="128"/>
    </row>
    <row r="482" spans="4:5" s="124" customFormat="1" x14ac:dyDescent="0.3">
      <c r="D482" s="128"/>
      <c r="E482" s="128"/>
    </row>
    <row r="483" spans="4:5" s="124" customFormat="1" x14ac:dyDescent="0.3">
      <c r="D483" s="128"/>
      <c r="E483" s="128"/>
    </row>
    <row r="484" spans="4:5" s="124" customFormat="1" x14ac:dyDescent="0.3">
      <c r="D484" s="128"/>
      <c r="E484" s="128"/>
    </row>
    <row r="485" spans="4:5" s="124" customFormat="1" x14ac:dyDescent="0.3">
      <c r="D485" s="128"/>
      <c r="E485" s="128"/>
    </row>
    <row r="486" spans="4:5" s="124" customFormat="1" x14ac:dyDescent="0.3">
      <c r="D486" s="128"/>
      <c r="E486" s="128"/>
    </row>
    <row r="487" spans="4:5" s="124" customFormat="1" x14ac:dyDescent="0.3">
      <c r="D487" s="128"/>
      <c r="E487" s="128"/>
    </row>
    <row r="488" spans="4:5" s="124" customFormat="1" x14ac:dyDescent="0.3">
      <c r="D488" s="128"/>
      <c r="E488" s="128"/>
    </row>
    <row r="489" spans="4:5" s="124" customFormat="1" x14ac:dyDescent="0.3">
      <c r="D489" s="128"/>
      <c r="E489" s="128"/>
    </row>
    <row r="490" spans="4:5" s="124" customFormat="1" x14ac:dyDescent="0.3">
      <c r="D490" s="128"/>
      <c r="E490" s="128"/>
    </row>
    <row r="491" spans="4:5" s="124" customFormat="1" x14ac:dyDescent="0.3">
      <c r="D491" s="128"/>
      <c r="E491" s="128"/>
    </row>
    <row r="492" spans="4:5" s="124" customFormat="1" x14ac:dyDescent="0.3">
      <c r="D492" s="128"/>
      <c r="E492" s="128"/>
    </row>
    <row r="493" spans="4:5" s="124" customFormat="1" x14ac:dyDescent="0.3">
      <c r="D493" s="128"/>
      <c r="E493" s="128"/>
    </row>
    <row r="494" spans="4:5" s="124" customFormat="1" x14ac:dyDescent="0.3">
      <c r="D494" s="128"/>
      <c r="E494" s="128"/>
    </row>
    <row r="495" spans="4:5" s="124" customFormat="1" x14ac:dyDescent="0.3">
      <c r="D495" s="128"/>
      <c r="E495" s="128"/>
    </row>
    <row r="496" spans="4:5" s="124" customFormat="1" x14ac:dyDescent="0.3">
      <c r="D496" s="128"/>
      <c r="E496" s="128"/>
    </row>
    <row r="497" spans="4:5" s="124" customFormat="1" x14ac:dyDescent="0.3">
      <c r="D497" s="128"/>
      <c r="E497" s="128"/>
    </row>
    <row r="498" spans="4:5" s="124" customFormat="1" x14ac:dyDescent="0.3">
      <c r="D498" s="128"/>
      <c r="E498" s="128"/>
    </row>
    <row r="499" spans="4:5" s="124" customFormat="1" x14ac:dyDescent="0.3">
      <c r="D499" s="128"/>
      <c r="E499" s="128"/>
    </row>
    <row r="500" spans="4:5" s="124" customFormat="1" x14ac:dyDescent="0.3">
      <c r="D500" s="128"/>
      <c r="E500" s="128"/>
    </row>
    <row r="501" spans="4:5" s="124" customFormat="1" x14ac:dyDescent="0.3">
      <c r="D501" s="128"/>
      <c r="E501" s="128"/>
    </row>
    <row r="502" spans="4:5" s="124" customFormat="1" x14ac:dyDescent="0.3">
      <c r="D502" s="128"/>
      <c r="E502" s="128"/>
    </row>
    <row r="503" spans="4:5" s="124" customFormat="1" x14ac:dyDescent="0.3">
      <c r="D503" s="128"/>
      <c r="E503" s="128"/>
    </row>
    <row r="504" spans="4:5" s="124" customFormat="1" x14ac:dyDescent="0.3">
      <c r="D504" s="128"/>
      <c r="E504" s="128"/>
    </row>
    <row r="505" spans="4:5" s="124" customFormat="1" x14ac:dyDescent="0.3">
      <c r="D505" s="128"/>
      <c r="E505" s="128"/>
    </row>
    <row r="506" spans="4:5" s="124" customFormat="1" x14ac:dyDescent="0.3">
      <c r="D506" s="128"/>
      <c r="E506" s="128"/>
    </row>
    <row r="507" spans="4:5" s="124" customFormat="1" x14ac:dyDescent="0.3">
      <c r="D507" s="128"/>
      <c r="E507" s="128"/>
    </row>
    <row r="508" spans="4:5" s="124" customFormat="1" x14ac:dyDescent="0.3">
      <c r="D508" s="128"/>
      <c r="E508" s="128"/>
    </row>
    <row r="509" spans="4:5" s="124" customFormat="1" x14ac:dyDescent="0.3">
      <c r="D509" s="128"/>
      <c r="E509" s="128"/>
    </row>
    <row r="510" spans="4:5" s="124" customFormat="1" x14ac:dyDescent="0.3">
      <c r="D510" s="128"/>
      <c r="E510" s="128"/>
    </row>
    <row r="511" spans="4:5" s="124" customFormat="1" x14ac:dyDescent="0.3">
      <c r="D511" s="128"/>
      <c r="E511" s="128"/>
    </row>
    <row r="512" spans="4:5" s="124" customFormat="1" x14ac:dyDescent="0.3">
      <c r="D512" s="128"/>
      <c r="E512" s="128"/>
    </row>
    <row r="513" spans="4:5" s="124" customFormat="1" x14ac:dyDescent="0.3">
      <c r="D513" s="128"/>
      <c r="E513" s="128"/>
    </row>
    <row r="514" spans="4:5" s="124" customFormat="1" x14ac:dyDescent="0.3">
      <c r="D514" s="128"/>
      <c r="E514" s="128"/>
    </row>
    <row r="515" spans="4:5" s="124" customFormat="1" x14ac:dyDescent="0.3">
      <c r="D515" s="128"/>
      <c r="E515" s="128"/>
    </row>
    <row r="516" spans="4:5" s="124" customFormat="1" x14ac:dyDescent="0.3">
      <c r="D516" s="128"/>
      <c r="E516" s="128"/>
    </row>
    <row r="517" spans="4:5" s="124" customFormat="1" x14ac:dyDescent="0.3">
      <c r="D517" s="128"/>
      <c r="E517" s="128"/>
    </row>
    <row r="518" spans="4:5" s="124" customFormat="1" x14ac:dyDescent="0.3">
      <c r="D518" s="128"/>
      <c r="E518" s="128"/>
    </row>
    <row r="519" spans="4:5" s="124" customFormat="1" x14ac:dyDescent="0.3">
      <c r="D519" s="128"/>
      <c r="E519" s="128"/>
    </row>
    <row r="520" spans="4:5" s="124" customFormat="1" x14ac:dyDescent="0.3">
      <c r="D520" s="128"/>
      <c r="E520" s="128"/>
    </row>
    <row r="521" spans="4:5" s="124" customFormat="1" x14ac:dyDescent="0.3">
      <c r="D521" s="128"/>
      <c r="E521" s="128"/>
    </row>
    <row r="522" spans="4:5" s="124" customFormat="1" x14ac:dyDescent="0.3">
      <c r="D522" s="128"/>
      <c r="E522" s="128"/>
    </row>
    <row r="523" spans="4:5" s="124" customFormat="1" x14ac:dyDescent="0.3">
      <c r="D523" s="128"/>
      <c r="E523" s="128"/>
    </row>
    <row r="524" spans="4:5" s="124" customFormat="1" x14ac:dyDescent="0.3">
      <c r="D524" s="128"/>
      <c r="E524" s="128"/>
    </row>
    <row r="525" spans="4:5" s="124" customFormat="1" x14ac:dyDescent="0.3">
      <c r="D525" s="128"/>
      <c r="E525" s="128"/>
    </row>
    <row r="526" spans="4:5" s="124" customFormat="1" x14ac:dyDescent="0.3">
      <c r="D526" s="128"/>
      <c r="E526" s="128"/>
    </row>
    <row r="527" spans="4:5" s="124" customFormat="1" x14ac:dyDescent="0.3">
      <c r="D527" s="128"/>
      <c r="E527" s="128"/>
    </row>
    <row r="528" spans="4:5" s="124" customFormat="1" x14ac:dyDescent="0.3">
      <c r="D528" s="128"/>
      <c r="E528" s="128"/>
    </row>
    <row r="529" spans="4:5" s="124" customFormat="1" x14ac:dyDescent="0.3">
      <c r="D529" s="128"/>
      <c r="E529" s="128"/>
    </row>
    <row r="530" spans="4:5" s="124" customFormat="1" x14ac:dyDescent="0.3">
      <c r="D530" s="128"/>
      <c r="E530" s="128"/>
    </row>
    <row r="531" spans="4:5" s="124" customFormat="1" x14ac:dyDescent="0.3">
      <c r="D531" s="128"/>
      <c r="E531" s="128"/>
    </row>
    <row r="532" spans="4:5" s="124" customFormat="1" x14ac:dyDescent="0.3">
      <c r="D532" s="128"/>
      <c r="E532" s="128"/>
    </row>
    <row r="533" spans="4:5" s="124" customFormat="1" x14ac:dyDescent="0.3">
      <c r="D533" s="128"/>
      <c r="E533" s="128"/>
    </row>
    <row r="534" spans="4:5" s="124" customFormat="1" x14ac:dyDescent="0.3">
      <c r="D534" s="128"/>
      <c r="E534" s="128"/>
    </row>
    <row r="535" spans="4:5" s="124" customFormat="1" x14ac:dyDescent="0.3">
      <c r="D535" s="128"/>
      <c r="E535" s="128"/>
    </row>
    <row r="536" spans="4:5" s="124" customFormat="1" x14ac:dyDescent="0.3">
      <c r="D536" s="128"/>
      <c r="E536" s="128"/>
    </row>
    <row r="537" spans="4:5" s="124" customFormat="1" x14ac:dyDescent="0.3">
      <c r="D537" s="128"/>
      <c r="E537" s="128"/>
    </row>
    <row r="538" spans="4:5" s="124" customFormat="1" x14ac:dyDescent="0.3">
      <c r="D538" s="128"/>
      <c r="E538" s="128"/>
    </row>
    <row r="539" spans="4:5" s="124" customFormat="1" x14ac:dyDescent="0.3">
      <c r="D539" s="128"/>
      <c r="E539" s="128"/>
    </row>
    <row r="540" spans="4:5" s="124" customFormat="1" x14ac:dyDescent="0.3">
      <c r="D540" s="128"/>
      <c r="E540" s="128"/>
    </row>
    <row r="541" spans="4:5" s="124" customFormat="1" x14ac:dyDescent="0.3">
      <c r="D541" s="128"/>
      <c r="E541" s="128"/>
    </row>
    <row r="542" spans="4:5" s="124" customFormat="1" x14ac:dyDescent="0.3">
      <c r="D542" s="128"/>
      <c r="E542" s="128"/>
    </row>
    <row r="543" spans="4:5" s="124" customFormat="1" x14ac:dyDescent="0.3">
      <c r="D543" s="128"/>
      <c r="E543" s="128"/>
    </row>
    <row r="544" spans="4:5" s="124" customFormat="1" x14ac:dyDescent="0.3">
      <c r="D544" s="128"/>
      <c r="E544" s="128"/>
    </row>
    <row r="545" spans="4:5" s="124" customFormat="1" x14ac:dyDescent="0.3">
      <c r="D545" s="128"/>
      <c r="E545" s="128"/>
    </row>
    <row r="546" spans="4:5" s="124" customFormat="1" x14ac:dyDescent="0.3">
      <c r="D546" s="128"/>
      <c r="E546" s="128"/>
    </row>
    <row r="547" spans="4:5" s="124" customFormat="1" x14ac:dyDescent="0.3">
      <c r="D547" s="128"/>
      <c r="E547" s="128"/>
    </row>
    <row r="548" spans="4:5" s="124" customFormat="1" x14ac:dyDescent="0.3">
      <c r="D548" s="128"/>
      <c r="E548" s="128"/>
    </row>
    <row r="549" spans="4:5" s="124" customFormat="1" x14ac:dyDescent="0.3">
      <c r="D549" s="128"/>
      <c r="E549" s="128"/>
    </row>
    <row r="550" spans="4:5" s="124" customFormat="1" x14ac:dyDescent="0.3">
      <c r="D550" s="128"/>
      <c r="E550" s="128"/>
    </row>
    <row r="551" spans="4:5" s="124" customFormat="1" x14ac:dyDescent="0.3">
      <c r="D551" s="128"/>
      <c r="E551" s="128"/>
    </row>
    <row r="552" spans="4:5" s="124" customFormat="1" x14ac:dyDescent="0.3">
      <c r="D552" s="128"/>
      <c r="E552" s="128"/>
    </row>
    <row r="553" spans="4:5" s="124" customFormat="1" x14ac:dyDescent="0.3">
      <c r="D553" s="128"/>
      <c r="E553" s="128"/>
    </row>
    <row r="554" spans="4:5" s="124" customFormat="1" x14ac:dyDescent="0.3">
      <c r="D554" s="128"/>
      <c r="E554" s="128"/>
    </row>
    <row r="555" spans="4:5" s="124" customFormat="1" x14ac:dyDescent="0.3">
      <c r="D555" s="128"/>
      <c r="E555" s="128"/>
    </row>
    <row r="556" spans="4:5" s="124" customFormat="1" x14ac:dyDescent="0.3">
      <c r="D556" s="128"/>
      <c r="E556" s="128"/>
    </row>
    <row r="557" spans="4:5" s="124" customFormat="1" x14ac:dyDescent="0.3">
      <c r="D557" s="128"/>
      <c r="E557" s="128"/>
    </row>
    <row r="558" spans="4:5" s="124" customFormat="1" x14ac:dyDescent="0.3">
      <c r="D558" s="128"/>
      <c r="E558" s="128"/>
    </row>
    <row r="559" spans="4:5" s="124" customFormat="1" x14ac:dyDescent="0.3">
      <c r="D559" s="128"/>
      <c r="E559" s="128"/>
    </row>
    <row r="560" spans="4:5" s="124" customFormat="1" x14ac:dyDescent="0.3">
      <c r="D560" s="128"/>
      <c r="E560" s="128"/>
    </row>
    <row r="561" spans="4:5" s="124" customFormat="1" x14ac:dyDescent="0.3">
      <c r="D561" s="128"/>
      <c r="E561" s="128"/>
    </row>
  </sheetData>
  <mergeCells count="6">
    <mergeCell ref="A144:D144"/>
    <mergeCell ref="A141:D141"/>
    <mergeCell ref="D2:E2"/>
    <mergeCell ref="A143:D143"/>
    <mergeCell ref="A140:D140"/>
    <mergeCell ref="A142:D142"/>
  </mergeCells>
  <pageMargins left="0.7" right="0.7" top="0.75" bottom="0.75" header="0.3" footer="0.3"/>
  <pageSetup paperSize="9" scale="46" orientation="portrait"/>
  <rowBreaks count="1" manualBreakCount="1">
    <brk id="90" max="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7030A0"/>
  </sheetPr>
  <dimension ref="A1:F16"/>
  <sheetViews>
    <sheetView zoomScale="90" zoomScaleNormal="90" workbookViewId="0">
      <selection activeCell="K14" sqref="K14"/>
    </sheetView>
  </sheetViews>
  <sheetFormatPr defaultRowHeight="14.4" x14ac:dyDescent="0.3"/>
  <cols>
    <col min="1" max="1" width="12.33203125" customWidth="1"/>
    <col min="2" max="2" width="50.5546875" customWidth="1"/>
    <col min="3" max="6" width="16.33203125" customWidth="1"/>
  </cols>
  <sheetData>
    <row r="1" spans="1:6" ht="15.6" customHeight="1" x14ac:dyDescent="0.3">
      <c r="A1" s="12" t="s">
        <v>372</v>
      </c>
      <c r="B1" s="11"/>
      <c r="C1" s="11"/>
      <c r="D1" s="11"/>
      <c r="E1" s="11"/>
      <c r="F1" s="11"/>
    </row>
    <row r="2" spans="1:6" ht="15.6" customHeight="1" x14ac:dyDescent="0.3">
      <c r="A2" s="13" t="s">
        <v>373</v>
      </c>
      <c r="B2" s="11"/>
      <c r="C2" s="11"/>
      <c r="D2" s="11"/>
      <c r="E2" s="11"/>
      <c r="F2" s="11"/>
    </row>
    <row r="3" spans="1:6" x14ac:dyDescent="0.3">
      <c r="A3" s="1"/>
      <c r="B3" s="2"/>
    </row>
    <row r="4" spans="1:6" s="5" customFormat="1" ht="28.8" customHeight="1" x14ac:dyDescent="0.3">
      <c r="A4" s="102" t="s">
        <v>374</v>
      </c>
      <c r="B4" s="3" t="s">
        <v>375</v>
      </c>
      <c r="C4" s="3" t="s">
        <v>376</v>
      </c>
      <c r="D4" s="3" t="s">
        <v>377</v>
      </c>
      <c r="E4" s="3" t="s">
        <v>378</v>
      </c>
      <c r="F4" s="4" t="s">
        <v>379</v>
      </c>
    </row>
    <row r="5" spans="1:6" x14ac:dyDescent="0.3">
      <c r="A5" s="6" t="s">
        <v>380</v>
      </c>
      <c r="B5" s="41" t="s">
        <v>381</v>
      </c>
      <c r="C5" s="7">
        <f>SUM(C6:C10)</f>
        <v>4099575.54794</v>
      </c>
      <c r="D5" s="7">
        <f>SUM(D6:D10)</f>
        <v>6898606.54794</v>
      </c>
      <c r="E5" s="7">
        <f>SUM(E6:E10)</f>
        <v>11750147.547940001</v>
      </c>
      <c r="F5" s="7">
        <f>SUM(F6:F10)</f>
        <v>26268515.13818419</v>
      </c>
    </row>
    <row r="6" spans="1:6" x14ac:dyDescent="0.3">
      <c r="A6" s="8" t="s">
        <v>382</v>
      </c>
      <c r="B6" s="18" t="s">
        <v>383</v>
      </c>
      <c r="C6" s="9">
        <f>SUM(Investments!$P$68:Q68)+SUM(Investments!$P$78:Q78)</f>
        <v>1025520.54794</v>
      </c>
      <c r="D6" s="9">
        <f>SUM(Investments!$P$68:R68)+SUM(Investments!$P$78:R78)</f>
        <v>1025520.54794</v>
      </c>
      <c r="E6" s="9">
        <f>SUM(Investments!$P$68:S68)+SUM(Investments!$P$78:S78)</f>
        <v>1025520.54794</v>
      </c>
      <c r="F6" s="9">
        <f>SUM(Investments!$P$68:T68)+SUM(Investments!$P$78:T78)</f>
        <v>1025520.54794</v>
      </c>
    </row>
    <row r="7" spans="1:6" x14ac:dyDescent="0.3">
      <c r="A7" s="8" t="s">
        <v>384</v>
      </c>
      <c r="B7" s="18" t="s">
        <v>385</v>
      </c>
      <c r="C7" s="9">
        <f>SUM(Investments!$P$54:Q54)</f>
        <v>0</v>
      </c>
      <c r="D7" s="9">
        <f>SUM(Investments!$P$54:R54)</f>
        <v>0</v>
      </c>
      <c r="E7" s="9">
        <f>SUM(Investments!$P$54:S54)</f>
        <v>0</v>
      </c>
      <c r="F7" s="9">
        <f>SUM(Investments!$P$54:T54)</f>
        <v>1558322.5902441903</v>
      </c>
    </row>
    <row r="8" spans="1:6" x14ac:dyDescent="0.3">
      <c r="A8" s="8" t="s">
        <v>386</v>
      </c>
      <c r="B8" s="18" t="s">
        <v>387</v>
      </c>
      <c r="C8" s="9">
        <v>0</v>
      </c>
      <c r="D8" s="9">
        <v>0</v>
      </c>
      <c r="E8" s="9">
        <v>0</v>
      </c>
      <c r="F8" s="9">
        <v>0</v>
      </c>
    </row>
    <row r="9" spans="1:6" x14ac:dyDescent="0.3">
      <c r="A9" s="8" t="s">
        <v>388</v>
      </c>
      <c r="B9" s="18" t="s">
        <v>389</v>
      </c>
      <c r="C9" s="9">
        <f>SUM('NBD-MF-10-GA'!$C$10:D10)</f>
        <v>3074055</v>
      </c>
      <c r="D9" s="9">
        <f>SUM('NBD-MF-10-GA'!$C$10:E10)</f>
        <v>5873086</v>
      </c>
      <c r="E9" s="9">
        <f>SUM('NBD-MF-10-GA'!$C$10:F10)</f>
        <v>10724627</v>
      </c>
      <c r="F9" s="9">
        <f>SUM('NBD-MF-10-GA'!$C$10:G10)</f>
        <v>23684672</v>
      </c>
    </row>
    <row r="10" spans="1:6" x14ac:dyDescent="0.3">
      <c r="A10" s="8" t="s">
        <v>390</v>
      </c>
      <c r="B10" s="18" t="s">
        <v>211</v>
      </c>
      <c r="C10" s="9">
        <v>0</v>
      </c>
      <c r="D10" s="9">
        <v>0</v>
      </c>
      <c r="E10" s="9">
        <v>0</v>
      </c>
      <c r="F10" s="9">
        <v>0</v>
      </c>
    </row>
    <row r="11" spans="1:6" x14ac:dyDescent="0.3">
      <c r="A11" s="6" t="s">
        <v>391</v>
      </c>
      <c r="B11" s="41" t="s">
        <v>392</v>
      </c>
      <c r="C11" s="7">
        <f>SUM(C12:C14)</f>
        <v>12031090</v>
      </c>
      <c r="D11" s="7">
        <f>SUM(D12:D14)</f>
        <v>15911468</v>
      </c>
      <c r="E11" s="7">
        <f>SUM(E12:E14)</f>
        <v>18951017</v>
      </c>
      <c r="F11" s="7">
        <f>SUM(F12:F14)</f>
        <v>23110026</v>
      </c>
    </row>
    <row r="12" spans="1:6" x14ac:dyDescent="0.3">
      <c r="A12" s="8" t="s">
        <v>393</v>
      </c>
      <c r="B12" s="18" t="s">
        <v>394</v>
      </c>
      <c r="C12" s="9">
        <f>SUM('NBD-MF-10-GA'!$C$16:D16)</f>
        <v>342676</v>
      </c>
      <c r="D12" s="9">
        <f>SUM('NBD-MF-10-GA'!$C$16:E16)</f>
        <v>925902</v>
      </c>
      <c r="E12" s="9">
        <f>SUM('NBD-MF-10-GA'!$C$16:F16)</f>
        <v>2416500</v>
      </c>
      <c r="F12" s="9">
        <f>SUM('NBD-MF-10-GA'!$C$16:G16)</f>
        <v>3273183</v>
      </c>
    </row>
    <row r="13" spans="1:6" x14ac:dyDescent="0.3">
      <c r="A13" s="8" t="s">
        <v>395</v>
      </c>
      <c r="B13" s="18" t="s">
        <v>396</v>
      </c>
      <c r="C13" s="9">
        <f>SUM('NBD-MF-10-GA'!$C$17:D17)</f>
        <v>11688414</v>
      </c>
      <c r="D13" s="9">
        <f>SUM('NBD-MF-10-GA'!$C$17:E17)</f>
        <v>14985566</v>
      </c>
      <c r="E13" s="9">
        <f>SUM('NBD-MF-10-GA'!$C$17:F17)</f>
        <v>16534517</v>
      </c>
      <c r="F13" s="9">
        <f>SUM('NBD-MF-10-GA'!$C$17:G17)</f>
        <v>19836843</v>
      </c>
    </row>
    <row r="14" spans="1:6" x14ac:dyDescent="0.3">
      <c r="A14" s="8" t="s">
        <v>397</v>
      </c>
      <c r="B14" s="18" t="s">
        <v>211</v>
      </c>
      <c r="C14" s="9">
        <v>0</v>
      </c>
      <c r="D14" s="9">
        <v>0</v>
      </c>
      <c r="E14" s="9">
        <v>0</v>
      </c>
      <c r="F14" s="9">
        <v>0</v>
      </c>
    </row>
    <row r="15" spans="1:6" ht="28.8" customHeight="1" x14ac:dyDescent="0.3">
      <c r="A15" s="6" t="s">
        <v>398</v>
      </c>
      <c r="B15" s="41" t="s">
        <v>399</v>
      </c>
      <c r="C15" s="7">
        <f>C5-C11</f>
        <v>-7931514.45206</v>
      </c>
      <c r="D15" s="7">
        <f>D5-D11</f>
        <v>-9012861.4520599991</v>
      </c>
      <c r="E15" s="7">
        <f>E5-E11</f>
        <v>-7200869.4520599991</v>
      </c>
      <c r="F15" s="7">
        <f>F5-F11</f>
        <v>3158489.1381841898</v>
      </c>
    </row>
    <row r="16" spans="1:6" ht="28.8" customHeight="1" x14ac:dyDescent="0.3">
      <c r="A16" s="6" t="s">
        <v>400</v>
      </c>
      <c r="B16" s="41" t="s">
        <v>401</v>
      </c>
      <c r="C16" s="10">
        <f>(C5/C11)*100</f>
        <v>34.074847315912358</v>
      </c>
      <c r="D16" s="10">
        <f>(D5/D11)*100</f>
        <v>43.356191571638767</v>
      </c>
      <c r="E16" s="10">
        <f>(E5/E11)*100</f>
        <v>62.002728127677798</v>
      </c>
      <c r="F16" s="10">
        <f>(F5/F11)*100</f>
        <v>113.66718124066236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FF0000"/>
  </sheetPr>
  <dimension ref="A1:Q32"/>
  <sheetViews>
    <sheetView showGridLines="0" view="pageBreakPreview" zoomScale="90" zoomScaleNormal="90" zoomScaleSheetLayoutView="9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18" sqref="C18"/>
    </sheetView>
  </sheetViews>
  <sheetFormatPr defaultColWidth="9.109375" defaultRowHeight="14.4" x14ac:dyDescent="0.3"/>
  <cols>
    <col min="1" max="1" width="12.5546875" style="20" customWidth="1"/>
    <col min="2" max="2" width="27.88671875" style="20" customWidth="1"/>
    <col min="3" max="12" width="13.5546875" style="20" customWidth="1"/>
    <col min="13" max="13" width="8.5546875" style="20" customWidth="1"/>
    <col min="14" max="14" width="14" style="21" customWidth="1"/>
    <col min="15" max="15" width="14.88671875" style="21" customWidth="1"/>
    <col min="16" max="16" width="15" style="20" bestFit="1" customWidth="1"/>
    <col min="17" max="17" width="19" style="20" customWidth="1"/>
    <col min="18" max="20" width="9.109375" style="20" customWidth="1"/>
    <col min="21" max="16384" width="9.109375" style="20"/>
  </cols>
  <sheetData>
    <row r="1" spans="1:17" ht="15.6" customHeight="1" x14ac:dyDescent="0.3">
      <c r="A1" s="40" t="s">
        <v>402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7" ht="15.6" customHeight="1" x14ac:dyDescent="0.3">
      <c r="A2" s="40" t="s">
        <v>373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7" ht="16.2" customHeight="1" x14ac:dyDescent="0.3">
      <c r="A3" s="22"/>
      <c r="N3" s="23"/>
      <c r="O3" s="23"/>
    </row>
    <row r="4" spans="1:17" s="32" customFormat="1" ht="28.8" customHeight="1" x14ac:dyDescent="0.3">
      <c r="A4" s="14" t="s">
        <v>374</v>
      </c>
      <c r="B4" s="15" t="s">
        <v>403</v>
      </c>
      <c r="C4" s="15" t="s">
        <v>404</v>
      </c>
      <c r="D4" s="15" t="s">
        <v>405</v>
      </c>
      <c r="E4" s="15" t="s">
        <v>406</v>
      </c>
      <c r="F4" s="15" t="s">
        <v>407</v>
      </c>
      <c r="G4" s="15" t="s">
        <v>408</v>
      </c>
      <c r="H4" s="15" t="s">
        <v>409</v>
      </c>
      <c r="I4" s="15" t="s">
        <v>410</v>
      </c>
      <c r="J4" s="15" t="s">
        <v>411</v>
      </c>
      <c r="K4" s="15" t="s">
        <v>412</v>
      </c>
      <c r="L4" s="16" t="s">
        <v>413</v>
      </c>
      <c r="M4" s="17"/>
      <c r="N4" s="161" t="s">
        <v>414</v>
      </c>
      <c r="O4" s="161" t="s">
        <v>415</v>
      </c>
    </row>
    <row r="5" spans="1:17" s="26" customFormat="1" x14ac:dyDescent="0.3">
      <c r="A5" s="25" t="s">
        <v>416</v>
      </c>
      <c r="B5" s="25" t="s">
        <v>417</v>
      </c>
      <c r="C5" s="33">
        <f t="shared" ref="C5:K5" si="0">SUM(C6:C13)</f>
        <v>731166</v>
      </c>
      <c r="D5" s="33">
        <f t="shared" si="0"/>
        <v>4220210</v>
      </c>
      <c r="E5" s="33">
        <f t="shared" si="0"/>
        <v>3015841</v>
      </c>
      <c r="F5" s="33">
        <f t="shared" si="0"/>
        <v>4960490</v>
      </c>
      <c r="G5" s="33">
        <f t="shared" si="0"/>
        <v>14518368</v>
      </c>
      <c r="H5" s="33">
        <f t="shared" si="0"/>
        <v>29222012</v>
      </c>
      <c r="I5" s="33">
        <f t="shared" si="0"/>
        <v>7672126</v>
      </c>
      <c r="J5" s="33">
        <f t="shared" si="0"/>
        <v>604040</v>
      </c>
      <c r="K5" s="33">
        <f t="shared" si="0"/>
        <v>2641134</v>
      </c>
      <c r="L5" s="33">
        <f t="shared" ref="L5:L19" si="1">SUM(C5:K5)</f>
        <v>67585387</v>
      </c>
      <c r="M5" s="34"/>
      <c r="N5" s="46">
        <f>SUM(N6:N13)</f>
        <v>67585381</v>
      </c>
      <c r="O5" s="29">
        <f>L5-N5</f>
        <v>6</v>
      </c>
      <c r="P5" s="46">
        <f>'NBD-MF-01-SOFP'!D4</f>
        <v>67585381</v>
      </c>
      <c r="Q5" s="45">
        <f>N5-P6</f>
        <v>67585381</v>
      </c>
    </row>
    <row r="6" spans="1:17" x14ac:dyDescent="0.3">
      <c r="A6" s="28" t="s">
        <v>418</v>
      </c>
      <c r="B6" s="27" t="s">
        <v>419</v>
      </c>
      <c r="C6" s="35">
        <f>'NBD-MF-01-SOFP'!D6</f>
        <v>285966</v>
      </c>
      <c r="D6" s="35"/>
      <c r="E6" s="35"/>
      <c r="F6" s="35"/>
      <c r="G6" s="35"/>
      <c r="H6" s="35"/>
      <c r="I6" s="35"/>
      <c r="J6" s="35"/>
      <c r="K6" s="35"/>
      <c r="L6" s="36">
        <f t="shared" si="1"/>
        <v>285966</v>
      </c>
      <c r="M6" s="37"/>
      <c r="N6" s="47">
        <f>'NBD-MF-01-SOFP'!D6</f>
        <v>285966</v>
      </c>
      <c r="O6" s="29">
        <f>L6-N6</f>
        <v>0</v>
      </c>
      <c r="P6" s="43">
        <f>N5-P5</f>
        <v>0</v>
      </c>
    </row>
    <row r="7" spans="1:17" x14ac:dyDescent="0.3">
      <c r="A7" s="28" t="s">
        <v>420</v>
      </c>
      <c r="B7" s="27" t="s">
        <v>421</v>
      </c>
      <c r="C7" s="35">
        <f>'NBD-MF-01-SOFP'!D8+'NBD-MF-01-SOFP'!D9</f>
        <v>440349</v>
      </c>
      <c r="D7" s="35"/>
      <c r="E7" s="35"/>
      <c r="F7" s="35"/>
      <c r="G7" s="35"/>
      <c r="H7" s="35"/>
      <c r="I7" s="35"/>
      <c r="J7" s="35"/>
      <c r="K7" s="35"/>
      <c r="L7" s="36">
        <f t="shared" si="1"/>
        <v>440349</v>
      </c>
      <c r="M7" s="37"/>
      <c r="N7" s="47">
        <f>'NBD-MF-01-SOFP'!D8+'NBD-MF-01-SOFP'!D9</f>
        <v>440349</v>
      </c>
      <c r="O7" s="29">
        <f>L7-N7</f>
        <v>0</v>
      </c>
    </row>
    <row r="8" spans="1:17" x14ac:dyDescent="0.3">
      <c r="A8" s="28" t="s">
        <v>422</v>
      </c>
      <c r="B8" s="27" t="s">
        <v>423</v>
      </c>
      <c r="C8" s="35">
        <f>Investments!P83</f>
        <v>0</v>
      </c>
      <c r="D8" s="35">
        <f>Investments!Q83</f>
        <v>1025521</v>
      </c>
      <c r="E8" s="35">
        <f>Investments!R83-1</f>
        <v>-1</v>
      </c>
      <c r="F8" s="35">
        <f>Investments!S83</f>
        <v>0</v>
      </c>
      <c r="G8" s="35">
        <f>Investments!T83</f>
        <v>1558323</v>
      </c>
      <c r="H8" s="35">
        <f>Investments!U83</f>
        <v>4588138</v>
      </c>
      <c r="I8" s="35">
        <f>Investments!V83</f>
        <v>351445</v>
      </c>
      <c r="J8" s="35">
        <f>Investments!W83</f>
        <v>491621</v>
      </c>
      <c r="K8" s="35">
        <f>'NBD-MF-01-SOFP'!D36</f>
        <v>195</v>
      </c>
      <c r="L8" s="36">
        <f t="shared" si="1"/>
        <v>8015242</v>
      </c>
      <c r="M8" s="170" t="s">
        <v>424</v>
      </c>
      <c r="N8" s="47">
        <f>'NBD-MF-01-SOFP'!D34+'NBD-MF-01-SOFP'!D11</f>
        <v>8015242</v>
      </c>
      <c r="O8" s="29">
        <f>L8-N8</f>
        <v>0</v>
      </c>
    </row>
    <row r="9" spans="1:17" ht="14.25" customHeight="1" x14ac:dyDescent="0.3">
      <c r="A9" s="28" t="s">
        <v>425</v>
      </c>
      <c r="B9" s="27" t="s">
        <v>426</v>
      </c>
      <c r="C9" s="35"/>
      <c r="D9" s="35"/>
      <c r="E9" s="35"/>
      <c r="F9" s="35"/>
      <c r="G9" s="35"/>
      <c r="H9" s="39"/>
      <c r="I9" s="39"/>
      <c r="J9" s="39"/>
      <c r="K9" s="35"/>
      <c r="L9" s="36">
        <f t="shared" si="1"/>
        <v>0</v>
      </c>
      <c r="M9" s="37"/>
      <c r="N9" s="47"/>
      <c r="O9" s="29">
        <f>L9-N9</f>
        <v>0</v>
      </c>
    </row>
    <row r="10" spans="1:17" ht="14.25" customHeight="1" x14ac:dyDescent="0.3">
      <c r="A10" s="28" t="s">
        <v>427</v>
      </c>
      <c r="B10" s="27" t="s">
        <v>428</v>
      </c>
      <c r="C10" s="35">
        <f>Portfolio!C44</f>
        <v>4851</v>
      </c>
      <c r="D10" s="35">
        <f>Portfolio!D44</f>
        <v>3069204</v>
      </c>
      <c r="E10" s="35">
        <f>Portfolio!E44</f>
        <v>2799031</v>
      </c>
      <c r="F10" s="35">
        <f>Portfolio!F44</f>
        <v>4851541</v>
      </c>
      <c r="G10" s="35">
        <f>Portfolio!G44</f>
        <v>12960045</v>
      </c>
      <c r="H10" s="39">
        <f>Portfolio!H44</f>
        <v>24633874</v>
      </c>
      <c r="I10" s="39">
        <f>Portfolio!I44</f>
        <v>6722686</v>
      </c>
      <c r="J10" s="39">
        <f>Portfolio!J44</f>
        <v>112419</v>
      </c>
      <c r="K10" s="35"/>
      <c r="L10" s="36">
        <f t="shared" si="1"/>
        <v>55153651</v>
      </c>
      <c r="M10" s="37"/>
      <c r="N10" s="47"/>
      <c r="O10" s="29"/>
    </row>
    <row r="11" spans="1:17" ht="14.25" customHeight="1" x14ac:dyDescent="0.3">
      <c r="A11" s="28" t="s">
        <v>429</v>
      </c>
      <c r="B11" s="27" t="s">
        <v>430</v>
      </c>
      <c r="C11" s="35"/>
      <c r="D11" s="35"/>
      <c r="E11" s="35"/>
      <c r="F11" s="35"/>
      <c r="G11" s="35"/>
      <c r="H11" s="39"/>
      <c r="I11" s="39"/>
      <c r="J11" s="39"/>
      <c r="K11" s="35">
        <f>Portfolio!K45</f>
        <v>2158174</v>
      </c>
      <c r="L11" s="36">
        <f t="shared" si="1"/>
        <v>2158174</v>
      </c>
      <c r="M11" s="37"/>
      <c r="N11" s="47">
        <f>'NBD-MF-01-SOFP'!D45+'NBD-MF-01-SOFP'!D55</f>
        <v>57311824</v>
      </c>
      <c r="O11" s="29">
        <f>L10+L11-N11</f>
        <v>1</v>
      </c>
    </row>
    <row r="12" spans="1:17" x14ac:dyDescent="0.3">
      <c r="A12" s="28" t="s">
        <v>431</v>
      </c>
      <c r="B12" s="27" t="s">
        <v>432</v>
      </c>
      <c r="C12" s="35"/>
      <c r="D12" s="35"/>
      <c r="E12" s="35"/>
      <c r="F12" s="35"/>
      <c r="G12" s="35"/>
      <c r="H12" s="35"/>
      <c r="I12" s="35">
        <f>'NBD-MF-01-SOFP'!D75+'NBD-MF-01-SOFP'!D77+'NBD-MF-01-SOFP'!D84+'NBD-MF-01-SOFP'!D80</f>
        <v>569747</v>
      </c>
      <c r="J12" s="35"/>
      <c r="K12" s="35">
        <f>'NBD-MF-01-SOFP'!D83+'NBD-MF-01-SOFP'!D69+'NBD-MF-01-SOFP'!D74</f>
        <v>482765</v>
      </c>
      <c r="L12" s="36">
        <f t="shared" si="1"/>
        <v>1052512</v>
      </c>
      <c r="M12" s="37"/>
      <c r="N12" s="47">
        <f>'NBD-MF-01-SOFP'!D81+'NBD-MF-01-SOFP'!D80+'NBD-MF-01-SOFP'!D73+'NBD-MF-01-SOFP'!D69</f>
        <v>1052512</v>
      </c>
      <c r="O12" s="29">
        <f t="shared" ref="O12:O18" si="2">L12-N12</f>
        <v>0</v>
      </c>
    </row>
    <row r="13" spans="1:17" x14ac:dyDescent="0.3">
      <c r="A13" s="28" t="s">
        <v>433</v>
      </c>
      <c r="B13" s="27" t="s">
        <v>434</v>
      </c>
      <c r="C13" s="35">
        <f>'Other Assets'!F122</f>
        <v>0</v>
      </c>
      <c r="D13" s="35">
        <f>'Other Assets'!G122</f>
        <v>125485</v>
      </c>
      <c r="E13" s="35">
        <f>'Other Assets'!H122</f>
        <v>216811</v>
      </c>
      <c r="F13" s="35">
        <f>'Other Assets'!I122</f>
        <v>108949</v>
      </c>
      <c r="G13" s="35">
        <f>'Other Assets'!J122</f>
        <v>0</v>
      </c>
      <c r="H13" s="35">
        <f>'Other Assets'!K122</f>
        <v>0</v>
      </c>
      <c r="I13" s="35">
        <f>'Other Assets'!L122</f>
        <v>28248</v>
      </c>
      <c r="J13" s="35"/>
      <c r="K13" s="35">
        <f>'Other Assets'!N122</f>
        <v>0</v>
      </c>
      <c r="L13" s="36">
        <f t="shared" si="1"/>
        <v>479493</v>
      </c>
      <c r="M13" s="37"/>
      <c r="N13" s="47">
        <f>SUM('NBD-MF-01-SOFP'!D87:D90)</f>
        <v>479488</v>
      </c>
      <c r="O13" s="29">
        <f t="shared" si="2"/>
        <v>5</v>
      </c>
    </row>
    <row r="14" spans="1:17" s="26" customFormat="1" x14ac:dyDescent="0.3">
      <c r="A14" s="25" t="s">
        <v>435</v>
      </c>
      <c r="B14" s="24" t="s">
        <v>436</v>
      </c>
      <c r="C14" s="33">
        <f t="shared" ref="C14:K14" si="3">SUM(C15:C18)</f>
        <v>3961034</v>
      </c>
      <c r="D14" s="33">
        <f t="shared" si="3"/>
        <v>12346067</v>
      </c>
      <c r="E14" s="33">
        <f t="shared" si="3"/>
        <v>4054805</v>
      </c>
      <c r="F14" s="33">
        <f t="shared" si="3"/>
        <v>3670855</v>
      </c>
      <c r="G14" s="33">
        <f t="shared" si="3"/>
        <v>4159009</v>
      </c>
      <c r="H14" s="33">
        <f t="shared" si="3"/>
        <v>19500416</v>
      </c>
      <c r="I14" s="33">
        <f t="shared" si="3"/>
        <v>2751215</v>
      </c>
      <c r="J14" s="33">
        <f t="shared" si="3"/>
        <v>207307</v>
      </c>
      <c r="K14" s="33">
        <f t="shared" si="3"/>
        <v>16934671</v>
      </c>
      <c r="L14" s="33">
        <f t="shared" si="1"/>
        <v>67585379</v>
      </c>
      <c r="M14" s="34"/>
      <c r="N14" s="47">
        <f>SUM(N15:N18)</f>
        <v>67585381</v>
      </c>
      <c r="O14" s="29">
        <f t="shared" si="2"/>
        <v>-2</v>
      </c>
      <c r="P14" s="43"/>
      <c r="Q14" s="45">
        <f>N14-P14</f>
        <v>67585381</v>
      </c>
    </row>
    <row r="15" spans="1:17" x14ac:dyDescent="0.3">
      <c r="A15" s="28" t="s">
        <v>437</v>
      </c>
      <c r="B15" s="27" t="s">
        <v>438</v>
      </c>
      <c r="C15" s="35"/>
      <c r="D15" s="35"/>
      <c r="E15" s="35"/>
      <c r="F15" s="35"/>
      <c r="G15" s="35"/>
      <c r="H15" s="35"/>
      <c r="I15" s="35"/>
      <c r="J15" s="35"/>
      <c r="K15" s="35">
        <f>'NBD-MF-01-SOFP'!D133</f>
        <v>16934671</v>
      </c>
      <c r="L15" s="36">
        <f t="shared" si="1"/>
        <v>16934671</v>
      </c>
      <c r="M15" s="37"/>
      <c r="N15" s="47">
        <f>'NBD-MF-01-SOFP'!D133</f>
        <v>16934671</v>
      </c>
      <c r="O15" s="29">
        <f t="shared" si="2"/>
        <v>0</v>
      </c>
    </row>
    <row r="16" spans="1:17" x14ac:dyDescent="0.3">
      <c r="A16" s="28" t="s">
        <v>439</v>
      </c>
      <c r="B16" s="27" t="s">
        <v>394</v>
      </c>
      <c r="C16" s="35">
        <f>170661+21</f>
        <v>170682</v>
      </c>
      <c r="D16" s="35">
        <v>171994</v>
      </c>
      <c r="E16" s="35">
        <v>583226</v>
      </c>
      <c r="F16" s="35">
        <v>1490598</v>
      </c>
      <c r="G16" s="35">
        <v>856683</v>
      </c>
      <c r="H16" s="35">
        <v>6605625</v>
      </c>
      <c r="I16" s="35">
        <v>18717</v>
      </c>
      <c r="J16" s="35">
        <v>0</v>
      </c>
      <c r="K16" s="35">
        <v>0</v>
      </c>
      <c r="L16" s="36">
        <f t="shared" si="1"/>
        <v>9897525</v>
      </c>
      <c r="M16" s="170" t="s">
        <v>440</v>
      </c>
      <c r="N16" s="47">
        <f>'NBD-MF-01-SOFP'!D99</f>
        <v>9897525</v>
      </c>
      <c r="O16" s="29">
        <f t="shared" si="2"/>
        <v>0</v>
      </c>
    </row>
    <row r="17" spans="1:15" x14ac:dyDescent="0.3">
      <c r="A17" s="28" t="s">
        <v>441</v>
      </c>
      <c r="B17" s="27" t="s">
        <v>396</v>
      </c>
      <c r="C17" s="35">
        <f>'NBD-MF-01-SOFP'!D93+Borrowings!N3</f>
        <v>3790352</v>
      </c>
      <c r="D17" s="35">
        <f>Borrowings!N4</f>
        <v>7898062</v>
      </c>
      <c r="E17" s="35">
        <f>Borrowings!N5</f>
        <v>3297152</v>
      </c>
      <c r="F17" s="35">
        <f>Borrowings!N6</f>
        <v>1548951</v>
      </c>
      <c r="G17" s="35">
        <f>Borrowings!N7</f>
        <v>3302326</v>
      </c>
      <c r="H17" s="35">
        <f>Borrowings!N8</f>
        <v>12837779</v>
      </c>
      <c r="I17" s="35">
        <f>Borrowings!N9</f>
        <v>2732498</v>
      </c>
      <c r="J17" s="35">
        <f>Borrowings!N10</f>
        <v>0</v>
      </c>
      <c r="K17" s="35">
        <v>0</v>
      </c>
      <c r="L17" s="36">
        <f t="shared" si="1"/>
        <v>35407120</v>
      </c>
      <c r="M17" s="170" t="s">
        <v>424</v>
      </c>
      <c r="N17" s="47">
        <f>'NBD-MF-01-SOFP'!D92+'NBD-MF-01-SOFP'!D125+Borrowings!N19</f>
        <v>35407120</v>
      </c>
      <c r="O17" s="29">
        <f t="shared" si="2"/>
        <v>0</v>
      </c>
    </row>
    <row r="18" spans="1:15" x14ac:dyDescent="0.3">
      <c r="A18" s="28" t="s">
        <v>442</v>
      </c>
      <c r="B18" s="27" t="s">
        <v>357</v>
      </c>
      <c r="C18" s="35">
        <f>'Other Liabilities'!F163</f>
        <v>0</v>
      </c>
      <c r="D18" s="35">
        <f>'Other Liabilities'!G163</f>
        <v>4276011</v>
      </c>
      <c r="E18" s="35">
        <f>'Other Liabilities'!H163</f>
        <v>174427</v>
      </c>
      <c r="F18" s="35">
        <f>'Other Liabilities'!I163</f>
        <v>631306</v>
      </c>
      <c r="G18" s="35">
        <f>'Other Liabilities'!J163</f>
        <v>0</v>
      </c>
      <c r="H18" s="35">
        <f>'Other Liabilities'!K163</f>
        <v>57012</v>
      </c>
      <c r="I18" s="35">
        <f>'Other Liabilities'!L163</f>
        <v>0</v>
      </c>
      <c r="J18" s="35">
        <f>'Other Liabilities'!M163</f>
        <v>207307</v>
      </c>
      <c r="K18" s="35">
        <f>'Other Liabilities'!N163</f>
        <v>0</v>
      </c>
      <c r="L18" s="36">
        <f t="shared" si="1"/>
        <v>5346063</v>
      </c>
      <c r="M18" s="37"/>
      <c r="N18" s="47">
        <f>SUM('NBD-MF-01-SOFP'!D127:D132)-Borrowings!N19</f>
        <v>5346065</v>
      </c>
      <c r="O18" s="29">
        <f t="shared" si="2"/>
        <v>-2</v>
      </c>
    </row>
    <row r="19" spans="1:15" s="26" customFormat="1" ht="28.8" customHeight="1" x14ac:dyDescent="0.3">
      <c r="A19" s="31" t="s">
        <v>443</v>
      </c>
      <c r="B19" s="30" t="s">
        <v>444</v>
      </c>
      <c r="C19" s="38">
        <f t="shared" ref="C19:K19" si="4">C5-C14</f>
        <v>-3229868</v>
      </c>
      <c r="D19" s="38">
        <f t="shared" si="4"/>
        <v>-8125857</v>
      </c>
      <c r="E19" s="38">
        <f t="shared" si="4"/>
        <v>-1038964</v>
      </c>
      <c r="F19" s="38">
        <f t="shared" si="4"/>
        <v>1289635</v>
      </c>
      <c r="G19" s="38">
        <f t="shared" si="4"/>
        <v>10359359</v>
      </c>
      <c r="H19" s="38">
        <f t="shared" si="4"/>
        <v>9721596</v>
      </c>
      <c r="I19" s="38">
        <f t="shared" si="4"/>
        <v>4920911</v>
      </c>
      <c r="J19" s="38">
        <f t="shared" si="4"/>
        <v>396733</v>
      </c>
      <c r="K19" s="38">
        <f t="shared" si="4"/>
        <v>-14293537</v>
      </c>
      <c r="L19" s="36">
        <f t="shared" si="1"/>
        <v>8</v>
      </c>
      <c r="M19" s="37"/>
      <c r="N19" s="47"/>
      <c r="O19" s="47"/>
    </row>
    <row r="20" spans="1:15" s="26" customFormat="1" x14ac:dyDescent="0.3">
      <c r="A20" s="31" t="s">
        <v>445</v>
      </c>
      <c r="B20" s="30" t="s">
        <v>446</v>
      </c>
      <c r="C20" s="38">
        <f>C19</f>
        <v>-3229868</v>
      </c>
      <c r="D20" s="38">
        <f>SUM(C19:D19)</f>
        <v>-11355725</v>
      </c>
      <c r="E20" s="38">
        <f>SUM(C19:E19)</f>
        <v>-12394689</v>
      </c>
      <c r="F20" s="38">
        <f>SUM(C19:F19)</f>
        <v>-11105054</v>
      </c>
      <c r="G20" s="38">
        <f>SUM(C19:G19)</f>
        <v>-745695</v>
      </c>
      <c r="H20" s="38">
        <f>SUM(C19:H19)</f>
        <v>8975901</v>
      </c>
      <c r="I20" s="38">
        <f>SUM(C19:I19)</f>
        <v>13896812</v>
      </c>
      <c r="J20" s="38">
        <f>SUM(C19:J19)</f>
        <v>14293545</v>
      </c>
      <c r="K20" s="38">
        <f>SUM(C19:K19)</f>
        <v>8</v>
      </c>
      <c r="L20" s="38">
        <f>L5-L14</f>
        <v>8</v>
      </c>
      <c r="M20" s="34"/>
      <c r="N20" s="47"/>
      <c r="O20" s="47"/>
    </row>
    <row r="21" spans="1:15" x14ac:dyDescent="0.3">
      <c r="A21" s="39"/>
      <c r="B21" s="3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1"/>
      <c r="N21" s="47"/>
      <c r="O21" s="47"/>
    </row>
    <row r="23" spans="1:15" x14ac:dyDescent="0.3">
      <c r="F23" s="20" t="s">
        <v>447</v>
      </c>
      <c r="G23" s="71">
        <f>SUM(C5:G5)</f>
        <v>27446075</v>
      </c>
      <c r="H23" s="71">
        <f>H5</f>
        <v>29222012</v>
      </c>
      <c r="I23" s="71">
        <f>I5</f>
        <v>7672126</v>
      </c>
      <c r="J23" s="71">
        <f>J5</f>
        <v>604040</v>
      </c>
    </row>
    <row r="24" spans="1:15" x14ac:dyDescent="0.3">
      <c r="F24" s="20" t="s">
        <v>448</v>
      </c>
      <c r="G24" s="71">
        <f>SUM(C14:G14)</f>
        <v>28191770</v>
      </c>
      <c r="H24" s="71">
        <f>H14</f>
        <v>19500416</v>
      </c>
      <c r="I24" s="71">
        <f>I14</f>
        <v>2751215</v>
      </c>
      <c r="J24" s="71">
        <f>J14</f>
        <v>207307</v>
      </c>
    </row>
    <row r="25" spans="1:15" x14ac:dyDescent="0.3">
      <c r="G25" s="148">
        <f>G23/G24</f>
        <v>0.97354919538574558</v>
      </c>
    </row>
    <row r="27" spans="1:15" x14ac:dyDescent="0.3">
      <c r="D27" s="20" t="s">
        <v>449</v>
      </c>
      <c r="E27" s="71">
        <f>SUM(C17:G17)</f>
        <v>19836843</v>
      </c>
      <c r="F27" s="148">
        <f>E27/E29</f>
        <v>0.56025011353648646</v>
      </c>
    </row>
    <row r="28" spans="1:15" x14ac:dyDescent="0.3">
      <c r="D28" s="20" t="s">
        <v>450</v>
      </c>
      <c r="E28" s="71">
        <f>SUM(H17:J17)</f>
        <v>15570277</v>
      </c>
      <c r="F28" s="148">
        <f>E28/E29</f>
        <v>0.43974988646351354</v>
      </c>
      <c r="G28" s="71"/>
    </row>
    <row r="29" spans="1:15" x14ac:dyDescent="0.3">
      <c r="E29" s="71">
        <f>SUM(E27:E28)</f>
        <v>35407120</v>
      </c>
    </row>
    <row r="31" spans="1:15" x14ac:dyDescent="0.3">
      <c r="E31" s="71">
        <f>SUM(C5:G5)</f>
        <v>27446075</v>
      </c>
    </row>
    <row r="32" spans="1:15" x14ac:dyDescent="0.3">
      <c r="E32" s="71">
        <f>SUM(C14:G14)</f>
        <v>28191770</v>
      </c>
      <c r="F32" s="148">
        <f>E31/E32</f>
        <v>0.97354919538574558</v>
      </c>
    </row>
  </sheetData>
  <pageMargins left="0.7" right="0.7" top="0.75" bottom="0.75" header="0.3" footer="0.3"/>
  <pageSetup paperSize="9" scale="47" orientation="portrait" r:id="rId1"/>
  <colBreaks count="1" manualBreakCount="1">
    <brk id="12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O17"/>
  <sheetViews>
    <sheetView workbookViewId="0">
      <selection activeCell="A2" sqref="A2:D3"/>
    </sheetView>
  </sheetViews>
  <sheetFormatPr defaultRowHeight="14.4" x14ac:dyDescent="0.3"/>
  <cols>
    <col min="5" max="5" width="2.6640625" style="151" customWidth="1"/>
    <col min="14" max="14" width="9.6640625" bestFit="1" customWidth="1"/>
  </cols>
  <sheetData>
    <row r="1" spans="1:15" x14ac:dyDescent="0.3">
      <c r="A1" s="183" t="s">
        <v>451</v>
      </c>
      <c r="B1" s="184"/>
      <c r="C1" s="184"/>
      <c r="D1" s="184"/>
      <c r="F1" s="183" t="s">
        <v>452</v>
      </c>
      <c r="G1" s="184"/>
      <c r="H1" s="184"/>
      <c r="I1" s="184"/>
      <c r="J1" s="184"/>
      <c r="K1" s="184"/>
      <c r="L1" s="184"/>
      <c r="M1" s="184"/>
      <c r="N1" s="184"/>
      <c r="O1" s="184"/>
    </row>
    <row r="2" spans="1:15" x14ac:dyDescent="0.3">
      <c r="A2">
        <f>ROUND('NBD-MF-11-IS'!C5,0)</f>
        <v>4099576</v>
      </c>
      <c r="B2">
        <f>ROUND('NBD-MF-11-IS'!D5,0)</f>
        <v>6898607</v>
      </c>
      <c r="C2">
        <f>ROUND('NBD-MF-11-IS'!E5,0)</f>
        <v>11750148</v>
      </c>
      <c r="D2">
        <f>ROUND('NBD-MF-11-IS'!F5,0)</f>
        <v>26268515</v>
      </c>
      <c r="F2">
        <f>ROUND('NBD-MF-10-GA'!C5,0)</f>
        <v>731166</v>
      </c>
      <c r="G2">
        <f>ROUND('NBD-MF-10-GA'!D5,0)</f>
        <v>4220210</v>
      </c>
      <c r="H2">
        <f>ROUND('NBD-MF-10-GA'!E5,0)</f>
        <v>3015841</v>
      </c>
      <c r="I2">
        <f>ROUND('NBD-MF-10-GA'!F5,0)</f>
        <v>4960490</v>
      </c>
      <c r="J2">
        <f>ROUND('NBD-MF-10-GA'!G5,0)</f>
        <v>14518368</v>
      </c>
      <c r="K2">
        <f>ROUND('NBD-MF-10-GA'!H5,0)</f>
        <v>29222012</v>
      </c>
      <c r="L2">
        <f>ROUND('NBD-MF-10-GA'!I5,0)</f>
        <v>7672126</v>
      </c>
      <c r="M2">
        <f>ROUND('NBD-MF-10-GA'!J5,0)</f>
        <v>604040</v>
      </c>
      <c r="N2">
        <f>ROUND('NBD-MF-10-GA'!K5,0)</f>
        <v>2641134</v>
      </c>
      <c r="O2">
        <f>ROUND('NBD-MF-10-GA'!L5,0)</f>
        <v>67585387</v>
      </c>
    </row>
    <row r="3" spans="1:15" x14ac:dyDescent="0.3">
      <c r="A3">
        <f>ROUND('NBD-MF-11-IS'!C6,0)</f>
        <v>1025521</v>
      </c>
      <c r="B3">
        <f>ROUND('NBD-MF-11-IS'!D6,0)</f>
        <v>1025521</v>
      </c>
      <c r="C3">
        <f>ROUND('NBD-MF-11-IS'!E6,0)</f>
        <v>1025521</v>
      </c>
      <c r="D3">
        <f>ROUND('NBD-MF-11-IS'!F6,0)</f>
        <v>1025521</v>
      </c>
      <c r="F3">
        <f>ROUND('NBD-MF-10-GA'!C6,0)</f>
        <v>285966</v>
      </c>
      <c r="G3">
        <f>ROUND('NBD-MF-10-GA'!D6,0)</f>
        <v>0</v>
      </c>
      <c r="H3">
        <f>ROUND('NBD-MF-10-GA'!E6,0)</f>
        <v>0</v>
      </c>
      <c r="I3">
        <f>ROUND('NBD-MF-10-GA'!F6,0)</f>
        <v>0</v>
      </c>
      <c r="J3">
        <f>ROUND('NBD-MF-10-GA'!G6,0)</f>
        <v>0</v>
      </c>
      <c r="K3">
        <f>ROUND('NBD-MF-10-GA'!H6,0)</f>
        <v>0</v>
      </c>
      <c r="L3">
        <f>ROUND('NBD-MF-10-GA'!I6,0)</f>
        <v>0</v>
      </c>
      <c r="M3">
        <f>ROUND('NBD-MF-10-GA'!J6,0)</f>
        <v>0</v>
      </c>
      <c r="N3">
        <f>ROUND('NBD-MF-10-GA'!K6,0)</f>
        <v>0</v>
      </c>
      <c r="O3">
        <f>ROUND('NBD-MF-10-GA'!L6,0)</f>
        <v>285966</v>
      </c>
    </row>
    <row r="4" spans="1:15" x14ac:dyDescent="0.3">
      <c r="A4">
        <f>ROUND('NBD-MF-11-IS'!C6,0)</f>
        <v>1025521</v>
      </c>
      <c r="B4">
        <f>ROUND('NBD-MF-11-IS'!D6,0)</f>
        <v>1025521</v>
      </c>
      <c r="C4">
        <f>ROUND('NBD-MF-11-IS'!E6,0)</f>
        <v>1025521</v>
      </c>
      <c r="D4">
        <f>ROUND('NBD-MF-11-IS'!F7,0)</f>
        <v>1558323</v>
      </c>
      <c r="F4">
        <f>ROUND('NBD-MF-10-GA'!C7,0)</f>
        <v>440349</v>
      </c>
      <c r="G4">
        <f>ROUND('NBD-MF-10-GA'!D7,0)</f>
        <v>0</v>
      </c>
      <c r="H4">
        <f>ROUND('NBD-MF-10-GA'!E7,0)</f>
        <v>0</v>
      </c>
      <c r="I4">
        <f>ROUND('NBD-MF-10-GA'!F7,0)</f>
        <v>0</v>
      </c>
      <c r="J4">
        <f>ROUND('NBD-MF-10-GA'!G7,0)</f>
        <v>0</v>
      </c>
      <c r="K4">
        <f>ROUND('NBD-MF-10-GA'!H7,0)</f>
        <v>0</v>
      </c>
      <c r="L4">
        <f>ROUND('NBD-MF-10-GA'!I7,0)</f>
        <v>0</v>
      </c>
      <c r="M4">
        <f>ROUND('NBD-MF-10-GA'!J7,0)</f>
        <v>0</v>
      </c>
      <c r="N4">
        <f>ROUND('NBD-MF-10-GA'!K7,0)</f>
        <v>0</v>
      </c>
      <c r="O4">
        <f>ROUND('NBD-MF-10-GA'!L7,0)</f>
        <v>440349</v>
      </c>
    </row>
    <row r="5" spans="1:15" x14ac:dyDescent="0.3">
      <c r="A5">
        <f>ROUND('NBD-MF-11-IS'!C8,0)</f>
        <v>0</v>
      </c>
      <c r="B5">
        <f>ROUND('NBD-MF-11-IS'!D8,0)</f>
        <v>0</v>
      </c>
      <c r="C5">
        <f>ROUND('NBD-MF-11-IS'!E8,0)</f>
        <v>0</v>
      </c>
      <c r="D5">
        <f>ROUND('NBD-MF-11-IS'!F8,0)</f>
        <v>0</v>
      </c>
      <c r="F5">
        <f>ROUND('NBD-MF-10-GA'!C8,0)</f>
        <v>0</v>
      </c>
      <c r="G5">
        <f>ROUND('NBD-MF-10-GA'!D8,0)</f>
        <v>1025521</v>
      </c>
      <c r="H5">
        <f>ROUND('NBD-MF-10-GA'!E8,0)</f>
        <v>-1</v>
      </c>
      <c r="I5">
        <f>ROUND('NBD-MF-10-GA'!F8,0)</f>
        <v>0</v>
      </c>
      <c r="J5">
        <f>ROUND('NBD-MF-10-GA'!G8,0)</f>
        <v>1558323</v>
      </c>
      <c r="K5">
        <f>ROUND('NBD-MF-10-GA'!H8,0)</f>
        <v>4588138</v>
      </c>
      <c r="L5">
        <f>ROUND('NBD-MF-10-GA'!I8,0)</f>
        <v>351445</v>
      </c>
      <c r="M5">
        <f>ROUND('NBD-MF-10-GA'!J8,0)</f>
        <v>491621</v>
      </c>
      <c r="N5">
        <f>ROUND('NBD-MF-10-GA'!K8,0)</f>
        <v>195</v>
      </c>
      <c r="O5">
        <f>ROUND('NBD-MF-10-GA'!L8,0)</f>
        <v>8015242</v>
      </c>
    </row>
    <row r="6" spans="1:15" x14ac:dyDescent="0.3">
      <c r="A6">
        <f>ROUND('NBD-MF-11-IS'!C9,0)</f>
        <v>3074055</v>
      </c>
      <c r="B6">
        <f>ROUND('NBD-MF-11-IS'!D9,0)</f>
        <v>5873086</v>
      </c>
      <c r="C6">
        <f>ROUND('NBD-MF-11-IS'!E9,0)</f>
        <v>10724627</v>
      </c>
      <c r="D6">
        <f>ROUND('NBD-MF-11-IS'!F9,0)</f>
        <v>23684672</v>
      </c>
      <c r="F6">
        <f>ROUND('NBD-MF-10-GA'!C9,0)</f>
        <v>0</v>
      </c>
      <c r="G6">
        <f>ROUND('NBD-MF-10-GA'!D9,0)</f>
        <v>0</v>
      </c>
      <c r="H6">
        <f>ROUND('NBD-MF-10-GA'!E9,0)</f>
        <v>0</v>
      </c>
      <c r="I6">
        <f>ROUND('NBD-MF-10-GA'!F9,0)</f>
        <v>0</v>
      </c>
      <c r="J6">
        <f>ROUND('NBD-MF-10-GA'!G9,0)</f>
        <v>0</v>
      </c>
      <c r="K6">
        <f>ROUND('NBD-MF-10-GA'!H9,0)</f>
        <v>0</v>
      </c>
      <c r="L6">
        <f>ROUND('NBD-MF-10-GA'!I9,0)</f>
        <v>0</v>
      </c>
      <c r="M6">
        <f>ROUND('NBD-MF-10-GA'!J9,0)</f>
        <v>0</v>
      </c>
      <c r="N6">
        <f>ROUND('NBD-MF-10-GA'!K9,0)</f>
        <v>0</v>
      </c>
      <c r="O6">
        <f>ROUND('NBD-MF-10-GA'!L9,0)</f>
        <v>0</v>
      </c>
    </row>
    <row r="7" spans="1:15" x14ac:dyDescent="0.3">
      <c r="A7">
        <f>ROUND('NBD-MF-11-IS'!C10,0)</f>
        <v>0</v>
      </c>
      <c r="B7">
        <f>ROUND('NBD-MF-11-IS'!D10,0)</f>
        <v>0</v>
      </c>
      <c r="C7">
        <f>ROUND('NBD-MF-11-IS'!E10,0)</f>
        <v>0</v>
      </c>
      <c r="D7">
        <f>ROUND('NBD-MF-11-IS'!F10,0)</f>
        <v>0</v>
      </c>
      <c r="F7">
        <f>ROUND('NBD-MF-10-GA'!C10,0)</f>
        <v>4851</v>
      </c>
      <c r="G7">
        <f>ROUND('NBD-MF-10-GA'!D10,0)</f>
        <v>3069204</v>
      </c>
      <c r="H7">
        <f>ROUND('NBD-MF-10-GA'!E10,0)</f>
        <v>2799031</v>
      </c>
      <c r="I7">
        <f>ROUND('NBD-MF-10-GA'!F10,0)</f>
        <v>4851541</v>
      </c>
      <c r="J7">
        <f>ROUND('NBD-MF-10-GA'!G10,0)</f>
        <v>12960045</v>
      </c>
      <c r="K7">
        <f>ROUND('NBD-MF-10-GA'!H10,0)</f>
        <v>24633874</v>
      </c>
      <c r="L7">
        <f>ROUND('NBD-MF-10-GA'!I10,0)</f>
        <v>6722686</v>
      </c>
      <c r="M7">
        <f>ROUND('NBD-MF-10-GA'!J10,0)</f>
        <v>112419</v>
      </c>
      <c r="N7">
        <f>ROUND('NBD-MF-10-GA'!K10,0)</f>
        <v>0</v>
      </c>
      <c r="O7">
        <f>ROUND('NBD-MF-10-GA'!L10,0)</f>
        <v>55153651</v>
      </c>
    </row>
    <row r="8" spans="1:15" x14ac:dyDescent="0.3">
      <c r="A8">
        <f>ROUND('NBD-MF-11-IS'!C11,0)</f>
        <v>12031090</v>
      </c>
      <c r="B8">
        <f>ROUND('NBD-MF-11-IS'!D11,0)</f>
        <v>15911468</v>
      </c>
      <c r="C8">
        <f>ROUND('NBD-MF-11-IS'!E11,0)</f>
        <v>18951017</v>
      </c>
      <c r="D8">
        <f>ROUND('NBD-MF-11-IS'!F11,0)</f>
        <v>23110026</v>
      </c>
      <c r="F8">
        <f>ROUND('NBD-MF-10-GA'!C11,0)</f>
        <v>0</v>
      </c>
      <c r="G8">
        <f>ROUND('NBD-MF-10-GA'!D11,0)</f>
        <v>0</v>
      </c>
      <c r="H8">
        <f>ROUND('NBD-MF-10-GA'!E11,0)</f>
        <v>0</v>
      </c>
      <c r="I8">
        <f>ROUND('NBD-MF-10-GA'!F11,0)</f>
        <v>0</v>
      </c>
      <c r="J8">
        <f>ROUND('NBD-MF-10-GA'!G11,0)</f>
        <v>0</v>
      </c>
      <c r="K8">
        <f>ROUND('NBD-MF-10-GA'!H11,0)</f>
        <v>0</v>
      </c>
      <c r="L8">
        <f>ROUND('NBD-MF-10-GA'!I11,0)</f>
        <v>0</v>
      </c>
      <c r="M8">
        <f>ROUND('NBD-MF-10-GA'!J11,0)</f>
        <v>0</v>
      </c>
      <c r="N8">
        <f>ROUND('NBD-MF-10-GA'!K11,0)</f>
        <v>2158174</v>
      </c>
      <c r="O8">
        <f>ROUND('NBD-MF-10-GA'!L11,0)</f>
        <v>2158174</v>
      </c>
    </row>
    <row r="9" spans="1:15" x14ac:dyDescent="0.3">
      <c r="A9">
        <f>ROUND('NBD-MF-11-IS'!C12,0)</f>
        <v>342676</v>
      </c>
      <c r="B9">
        <f>ROUND('NBD-MF-11-IS'!D12,0)</f>
        <v>925902</v>
      </c>
      <c r="C9">
        <f>ROUND('NBD-MF-11-IS'!E12,0)</f>
        <v>2416500</v>
      </c>
      <c r="D9">
        <f>ROUND('NBD-MF-11-IS'!F12,0)</f>
        <v>3273183</v>
      </c>
      <c r="F9">
        <f>ROUND('NBD-MF-10-GA'!C12,0)</f>
        <v>0</v>
      </c>
      <c r="G9">
        <f>ROUND('NBD-MF-10-GA'!D12,0)</f>
        <v>0</v>
      </c>
      <c r="H9">
        <f>ROUND('NBD-MF-10-GA'!E12,0)</f>
        <v>0</v>
      </c>
      <c r="I9">
        <f>ROUND('NBD-MF-10-GA'!F12,0)</f>
        <v>0</v>
      </c>
      <c r="J9">
        <f>ROUND('NBD-MF-10-GA'!G12,0)</f>
        <v>0</v>
      </c>
      <c r="K9">
        <f>ROUND('NBD-MF-10-GA'!H12,0)</f>
        <v>0</v>
      </c>
      <c r="L9">
        <f>ROUND('NBD-MF-10-GA'!I12,0)</f>
        <v>569747</v>
      </c>
      <c r="M9">
        <f>ROUND('NBD-MF-10-GA'!J12,0)</f>
        <v>0</v>
      </c>
      <c r="N9">
        <f>ROUND('NBD-MF-10-GA'!K12,0)</f>
        <v>482765</v>
      </c>
      <c r="O9">
        <f>ROUND('NBD-MF-10-GA'!L12,0)</f>
        <v>1052512</v>
      </c>
    </row>
    <row r="10" spans="1:15" x14ac:dyDescent="0.3">
      <c r="A10">
        <f>ROUND('NBD-MF-11-IS'!C13,0)</f>
        <v>11688414</v>
      </c>
      <c r="B10">
        <f>ROUND('NBD-MF-11-IS'!D13,0)</f>
        <v>14985566</v>
      </c>
      <c r="C10">
        <f>ROUND('NBD-MF-11-IS'!E13,0)</f>
        <v>16534517</v>
      </c>
      <c r="D10">
        <f>ROUND('NBD-MF-11-IS'!F13,0)</f>
        <v>19836843</v>
      </c>
      <c r="F10">
        <f>ROUND('NBD-MF-10-GA'!C13,0)</f>
        <v>0</v>
      </c>
      <c r="G10">
        <f>ROUND('NBD-MF-10-GA'!D13,0)</f>
        <v>125485</v>
      </c>
      <c r="H10">
        <f>ROUND('NBD-MF-10-GA'!E13,0)</f>
        <v>216811</v>
      </c>
      <c r="I10">
        <f>ROUND('NBD-MF-10-GA'!F13,0)</f>
        <v>108949</v>
      </c>
      <c r="J10">
        <f>ROUND('NBD-MF-10-GA'!G13,0)</f>
        <v>0</v>
      </c>
      <c r="K10">
        <f>ROUND('NBD-MF-10-GA'!H13,0)</f>
        <v>0</v>
      </c>
      <c r="L10">
        <f>ROUND('NBD-MF-10-GA'!I13,0)</f>
        <v>28248</v>
      </c>
      <c r="M10">
        <f>ROUND('NBD-MF-10-GA'!J13,0)</f>
        <v>0</v>
      </c>
      <c r="N10">
        <f>ROUND('NBD-MF-10-GA'!K13,0)</f>
        <v>0</v>
      </c>
      <c r="O10">
        <f>ROUND('NBD-MF-10-GA'!L13,0)</f>
        <v>479493</v>
      </c>
    </row>
    <row r="11" spans="1:15" x14ac:dyDescent="0.3">
      <c r="A11">
        <f>ROUND('NBD-MF-11-IS'!C14,0)</f>
        <v>0</v>
      </c>
      <c r="B11">
        <f>ROUND('NBD-MF-11-IS'!D14,0)</f>
        <v>0</v>
      </c>
      <c r="C11">
        <f>ROUND('NBD-MF-11-IS'!E14,0)</f>
        <v>0</v>
      </c>
      <c r="D11">
        <f>ROUND('NBD-MF-11-IS'!F14,0)</f>
        <v>0</v>
      </c>
      <c r="F11">
        <f>ROUND('NBD-MF-10-GA'!C14,0)</f>
        <v>3961034</v>
      </c>
      <c r="G11">
        <f>ROUND('NBD-MF-10-GA'!D14,0)</f>
        <v>12346067</v>
      </c>
      <c r="H11">
        <f>ROUND('NBD-MF-10-GA'!E14,0)</f>
        <v>4054805</v>
      </c>
      <c r="I11">
        <f>ROUND('NBD-MF-10-GA'!F14,0)</f>
        <v>3670855</v>
      </c>
      <c r="J11">
        <f>ROUND('NBD-MF-10-GA'!G14,0)</f>
        <v>4159009</v>
      </c>
      <c r="K11">
        <f>ROUND('NBD-MF-10-GA'!H14,0)</f>
        <v>19500416</v>
      </c>
      <c r="L11">
        <f>ROUND('NBD-MF-10-GA'!I14,0)</f>
        <v>2751215</v>
      </c>
      <c r="M11">
        <f>ROUND('NBD-MF-10-GA'!J14,0)</f>
        <v>207307</v>
      </c>
      <c r="N11">
        <f>ROUND('NBD-MF-10-GA'!K14,0)</f>
        <v>16934671</v>
      </c>
      <c r="O11">
        <f>ROUND('NBD-MF-10-GA'!L14,0)</f>
        <v>67585379</v>
      </c>
    </row>
    <row r="12" spans="1:15" x14ac:dyDescent="0.3">
      <c r="A12">
        <f>ROUND('NBD-MF-11-IS'!C15,0)</f>
        <v>-7931514</v>
      </c>
      <c r="B12">
        <f>ROUND('NBD-MF-11-IS'!D15,0)</f>
        <v>-9012861</v>
      </c>
      <c r="C12">
        <f>ROUND('NBD-MF-11-IS'!E15,0)</f>
        <v>-7200869</v>
      </c>
      <c r="D12">
        <f>ROUND('NBD-MF-11-IS'!F15,0)</f>
        <v>3158489</v>
      </c>
      <c r="F12">
        <f>ROUND('NBD-MF-10-GA'!C15,0)</f>
        <v>0</v>
      </c>
      <c r="G12">
        <f>ROUND('NBD-MF-10-GA'!D15,0)</f>
        <v>0</v>
      </c>
      <c r="H12">
        <f>ROUND('NBD-MF-10-GA'!E15,0)</f>
        <v>0</v>
      </c>
      <c r="I12">
        <f>ROUND('NBD-MF-10-GA'!F15,0)</f>
        <v>0</v>
      </c>
      <c r="J12">
        <f>ROUND('NBD-MF-10-GA'!G15,0)</f>
        <v>0</v>
      </c>
      <c r="K12">
        <f>ROUND('NBD-MF-10-GA'!H15,0)</f>
        <v>0</v>
      </c>
      <c r="L12">
        <f>ROUND('NBD-MF-10-GA'!I15,0)</f>
        <v>0</v>
      </c>
      <c r="M12">
        <f>ROUND('NBD-MF-10-GA'!J15,0)</f>
        <v>0</v>
      </c>
      <c r="N12">
        <f>ROUND('NBD-MF-10-GA'!K15,0)</f>
        <v>16934671</v>
      </c>
      <c r="O12">
        <f>ROUND('NBD-MF-10-GA'!L15,0)</f>
        <v>16934671</v>
      </c>
    </row>
    <row r="13" spans="1:15" x14ac:dyDescent="0.3">
      <c r="A13">
        <f>ROUND('NBD-MF-11-IS'!C16,0)</f>
        <v>34</v>
      </c>
      <c r="B13">
        <f>ROUND('NBD-MF-11-IS'!D16,0)</f>
        <v>43</v>
      </c>
      <c r="C13">
        <f>ROUND('NBD-MF-11-IS'!E16,0)</f>
        <v>62</v>
      </c>
      <c r="D13">
        <f>ROUND('NBD-MF-11-IS'!F16,0)</f>
        <v>114</v>
      </c>
      <c r="F13">
        <f>ROUND('NBD-MF-10-GA'!C16,0)</f>
        <v>170682</v>
      </c>
      <c r="G13">
        <f>ROUND('NBD-MF-10-GA'!D16,0)</f>
        <v>171994</v>
      </c>
      <c r="H13">
        <f>ROUND('NBD-MF-10-GA'!E16,0)</f>
        <v>583226</v>
      </c>
      <c r="I13">
        <f>ROUND('NBD-MF-10-GA'!F16,0)</f>
        <v>1490598</v>
      </c>
      <c r="J13">
        <f>ROUND('NBD-MF-10-GA'!G16,0)</f>
        <v>856683</v>
      </c>
      <c r="K13">
        <f>ROUND('NBD-MF-10-GA'!H16,0)</f>
        <v>6605625</v>
      </c>
      <c r="L13">
        <f>ROUND('NBD-MF-10-GA'!I16,0)</f>
        <v>18717</v>
      </c>
      <c r="M13">
        <f>ROUND('NBD-MF-10-GA'!J16,0)</f>
        <v>0</v>
      </c>
      <c r="N13">
        <f>ROUND('NBD-MF-10-GA'!K16,0)</f>
        <v>0</v>
      </c>
      <c r="O13">
        <f>ROUND('NBD-MF-10-GA'!L16,0)</f>
        <v>9897525</v>
      </c>
    </row>
    <row r="14" spans="1:15" x14ac:dyDescent="0.3">
      <c r="F14">
        <f>ROUND('NBD-MF-10-GA'!C17,0)</f>
        <v>3790352</v>
      </c>
      <c r="G14">
        <f>ROUND('NBD-MF-10-GA'!D17,0)</f>
        <v>7898062</v>
      </c>
      <c r="H14">
        <f>ROUND('NBD-MF-10-GA'!E17,0)</f>
        <v>3297152</v>
      </c>
      <c r="I14">
        <f>ROUND('NBD-MF-10-GA'!F17,0)</f>
        <v>1548951</v>
      </c>
      <c r="J14">
        <f>ROUND('NBD-MF-10-GA'!G17,0)</f>
        <v>3302326</v>
      </c>
      <c r="K14">
        <f>ROUND('NBD-MF-10-GA'!H17,0)</f>
        <v>12837779</v>
      </c>
      <c r="L14">
        <f>ROUND('NBD-MF-10-GA'!I17,0)</f>
        <v>2732498</v>
      </c>
      <c r="M14">
        <f>ROUND('NBD-MF-10-GA'!J17,0)</f>
        <v>0</v>
      </c>
      <c r="N14">
        <f>ROUND('NBD-MF-10-GA'!K17,0)</f>
        <v>0</v>
      </c>
      <c r="O14">
        <f>ROUND('NBD-MF-10-GA'!L17,0)</f>
        <v>35407120</v>
      </c>
    </row>
    <row r="15" spans="1:15" x14ac:dyDescent="0.3">
      <c r="F15">
        <f>ROUND('NBD-MF-10-GA'!C18,0)</f>
        <v>0</v>
      </c>
      <c r="G15">
        <f>ROUND('NBD-MF-10-GA'!D18,0)</f>
        <v>4276011</v>
      </c>
      <c r="H15">
        <f>ROUND('NBD-MF-10-GA'!E18,0)</f>
        <v>174427</v>
      </c>
      <c r="I15">
        <f>ROUND('NBD-MF-10-GA'!F18,0)</f>
        <v>631306</v>
      </c>
      <c r="J15">
        <f>ROUND('NBD-MF-10-GA'!G18,0)</f>
        <v>0</v>
      </c>
      <c r="K15">
        <f>ROUND('NBD-MF-10-GA'!H18,0)</f>
        <v>57012</v>
      </c>
      <c r="L15">
        <f>ROUND('NBD-MF-10-GA'!I18,0)</f>
        <v>0</v>
      </c>
      <c r="M15">
        <f>ROUND('NBD-MF-10-GA'!J18,0)</f>
        <v>207307</v>
      </c>
      <c r="N15">
        <f>ROUND('NBD-MF-10-GA'!K18,0)</f>
        <v>0</v>
      </c>
      <c r="O15">
        <f>ROUND('NBD-MF-10-GA'!L18,0)</f>
        <v>5346063</v>
      </c>
    </row>
    <row r="16" spans="1:15" x14ac:dyDescent="0.3">
      <c r="F16">
        <f>ROUND('NBD-MF-10-GA'!C19,0)</f>
        <v>-3229868</v>
      </c>
      <c r="G16">
        <f>ROUND('NBD-MF-10-GA'!D19,0)</f>
        <v>-8125857</v>
      </c>
      <c r="H16">
        <f>ROUND('NBD-MF-10-GA'!E19,0)</f>
        <v>-1038964</v>
      </c>
      <c r="I16">
        <f>ROUND('NBD-MF-10-GA'!F19,0)</f>
        <v>1289635</v>
      </c>
      <c r="J16">
        <f>ROUND('NBD-MF-10-GA'!G19,0)</f>
        <v>10359359</v>
      </c>
      <c r="K16">
        <f>ROUND('NBD-MF-10-GA'!H19,0)</f>
        <v>9721596</v>
      </c>
      <c r="L16">
        <f>ROUND('NBD-MF-10-GA'!I19,0)</f>
        <v>4920911</v>
      </c>
      <c r="M16">
        <f>ROUND('NBD-MF-10-GA'!J19,0)</f>
        <v>396733</v>
      </c>
      <c r="N16">
        <f>ROUND('NBD-MF-10-GA'!K19,0)</f>
        <v>-14293537</v>
      </c>
      <c r="O16">
        <f>ROUND('NBD-MF-10-GA'!L19,0)</f>
        <v>8</v>
      </c>
    </row>
    <row r="17" spans="6:15" x14ac:dyDescent="0.3">
      <c r="F17">
        <f>ROUND('NBD-MF-10-GA'!C20,0)</f>
        <v>-3229868</v>
      </c>
      <c r="G17">
        <f>ROUND('NBD-MF-10-GA'!D20,0)</f>
        <v>-11355725</v>
      </c>
      <c r="H17">
        <f>ROUND('NBD-MF-10-GA'!E20,0)</f>
        <v>-12394689</v>
      </c>
      <c r="I17">
        <f>ROUND('NBD-MF-10-GA'!F20,0)</f>
        <v>-11105054</v>
      </c>
      <c r="J17">
        <f>ROUND('NBD-MF-10-GA'!G20,0)</f>
        <v>-745695</v>
      </c>
      <c r="K17">
        <f>ROUND('NBD-MF-10-GA'!H20,0)</f>
        <v>8975901</v>
      </c>
      <c r="L17">
        <f>ROUND('NBD-MF-10-GA'!I20,0)</f>
        <v>13896812</v>
      </c>
      <c r="M17">
        <f>ROUND('NBD-MF-10-GA'!J20,0)</f>
        <v>14293545</v>
      </c>
      <c r="N17">
        <f>ROUND('NBD-MF-10-GA'!K20,0)</f>
        <v>8</v>
      </c>
      <c r="O17">
        <f>ROUND('NBD-MF-10-GA'!L20,0)</f>
        <v>8</v>
      </c>
    </row>
  </sheetData>
  <mergeCells count="2">
    <mergeCell ref="A1:D1"/>
    <mergeCell ref="F1:O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9"/>
  <dimension ref="A1:Y84"/>
  <sheetViews>
    <sheetView zoomScale="85" zoomScaleNormal="85" workbookViewId="0">
      <pane ySplit="1" topLeftCell="A18" activePane="bottomLeft" state="frozen"/>
      <selection pane="bottomLeft" activeCell="A3" sqref="A3:J45"/>
    </sheetView>
  </sheetViews>
  <sheetFormatPr defaultColWidth="9.109375" defaultRowHeight="14.4" x14ac:dyDescent="0.3"/>
  <cols>
    <col min="1" max="1" width="30.109375" style="20" bestFit="1" customWidth="1"/>
    <col min="2" max="2" width="15" style="20" customWidth="1"/>
    <col min="3" max="3" width="15.88671875" style="20" customWidth="1"/>
    <col min="4" max="4" width="8.33203125" style="20" hidden="1" customWidth="1"/>
    <col min="5" max="5" width="7.44140625" style="20" bestFit="1" customWidth="1"/>
    <col min="6" max="6" width="12.109375" style="20" customWidth="1"/>
    <col min="7" max="7" width="12" style="20" customWidth="1"/>
    <col min="8" max="8" width="13.88671875" style="20" bestFit="1" customWidth="1"/>
    <col min="9" max="10" width="13" style="20" customWidth="1"/>
    <col min="11" max="12" width="15.88671875" style="20" customWidth="1"/>
    <col min="13" max="13" width="11.109375" style="20" customWidth="1"/>
    <col min="14" max="14" width="15.33203125" style="20" customWidth="1"/>
    <col min="15" max="15" width="9.109375" style="20" customWidth="1"/>
    <col min="16" max="24" width="12.88671875" style="20" customWidth="1"/>
    <col min="25" max="27" width="9.109375" style="20" customWidth="1"/>
    <col min="28" max="16384" width="9.109375" style="20"/>
  </cols>
  <sheetData>
    <row r="1" spans="1:24" ht="28.8" customHeight="1" x14ac:dyDescent="0.3">
      <c r="K1" s="20">
        <v>1000</v>
      </c>
      <c r="P1" s="49" t="s">
        <v>453</v>
      </c>
      <c r="Q1" s="15" t="s">
        <v>454</v>
      </c>
      <c r="R1" s="15" t="s">
        <v>455</v>
      </c>
      <c r="S1" s="15" t="s">
        <v>456</v>
      </c>
      <c r="T1" s="15" t="s">
        <v>457</v>
      </c>
      <c r="U1" s="15" t="s">
        <v>458</v>
      </c>
      <c r="V1" s="15" t="s">
        <v>459</v>
      </c>
      <c r="W1" s="15" t="s">
        <v>460</v>
      </c>
      <c r="X1" s="15" t="s">
        <v>461</v>
      </c>
    </row>
    <row r="2" spans="1:24" ht="28.8" customHeight="1" x14ac:dyDescent="0.3">
      <c r="A2" s="89" t="s">
        <v>462</v>
      </c>
      <c r="B2" s="73" t="s">
        <v>463</v>
      </c>
      <c r="C2" s="73" t="s">
        <v>464</v>
      </c>
      <c r="D2" s="73"/>
      <c r="E2" s="73" t="s">
        <v>465</v>
      </c>
      <c r="F2" s="74" t="s">
        <v>466</v>
      </c>
      <c r="G2" s="74" t="s">
        <v>467</v>
      </c>
      <c r="H2" s="74" t="s">
        <v>468</v>
      </c>
      <c r="I2" s="74" t="s">
        <v>469</v>
      </c>
      <c r="J2" s="74" t="s">
        <v>470</v>
      </c>
      <c r="K2" s="74" t="s">
        <v>471</v>
      </c>
      <c r="L2" s="74" t="s">
        <v>461</v>
      </c>
      <c r="M2" s="149">
        <f>'NBD-MF-01-SOFP'!D2</f>
        <v>45900</v>
      </c>
      <c r="N2" s="167" t="s">
        <v>472</v>
      </c>
    </row>
    <row r="3" spans="1:24" x14ac:dyDescent="0.3">
      <c r="A3" s="78" t="s">
        <v>473</v>
      </c>
      <c r="B3" s="75" t="s">
        <v>474</v>
      </c>
      <c r="C3" s="79">
        <v>45576.7</v>
      </c>
      <c r="D3" s="79"/>
      <c r="E3" s="80">
        <v>0.2016</v>
      </c>
      <c r="F3" s="81">
        <v>44743</v>
      </c>
      <c r="G3" s="81">
        <v>47983</v>
      </c>
      <c r="H3" s="82">
        <v>0.18</v>
      </c>
      <c r="I3" s="76">
        <v>50000</v>
      </c>
      <c r="J3" s="77">
        <v>46382.75</v>
      </c>
      <c r="K3" s="44">
        <v>20458.902117099809</v>
      </c>
      <c r="L3" s="77">
        <f t="shared" ref="L3:L45" si="0">J3+K3</f>
        <v>66841.652117099817</v>
      </c>
      <c r="M3" s="164">
        <f t="shared" ref="M3:M45" si="1">(G3-$M$2)</f>
        <v>2083</v>
      </c>
      <c r="N3" s="165" t="str">
        <f>VLOOKUP(M3,T!$A$12:$C$19,3,TRUE)</f>
        <v>Over 5 Years</v>
      </c>
      <c r="P3" s="44">
        <f t="shared" ref="P3:W12" si="2">IF(P$1=$N3,$L3,0)</f>
        <v>0</v>
      </c>
      <c r="Q3" s="44">
        <f t="shared" si="2"/>
        <v>0</v>
      </c>
      <c r="R3" s="44">
        <f t="shared" si="2"/>
        <v>0</v>
      </c>
      <c r="S3" s="44">
        <f t="shared" si="2"/>
        <v>0</v>
      </c>
      <c r="T3" s="44">
        <f t="shared" si="2"/>
        <v>0</v>
      </c>
      <c r="U3" s="44">
        <f t="shared" si="2"/>
        <v>0</v>
      </c>
      <c r="V3" s="44">
        <f t="shared" si="2"/>
        <v>0</v>
      </c>
      <c r="W3" s="44">
        <f t="shared" si="2"/>
        <v>66841.652117099817</v>
      </c>
      <c r="X3" s="44">
        <f t="shared" ref="X3:X45" si="3">SUM(P3:W3)</f>
        <v>66841.652117099817</v>
      </c>
    </row>
    <row r="4" spans="1:24" x14ac:dyDescent="0.3">
      <c r="A4" s="78" t="s">
        <v>473</v>
      </c>
      <c r="B4" s="75" t="s">
        <v>474</v>
      </c>
      <c r="C4" s="79">
        <v>45238.1</v>
      </c>
      <c r="D4" s="79"/>
      <c r="E4" s="80">
        <v>0.2034</v>
      </c>
      <c r="F4" s="81">
        <v>44743</v>
      </c>
      <c r="G4" s="81">
        <v>47983</v>
      </c>
      <c r="H4" s="82">
        <v>0.18</v>
      </c>
      <c r="I4" s="76">
        <v>50000</v>
      </c>
      <c r="J4" s="77">
        <v>46101.55</v>
      </c>
      <c r="K4" s="44">
        <v>20740.2170661606</v>
      </c>
      <c r="L4" s="77">
        <f t="shared" si="0"/>
        <v>66841.767066160595</v>
      </c>
      <c r="M4" s="164">
        <f t="shared" si="1"/>
        <v>2083</v>
      </c>
      <c r="N4" s="165" t="str">
        <f>VLOOKUP(M4,T!$A$12:$C$19,3,TRUE)</f>
        <v>Over 5 Years</v>
      </c>
      <c r="P4" s="44">
        <f t="shared" si="2"/>
        <v>0</v>
      </c>
      <c r="Q4" s="44">
        <f t="shared" si="2"/>
        <v>0</v>
      </c>
      <c r="R4" s="44">
        <f t="shared" si="2"/>
        <v>0</v>
      </c>
      <c r="S4" s="44">
        <f t="shared" si="2"/>
        <v>0</v>
      </c>
      <c r="T4" s="44">
        <f t="shared" si="2"/>
        <v>0</v>
      </c>
      <c r="U4" s="44">
        <f t="shared" si="2"/>
        <v>0</v>
      </c>
      <c r="V4" s="44">
        <f t="shared" si="2"/>
        <v>0</v>
      </c>
      <c r="W4" s="44">
        <f t="shared" si="2"/>
        <v>66841.767066160595</v>
      </c>
      <c r="X4" s="44">
        <f t="shared" si="3"/>
        <v>66841.767066160595</v>
      </c>
    </row>
    <row r="5" spans="1:24" x14ac:dyDescent="0.3">
      <c r="A5" s="78" t="s">
        <v>473</v>
      </c>
      <c r="B5" s="75" t="s">
        <v>474</v>
      </c>
      <c r="C5" s="79">
        <v>45014.5435</v>
      </c>
      <c r="D5" s="79"/>
      <c r="E5" s="80">
        <v>0.2046</v>
      </c>
      <c r="F5" s="81">
        <v>44743</v>
      </c>
      <c r="G5" s="81">
        <v>47983</v>
      </c>
      <c r="H5" s="82">
        <v>0.18</v>
      </c>
      <c r="I5" s="76">
        <v>50000</v>
      </c>
      <c r="J5" s="77">
        <v>45915.4</v>
      </c>
      <c r="K5" s="44">
        <v>20926.426395655359</v>
      </c>
      <c r="L5" s="77">
        <f t="shared" si="0"/>
        <v>66841.826395655356</v>
      </c>
      <c r="M5" s="164">
        <f t="shared" si="1"/>
        <v>2083</v>
      </c>
      <c r="N5" s="165" t="str">
        <f>VLOOKUP(M5,T!$A$12:$C$19,3,TRUE)</f>
        <v>Over 5 Years</v>
      </c>
      <c r="P5" s="44">
        <f t="shared" si="2"/>
        <v>0</v>
      </c>
      <c r="Q5" s="44">
        <f t="shared" si="2"/>
        <v>0</v>
      </c>
      <c r="R5" s="44">
        <f t="shared" si="2"/>
        <v>0</v>
      </c>
      <c r="S5" s="44">
        <f t="shared" si="2"/>
        <v>0</v>
      </c>
      <c r="T5" s="44">
        <f t="shared" si="2"/>
        <v>0</v>
      </c>
      <c r="U5" s="44">
        <f t="shared" si="2"/>
        <v>0</v>
      </c>
      <c r="V5" s="44">
        <f t="shared" si="2"/>
        <v>0</v>
      </c>
      <c r="W5" s="44">
        <f t="shared" si="2"/>
        <v>66841.826395655356</v>
      </c>
      <c r="X5" s="44">
        <f t="shared" si="3"/>
        <v>66841.826395655356</v>
      </c>
    </row>
    <row r="6" spans="1:24" x14ac:dyDescent="0.3">
      <c r="A6" s="78" t="s">
        <v>473</v>
      </c>
      <c r="B6" s="75" t="s">
        <v>474</v>
      </c>
      <c r="C6" s="79">
        <v>44737.45</v>
      </c>
      <c r="D6" s="79"/>
      <c r="E6" s="80">
        <v>0.20610000000000001</v>
      </c>
      <c r="F6" s="81">
        <v>44743</v>
      </c>
      <c r="G6" s="81">
        <v>47983</v>
      </c>
      <c r="H6" s="82">
        <v>0.18</v>
      </c>
      <c r="I6" s="76">
        <v>50000</v>
      </c>
      <c r="J6" s="77">
        <v>45684.2</v>
      </c>
      <c r="K6" s="44">
        <v>21157.69984978806</v>
      </c>
      <c r="L6" s="77">
        <f t="shared" si="0"/>
        <v>66841.899849788053</v>
      </c>
      <c r="M6" s="164">
        <f t="shared" si="1"/>
        <v>2083</v>
      </c>
      <c r="N6" s="165" t="str">
        <f>VLOOKUP(M6,T!$A$12:$C$19,3,TRUE)</f>
        <v>Over 5 Years</v>
      </c>
      <c r="P6" s="44">
        <f t="shared" si="2"/>
        <v>0</v>
      </c>
      <c r="Q6" s="44">
        <f t="shared" si="2"/>
        <v>0</v>
      </c>
      <c r="R6" s="44">
        <f t="shared" si="2"/>
        <v>0</v>
      </c>
      <c r="S6" s="44">
        <f t="shared" si="2"/>
        <v>0</v>
      </c>
      <c r="T6" s="44">
        <f t="shared" si="2"/>
        <v>0</v>
      </c>
      <c r="U6" s="44">
        <f t="shared" si="2"/>
        <v>0</v>
      </c>
      <c r="V6" s="44">
        <f t="shared" si="2"/>
        <v>0</v>
      </c>
      <c r="W6" s="44">
        <f t="shared" si="2"/>
        <v>66841.899849788053</v>
      </c>
      <c r="X6" s="44">
        <f t="shared" si="3"/>
        <v>66841.899849788053</v>
      </c>
    </row>
    <row r="7" spans="1:24" x14ac:dyDescent="0.3">
      <c r="A7" s="78" t="s">
        <v>473</v>
      </c>
      <c r="B7" s="75" t="s">
        <v>474</v>
      </c>
      <c r="C7" s="79">
        <v>44281.493499999997</v>
      </c>
      <c r="D7" s="79"/>
      <c r="E7" s="80">
        <v>0.20860000000000001</v>
      </c>
      <c r="F7" s="81">
        <v>44743</v>
      </c>
      <c r="G7" s="81">
        <v>47983</v>
      </c>
      <c r="H7" s="82">
        <v>0.18</v>
      </c>
      <c r="I7" s="76">
        <v>50000</v>
      </c>
      <c r="J7" s="77">
        <v>45302.55</v>
      </c>
      <c r="K7" s="44">
        <v>21539.51632372665</v>
      </c>
      <c r="L7" s="77">
        <f t="shared" si="0"/>
        <v>66842.066323726656</v>
      </c>
      <c r="M7" s="164">
        <f t="shared" si="1"/>
        <v>2083</v>
      </c>
      <c r="N7" s="165" t="str">
        <f>VLOOKUP(M7,T!$A$12:$C$19,3,TRUE)</f>
        <v>Over 5 Years</v>
      </c>
      <c r="P7" s="44">
        <f t="shared" si="2"/>
        <v>0</v>
      </c>
      <c r="Q7" s="44">
        <f t="shared" si="2"/>
        <v>0</v>
      </c>
      <c r="R7" s="44">
        <f t="shared" si="2"/>
        <v>0</v>
      </c>
      <c r="S7" s="44">
        <f t="shared" si="2"/>
        <v>0</v>
      </c>
      <c r="T7" s="44">
        <f t="shared" si="2"/>
        <v>0</v>
      </c>
      <c r="U7" s="44">
        <f t="shared" si="2"/>
        <v>0</v>
      </c>
      <c r="V7" s="44">
        <f t="shared" si="2"/>
        <v>0</v>
      </c>
      <c r="W7" s="44">
        <f t="shared" si="2"/>
        <v>66842.066323726656</v>
      </c>
      <c r="X7" s="44">
        <f t="shared" si="3"/>
        <v>66842.066323726656</v>
      </c>
    </row>
    <row r="8" spans="1:24" x14ac:dyDescent="0.3">
      <c r="A8" s="78" t="s">
        <v>473</v>
      </c>
      <c r="B8" s="75" t="s">
        <v>475</v>
      </c>
      <c r="C8" s="79">
        <v>44967.6</v>
      </c>
      <c r="D8" s="79"/>
      <c r="E8" s="80">
        <v>0.21157699999999999</v>
      </c>
      <c r="F8" s="81">
        <v>44743</v>
      </c>
      <c r="G8" s="81">
        <v>46767</v>
      </c>
      <c r="H8" s="82">
        <v>0.18</v>
      </c>
      <c r="I8" s="76">
        <v>50000</v>
      </c>
      <c r="J8" s="77">
        <v>47128.65</v>
      </c>
      <c r="K8" s="44">
        <v>12553.2512307339</v>
      </c>
      <c r="L8" s="77">
        <f t="shared" si="0"/>
        <v>59681.9012307339</v>
      </c>
      <c r="M8" s="164">
        <f t="shared" si="1"/>
        <v>867</v>
      </c>
      <c r="N8" s="165" t="str">
        <f>VLOOKUP(M8,T!$A$12:$C$19,3,TRUE)</f>
        <v>1-3 Years</v>
      </c>
      <c r="P8" s="44">
        <f t="shared" si="2"/>
        <v>0</v>
      </c>
      <c r="Q8" s="44">
        <f t="shared" si="2"/>
        <v>0</v>
      </c>
      <c r="R8" s="44">
        <f t="shared" si="2"/>
        <v>0</v>
      </c>
      <c r="S8" s="44">
        <f t="shared" si="2"/>
        <v>0</v>
      </c>
      <c r="T8" s="44">
        <f t="shared" si="2"/>
        <v>0</v>
      </c>
      <c r="U8" s="44">
        <f t="shared" si="2"/>
        <v>59681.9012307339</v>
      </c>
      <c r="V8" s="44">
        <f t="shared" si="2"/>
        <v>0</v>
      </c>
      <c r="W8" s="44">
        <f t="shared" si="2"/>
        <v>0</v>
      </c>
      <c r="X8" s="44">
        <f t="shared" si="3"/>
        <v>59681.9012307339</v>
      </c>
    </row>
    <row r="9" spans="1:24" x14ac:dyDescent="0.3">
      <c r="A9" s="78" t="s">
        <v>473</v>
      </c>
      <c r="B9" s="75" t="s">
        <v>475</v>
      </c>
      <c r="C9" s="79">
        <v>89523.8</v>
      </c>
      <c r="D9" s="79"/>
      <c r="E9" s="80">
        <v>0.212977</v>
      </c>
      <c r="F9" s="81">
        <v>44743</v>
      </c>
      <c r="G9" s="81">
        <v>46767</v>
      </c>
      <c r="H9" s="82">
        <v>0.18</v>
      </c>
      <c r="I9" s="76">
        <v>100000</v>
      </c>
      <c r="J9" s="77">
        <v>94016.1</v>
      </c>
      <c r="K9" s="44">
        <v>25348.02764958475</v>
      </c>
      <c r="L9" s="77">
        <f t="shared" si="0"/>
        <v>119364.12764958476</v>
      </c>
      <c r="M9" s="164">
        <f t="shared" si="1"/>
        <v>867</v>
      </c>
      <c r="N9" s="165" t="str">
        <f>VLOOKUP(M9,T!$A$12:$C$19,3,TRUE)</f>
        <v>1-3 Years</v>
      </c>
      <c r="P9" s="44">
        <f t="shared" si="2"/>
        <v>0</v>
      </c>
      <c r="Q9" s="44">
        <f t="shared" si="2"/>
        <v>0</v>
      </c>
      <c r="R9" s="44">
        <f t="shared" si="2"/>
        <v>0</v>
      </c>
      <c r="S9" s="44">
        <f t="shared" si="2"/>
        <v>0</v>
      </c>
      <c r="T9" s="44">
        <f t="shared" si="2"/>
        <v>0</v>
      </c>
      <c r="U9" s="44">
        <f t="shared" si="2"/>
        <v>119364.12764958476</v>
      </c>
      <c r="V9" s="44">
        <f t="shared" si="2"/>
        <v>0</v>
      </c>
      <c r="W9" s="44">
        <f t="shared" si="2"/>
        <v>0</v>
      </c>
      <c r="X9" s="44">
        <f t="shared" si="3"/>
        <v>119364.12764958476</v>
      </c>
    </row>
    <row r="10" spans="1:24" x14ac:dyDescent="0.3">
      <c r="A10" s="78" t="s">
        <v>473</v>
      </c>
      <c r="B10" s="75" t="s">
        <v>475</v>
      </c>
      <c r="C10" s="79">
        <v>89115.1</v>
      </c>
      <c r="D10" s="79"/>
      <c r="E10" s="80">
        <v>0.21437600000000001</v>
      </c>
      <c r="F10" s="81">
        <v>44743</v>
      </c>
      <c r="G10" s="81">
        <v>46767</v>
      </c>
      <c r="H10" s="82">
        <v>0.18</v>
      </c>
      <c r="I10" s="76">
        <v>100000</v>
      </c>
      <c r="J10" s="77">
        <v>93775.8</v>
      </c>
      <c r="K10" s="44">
        <v>25588.55493301716</v>
      </c>
      <c r="L10" s="77">
        <f t="shared" si="0"/>
        <v>119364.35493301717</v>
      </c>
      <c r="M10" s="164">
        <f t="shared" si="1"/>
        <v>867</v>
      </c>
      <c r="N10" s="165" t="str">
        <f>VLOOKUP(M10,T!$A$12:$C$19,3,TRUE)</f>
        <v>1-3 Years</v>
      </c>
      <c r="P10" s="44">
        <f t="shared" si="2"/>
        <v>0</v>
      </c>
      <c r="Q10" s="44">
        <f t="shared" si="2"/>
        <v>0</v>
      </c>
      <c r="R10" s="44">
        <f t="shared" si="2"/>
        <v>0</v>
      </c>
      <c r="S10" s="44">
        <f t="shared" si="2"/>
        <v>0</v>
      </c>
      <c r="T10" s="44">
        <f t="shared" si="2"/>
        <v>0</v>
      </c>
      <c r="U10" s="44">
        <f t="shared" si="2"/>
        <v>119364.35493301717</v>
      </c>
      <c r="V10" s="44">
        <f t="shared" si="2"/>
        <v>0</v>
      </c>
      <c r="W10" s="44">
        <f t="shared" si="2"/>
        <v>0</v>
      </c>
      <c r="X10" s="44">
        <f t="shared" si="3"/>
        <v>119364.35493301717</v>
      </c>
    </row>
    <row r="11" spans="1:24" x14ac:dyDescent="0.3">
      <c r="A11" s="78" t="s">
        <v>473</v>
      </c>
      <c r="B11" s="75" t="s">
        <v>475</v>
      </c>
      <c r="C11" s="79">
        <v>79751.5</v>
      </c>
      <c r="D11" s="79"/>
      <c r="E11" s="80">
        <v>0.24970000000000001</v>
      </c>
      <c r="F11" s="81">
        <v>44763</v>
      </c>
      <c r="G11" s="81">
        <v>46767</v>
      </c>
      <c r="H11" s="82">
        <v>0.18</v>
      </c>
      <c r="I11" s="76">
        <v>100000</v>
      </c>
      <c r="J11" s="77">
        <v>87972.3</v>
      </c>
      <c r="K11" s="44">
        <v>31398.279502388879</v>
      </c>
      <c r="L11" s="77">
        <f t="shared" si="0"/>
        <v>119370.57950238888</v>
      </c>
      <c r="M11" s="164">
        <f t="shared" si="1"/>
        <v>867</v>
      </c>
      <c r="N11" s="165" t="str">
        <f>VLOOKUP(M11,T!$A$12:$C$19,3,TRUE)</f>
        <v>1-3 Years</v>
      </c>
      <c r="P11" s="44">
        <f t="shared" si="2"/>
        <v>0</v>
      </c>
      <c r="Q11" s="44">
        <f t="shared" si="2"/>
        <v>0</v>
      </c>
      <c r="R11" s="44">
        <f t="shared" si="2"/>
        <v>0</v>
      </c>
      <c r="S11" s="44">
        <f t="shared" si="2"/>
        <v>0</v>
      </c>
      <c r="T11" s="44">
        <f t="shared" si="2"/>
        <v>0</v>
      </c>
      <c r="U11" s="44">
        <f t="shared" si="2"/>
        <v>119370.57950238888</v>
      </c>
      <c r="V11" s="44">
        <f t="shared" si="2"/>
        <v>0</v>
      </c>
      <c r="W11" s="44">
        <f t="shared" si="2"/>
        <v>0</v>
      </c>
      <c r="X11" s="44">
        <f t="shared" si="3"/>
        <v>119370.57950238888</v>
      </c>
    </row>
    <row r="12" spans="1:24" x14ac:dyDescent="0.3">
      <c r="A12" s="78" t="s">
        <v>473</v>
      </c>
      <c r="B12" s="75" t="s">
        <v>476</v>
      </c>
      <c r="C12" s="79">
        <v>78552.7</v>
      </c>
      <c r="D12" s="79"/>
      <c r="E12" s="80">
        <v>0.2697</v>
      </c>
      <c r="F12" s="81">
        <v>44763</v>
      </c>
      <c r="G12" s="81">
        <v>47314</v>
      </c>
      <c r="H12" s="82">
        <v>0.2</v>
      </c>
      <c r="I12" s="76">
        <v>100000</v>
      </c>
      <c r="J12" s="77">
        <v>83746.8</v>
      </c>
      <c r="K12" s="44">
        <v>50046.053820792316</v>
      </c>
      <c r="L12" s="77">
        <f t="shared" si="0"/>
        <v>133792.85382079231</v>
      </c>
      <c r="M12" s="164">
        <f t="shared" si="1"/>
        <v>1414</v>
      </c>
      <c r="N12" s="165" t="str">
        <f>VLOOKUP(M12,T!$A$12:$C$19,3,TRUE)</f>
        <v>3-5 Years</v>
      </c>
      <c r="P12" s="44">
        <f t="shared" si="2"/>
        <v>0</v>
      </c>
      <c r="Q12" s="44">
        <f t="shared" si="2"/>
        <v>0</v>
      </c>
      <c r="R12" s="44">
        <f t="shared" si="2"/>
        <v>0</v>
      </c>
      <c r="S12" s="44">
        <f t="shared" si="2"/>
        <v>0</v>
      </c>
      <c r="T12" s="44">
        <f t="shared" si="2"/>
        <v>0</v>
      </c>
      <c r="U12" s="44">
        <f t="shared" si="2"/>
        <v>0</v>
      </c>
      <c r="V12" s="44">
        <f t="shared" si="2"/>
        <v>133792.85382079231</v>
      </c>
      <c r="W12" s="44">
        <f t="shared" si="2"/>
        <v>0</v>
      </c>
      <c r="X12" s="44">
        <f t="shared" si="3"/>
        <v>133792.85382079231</v>
      </c>
    </row>
    <row r="13" spans="1:24" x14ac:dyDescent="0.3">
      <c r="A13" s="78" t="s">
        <v>473</v>
      </c>
      <c r="B13" s="75" t="s">
        <v>474</v>
      </c>
      <c r="C13" s="79">
        <v>34718.591500000002</v>
      </c>
      <c r="D13" s="79"/>
      <c r="E13" s="80">
        <v>0.27280599999999999</v>
      </c>
      <c r="F13" s="81">
        <v>44774</v>
      </c>
      <c r="G13" s="81">
        <v>47983</v>
      </c>
      <c r="H13" s="82">
        <v>0.18</v>
      </c>
      <c r="I13" s="76">
        <v>50000</v>
      </c>
      <c r="J13" s="77">
        <v>36878.949999999997</v>
      </c>
      <c r="K13" s="44">
        <v>29965.58193731145</v>
      </c>
      <c r="L13" s="77">
        <f t="shared" si="0"/>
        <v>66844.531937311447</v>
      </c>
      <c r="M13" s="164">
        <f t="shared" si="1"/>
        <v>2083</v>
      </c>
      <c r="N13" s="165" t="str">
        <f>VLOOKUP(M13,T!$A$12:$C$19,3,TRUE)</f>
        <v>Over 5 Years</v>
      </c>
      <c r="P13" s="44">
        <f t="shared" ref="P13:W22" si="4">IF(P$1=$N13,$L13,0)</f>
        <v>0</v>
      </c>
      <c r="Q13" s="44">
        <f t="shared" si="4"/>
        <v>0</v>
      </c>
      <c r="R13" s="44">
        <f t="shared" si="4"/>
        <v>0</v>
      </c>
      <c r="S13" s="44">
        <f t="shared" si="4"/>
        <v>0</v>
      </c>
      <c r="T13" s="44">
        <f t="shared" si="4"/>
        <v>0</v>
      </c>
      <c r="U13" s="44">
        <f t="shared" si="4"/>
        <v>0</v>
      </c>
      <c r="V13" s="44">
        <f t="shared" si="4"/>
        <v>0</v>
      </c>
      <c r="W13" s="44">
        <f t="shared" si="4"/>
        <v>66844.531937311447</v>
      </c>
      <c r="X13" s="44">
        <f t="shared" si="3"/>
        <v>66844.531937311447</v>
      </c>
    </row>
    <row r="14" spans="1:24" x14ac:dyDescent="0.3">
      <c r="A14" s="78" t="s">
        <v>473</v>
      </c>
      <c r="B14" s="75" t="s">
        <v>474</v>
      </c>
      <c r="C14" s="79">
        <v>33938.441500000001</v>
      </c>
      <c r="D14" s="79"/>
      <c r="E14" s="80">
        <v>0.279306</v>
      </c>
      <c r="F14" s="81">
        <v>44774</v>
      </c>
      <c r="G14" s="81">
        <v>47983</v>
      </c>
      <c r="H14" s="82">
        <v>0.18</v>
      </c>
      <c r="I14" s="76">
        <v>50000</v>
      </c>
      <c r="J14" s="77">
        <v>36155.75</v>
      </c>
      <c r="K14" s="44">
        <v>30688.93259155337</v>
      </c>
      <c r="L14" s="77">
        <f t="shared" si="0"/>
        <v>66844.68259155337</v>
      </c>
      <c r="M14" s="164">
        <f t="shared" si="1"/>
        <v>2083</v>
      </c>
      <c r="N14" s="165" t="str">
        <f>VLOOKUP(M14,T!$A$12:$C$19,3,TRUE)</f>
        <v>Over 5 Years</v>
      </c>
      <c r="P14" s="44">
        <f t="shared" si="4"/>
        <v>0</v>
      </c>
      <c r="Q14" s="44">
        <f t="shared" si="4"/>
        <v>0</v>
      </c>
      <c r="R14" s="44">
        <f t="shared" si="4"/>
        <v>0</v>
      </c>
      <c r="S14" s="44">
        <f t="shared" si="4"/>
        <v>0</v>
      </c>
      <c r="T14" s="44">
        <f t="shared" si="4"/>
        <v>0</v>
      </c>
      <c r="U14" s="44">
        <f t="shared" si="4"/>
        <v>0</v>
      </c>
      <c r="V14" s="44">
        <f t="shared" si="4"/>
        <v>0</v>
      </c>
      <c r="W14" s="44">
        <f t="shared" si="4"/>
        <v>66844.68259155337</v>
      </c>
      <c r="X14" s="44">
        <f t="shared" si="3"/>
        <v>66844.68259155337</v>
      </c>
    </row>
    <row r="15" spans="1:24" x14ac:dyDescent="0.3">
      <c r="A15" s="78" t="s">
        <v>477</v>
      </c>
      <c r="B15" s="75" t="s">
        <v>478</v>
      </c>
      <c r="C15" s="79">
        <v>127420.6</v>
      </c>
      <c r="D15" s="79"/>
      <c r="E15" s="80">
        <v>0.24970400000000001</v>
      </c>
      <c r="F15" s="81">
        <v>44763</v>
      </c>
      <c r="G15" s="81">
        <v>46553</v>
      </c>
      <c r="H15" s="82">
        <v>0.11749999999999999</v>
      </c>
      <c r="I15" s="76">
        <v>200000</v>
      </c>
      <c r="J15" s="77">
        <v>163494.20000000001</v>
      </c>
      <c r="K15" s="44">
        <v>47694.056412294573</v>
      </c>
      <c r="L15" s="77">
        <f t="shared" si="0"/>
        <v>211188.25641229458</v>
      </c>
      <c r="M15" s="164">
        <f t="shared" si="1"/>
        <v>653</v>
      </c>
      <c r="N15" s="165" t="str">
        <f>VLOOKUP(M15,T!$A$12:$C$19,3,TRUE)</f>
        <v>1-3 Years</v>
      </c>
      <c r="P15" s="44">
        <f t="shared" si="4"/>
        <v>0</v>
      </c>
      <c r="Q15" s="44">
        <f t="shared" si="4"/>
        <v>0</v>
      </c>
      <c r="R15" s="44">
        <f t="shared" si="4"/>
        <v>0</v>
      </c>
      <c r="S15" s="44">
        <f t="shared" si="4"/>
        <v>0</v>
      </c>
      <c r="T15" s="44">
        <f t="shared" si="4"/>
        <v>0</v>
      </c>
      <c r="U15" s="44">
        <f t="shared" si="4"/>
        <v>211188.25641229458</v>
      </c>
      <c r="V15" s="44">
        <f t="shared" si="4"/>
        <v>0</v>
      </c>
      <c r="W15" s="44">
        <f t="shared" si="4"/>
        <v>0</v>
      </c>
      <c r="X15" s="44">
        <f t="shared" si="3"/>
        <v>211188.25641229458</v>
      </c>
    </row>
    <row r="16" spans="1:24" x14ac:dyDescent="0.3">
      <c r="A16" s="78" t="s">
        <v>477</v>
      </c>
      <c r="B16" s="75" t="s">
        <v>475</v>
      </c>
      <c r="C16" s="79">
        <v>34429.949999999997</v>
      </c>
      <c r="D16" s="79"/>
      <c r="E16" s="80">
        <v>0.30275000000000002</v>
      </c>
      <c r="F16" s="81">
        <v>44890</v>
      </c>
      <c r="G16" s="81">
        <v>46767</v>
      </c>
      <c r="H16" s="82">
        <v>0.18</v>
      </c>
      <c r="I16" s="76">
        <v>50000</v>
      </c>
      <c r="J16" s="77">
        <v>40064.1</v>
      </c>
      <c r="K16" s="44">
        <v>19624.91394961792</v>
      </c>
      <c r="L16" s="77">
        <f t="shared" si="0"/>
        <v>59689.013949617918</v>
      </c>
      <c r="M16" s="164">
        <f t="shared" si="1"/>
        <v>867</v>
      </c>
      <c r="N16" s="165" t="str">
        <f>VLOOKUP(M16,T!$A$12:$C$19,3,TRUE)</f>
        <v>1-3 Years</v>
      </c>
      <c r="P16" s="44">
        <f t="shared" si="4"/>
        <v>0</v>
      </c>
      <c r="Q16" s="44">
        <f t="shared" si="4"/>
        <v>0</v>
      </c>
      <c r="R16" s="44">
        <f t="shared" si="4"/>
        <v>0</v>
      </c>
      <c r="S16" s="44">
        <f t="shared" si="4"/>
        <v>0</v>
      </c>
      <c r="T16" s="44">
        <f t="shared" si="4"/>
        <v>0</v>
      </c>
      <c r="U16" s="44">
        <f t="shared" si="4"/>
        <v>59689.013949617918</v>
      </c>
      <c r="V16" s="44">
        <f t="shared" si="4"/>
        <v>0</v>
      </c>
      <c r="W16" s="44">
        <f t="shared" si="4"/>
        <v>0</v>
      </c>
      <c r="X16" s="44">
        <f t="shared" si="3"/>
        <v>59689.013949617918</v>
      </c>
    </row>
    <row r="17" spans="1:24" x14ac:dyDescent="0.3">
      <c r="A17" s="78" t="s">
        <v>477</v>
      </c>
      <c r="B17" s="75" t="s">
        <v>475</v>
      </c>
      <c r="C17" s="79">
        <v>67998.399999999994</v>
      </c>
      <c r="D17" s="79"/>
      <c r="E17" s="80">
        <v>0.30725200000000003</v>
      </c>
      <c r="F17" s="81">
        <v>44890</v>
      </c>
      <c r="G17" s="81">
        <v>46767</v>
      </c>
      <c r="H17" s="82">
        <v>0.18</v>
      </c>
      <c r="I17" s="76">
        <v>100000</v>
      </c>
      <c r="J17" s="77">
        <v>79506.600000000006</v>
      </c>
      <c r="K17" s="44">
        <v>39872.010625789248</v>
      </c>
      <c r="L17" s="77">
        <f t="shared" si="0"/>
        <v>119378.61062578925</v>
      </c>
      <c r="M17" s="164">
        <f t="shared" si="1"/>
        <v>867</v>
      </c>
      <c r="N17" s="165" t="str">
        <f>VLOOKUP(M17,T!$A$12:$C$19,3,TRUE)</f>
        <v>1-3 Years</v>
      </c>
      <c r="P17" s="44">
        <f t="shared" si="4"/>
        <v>0</v>
      </c>
      <c r="Q17" s="44">
        <f t="shared" si="4"/>
        <v>0</v>
      </c>
      <c r="R17" s="44">
        <f t="shared" si="4"/>
        <v>0</v>
      </c>
      <c r="S17" s="44">
        <f t="shared" si="4"/>
        <v>0</v>
      </c>
      <c r="T17" s="44">
        <f t="shared" si="4"/>
        <v>0</v>
      </c>
      <c r="U17" s="44">
        <f t="shared" si="4"/>
        <v>119378.61062578925</v>
      </c>
      <c r="V17" s="44">
        <f t="shared" si="4"/>
        <v>0</v>
      </c>
      <c r="W17" s="44">
        <f t="shared" si="4"/>
        <v>0</v>
      </c>
      <c r="X17" s="44">
        <f t="shared" si="3"/>
        <v>119378.61062578925</v>
      </c>
    </row>
    <row r="18" spans="1:24" x14ac:dyDescent="0.3">
      <c r="A18" s="78" t="s">
        <v>477</v>
      </c>
      <c r="B18" s="75" t="s">
        <v>475</v>
      </c>
      <c r="C18" s="79">
        <v>99882.3</v>
      </c>
      <c r="D18" s="79"/>
      <c r="E18" s="80">
        <v>0.314753</v>
      </c>
      <c r="F18" s="81">
        <v>44889</v>
      </c>
      <c r="G18" s="81">
        <v>46767</v>
      </c>
      <c r="H18" s="82">
        <v>0.18</v>
      </c>
      <c r="I18" s="76">
        <v>150000</v>
      </c>
      <c r="J18" s="77">
        <v>117727.8</v>
      </c>
      <c r="K18" s="44">
        <v>61341.381904012604</v>
      </c>
      <c r="L18" s="77">
        <f t="shared" si="0"/>
        <v>179069.1819040126</v>
      </c>
      <c r="M18" s="164">
        <f t="shared" si="1"/>
        <v>867</v>
      </c>
      <c r="N18" s="165" t="str">
        <f>VLOOKUP(M18,T!$A$12:$C$19,3,TRUE)</f>
        <v>1-3 Years</v>
      </c>
      <c r="P18" s="44">
        <f t="shared" si="4"/>
        <v>0</v>
      </c>
      <c r="Q18" s="44">
        <f t="shared" si="4"/>
        <v>0</v>
      </c>
      <c r="R18" s="44">
        <f t="shared" si="4"/>
        <v>0</v>
      </c>
      <c r="S18" s="44">
        <f t="shared" si="4"/>
        <v>0</v>
      </c>
      <c r="T18" s="44">
        <f t="shared" si="4"/>
        <v>0</v>
      </c>
      <c r="U18" s="44">
        <f t="shared" si="4"/>
        <v>179069.1819040126</v>
      </c>
      <c r="V18" s="44">
        <f t="shared" si="4"/>
        <v>0</v>
      </c>
      <c r="W18" s="44">
        <f t="shared" si="4"/>
        <v>0</v>
      </c>
      <c r="X18" s="44">
        <f t="shared" si="3"/>
        <v>179069.1819040126</v>
      </c>
    </row>
    <row r="19" spans="1:24" x14ac:dyDescent="0.3">
      <c r="A19" s="78" t="s">
        <v>477</v>
      </c>
      <c r="B19" s="75" t="s">
        <v>476</v>
      </c>
      <c r="C19" s="79">
        <v>70718</v>
      </c>
      <c r="D19" s="79"/>
      <c r="E19" s="80">
        <v>0.30472900000000003</v>
      </c>
      <c r="F19" s="81">
        <v>44889</v>
      </c>
      <c r="G19" s="81">
        <v>47314</v>
      </c>
      <c r="H19" s="82">
        <v>0.2</v>
      </c>
      <c r="I19" s="76">
        <v>100000</v>
      </c>
      <c r="J19" s="77">
        <v>76968.100000000006</v>
      </c>
      <c r="K19" s="44">
        <v>56827.46711556962</v>
      </c>
      <c r="L19" s="77">
        <f t="shared" si="0"/>
        <v>133795.56711556963</v>
      </c>
      <c r="M19" s="164">
        <f t="shared" si="1"/>
        <v>1414</v>
      </c>
      <c r="N19" s="165" t="str">
        <f>VLOOKUP(M19,T!$A$12:$C$19,3,TRUE)</f>
        <v>3-5 Years</v>
      </c>
      <c r="P19" s="44">
        <f t="shared" si="4"/>
        <v>0</v>
      </c>
      <c r="Q19" s="44">
        <f t="shared" si="4"/>
        <v>0</v>
      </c>
      <c r="R19" s="44">
        <f t="shared" si="4"/>
        <v>0</v>
      </c>
      <c r="S19" s="44">
        <f t="shared" si="4"/>
        <v>0</v>
      </c>
      <c r="T19" s="44">
        <f t="shared" si="4"/>
        <v>0</v>
      </c>
      <c r="U19" s="44">
        <f t="shared" si="4"/>
        <v>0</v>
      </c>
      <c r="V19" s="44">
        <f t="shared" si="4"/>
        <v>133795.56711556963</v>
      </c>
      <c r="W19" s="44">
        <f t="shared" si="4"/>
        <v>0</v>
      </c>
      <c r="X19" s="44">
        <f t="shared" si="3"/>
        <v>133795.56711556963</v>
      </c>
    </row>
    <row r="20" spans="1:24" x14ac:dyDescent="0.3">
      <c r="A20" s="78" t="s">
        <v>477</v>
      </c>
      <c r="B20" s="75" t="s">
        <v>476</v>
      </c>
      <c r="C20" s="79">
        <v>34832.199999999997</v>
      </c>
      <c r="D20" s="79"/>
      <c r="E20" s="80">
        <v>0.30973000000000001</v>
      </c>
      <c r="F20" s="81">
        <v>44889</v>
      </c>
      <c r="G20" s="81">
        <v>47314</v>
      </c>
      <c r="H20" s="82">
        <v>0.2</v>
      </c>
      <c r="I20" s="76">
        <v>50000</v>
      </c>
      <c r="J20" s="77">
        <v>38031.699999999997</v>
      </c>
      <c r="K20" s="44">
        <v>28866.242350759891</v>
      </c>
      <c r="L20" s="77">
        <f t="shared" si="0"/>
        <v>66897.942350759884</v>
      </c>
      <c r="M20" s="164">
        <f t="shared" si="1"/>
        <v>1414</v>
      </c>
      <c r="N20" s="165" t="str">
        <f>VLOOKUP(M20,T!$A$12:$C$19,3,TRUE)</f>
        <v>3-5 Years</v>
      </c>
      <c r="P20" s="44">
        <f t="shared" si="4"/>
        <v>0</v>
      </c>
      <c r="Q20" s="44">
        <f t="shared" si="4"/>
        <v>0</v>
      </c>
      <c r="R20" s="44">
        <f t="shared" si="4"/>
        <v>0</v>
      </c>
      <c r="S20" s="44">
        <f t="shared" si="4"/>
        <v>0</v>
      </c>
      <c r="T20" s="44">
        <f t="shared" si="4"/>
        <v>0</v>
      </c>
      <c r="U20" s="44">
        <f t="shared" si="4"/>
        <v>0</v>
      </c>
      <c r="V20" s="44">
        <f t="shared" si="4"/>
        <v>66897.942350759884</v>
      </c>
      <c r="W20" s="44">
        <f t="shared" si="4"/>
        <v>0</v>
      </c>
      <c r="X20" s="44">
        <f t="shared" si="3"/>
        <v>66897.942350759884</v>
      </c>
    </row>
    <row r="21" spans="1:24" x14ac:dyDescent="0.3">
      <c r="A21" s="78" t="s">
        <v>477</v>
      </c>
      <c r="B21" s="75" t="s">
        <v>479</v>
      </c>
      <c r="C21" s="79">
        <v>28006.687290000002</v>
      </c>
      <c r="D21" s="79"/>
      <c r="E21" s="80">
        <v>0.31669599999999998</v>
      </c>
      <c r="F21" s="81">
        <v>44897</v>
      </c>
      <c r="G21" s="81">
        <v>46157</v>
      </c>
      <c r="H21" s="82">
        <v>0.22500000000000001</v>
      </c>
      <c r="I21" s="76">
        <v>34377.658000000003</v>
      </c>
      <c r="J21" s="77">
        <v>32454.365549999999</v>
      </c>
      <c r="K21" s="44">
        <v>5281.7092583726162</v>
      </c>
      <c r="L21" s="77">
        <f t="shared" si="0"/>
        <v>37736.074808372614</v>
      </c>
      <c r="M21" s="164">
        <f t="shared" si="1"/>
        <v>257</v>
      </c>
      <c r="N21" s="165" t="str">
        <f>VLOOKUP(M21,T!$A$12:$C$19,3,TRUE)</f>
        <v>6-12 Months</v>
      </c>
      <c r="P21" s="44">
        <f t="shared" si="4"/>
        <v>0</v>
      </c>
      <c r="Q21" s="44">
        <f t="shared" si="4"/>
        <v>0</v>
      </c>
      <c r="R21" s="44">
        <f t="shared" si="4"/>
        <v>0</v>
      </c>
      <c r="S21" s="44">
        <f t="shared" si="4"/>
        <v>0</v>
      </c>
      <c r="T21" s="44">
        <f t="shared" si="4"/>
        <v>37736.074808372614</v>
      </c>
      <c r="U21" s="44">
        <f t="shared" si="4"/>
        <v>0</v>
      </c>
      <c r="V21" s="44">
        <f t="shared" si="4"/>
        <v>0</v>
      </c>
      <c r="W21" s="44">
        <f t="shared" si="4"/>
        <v>0</v>
      </c>
      <c r="X21" s="44">
        <f t="shared" si="3"/>
        <v>37736.074808372614</v>
      </c>
    </row>
    <row r="22" spans="1:24" x14ac:dyDescent="0.3">
      <c r="A22" s="78" t="s">
        <v>477</v>
      </c>
      <c r="B22" s="75" t="s">
        <v>479</v>
      </c>
      <c r="C22" s="79">
        <v>13780.703960000001</v>
      </c>
      <c r="D22" s="79"/>
      <c r="E22" s="80">
        <v>0.31429200000000002</v>
      </c>
      <c r="F22" s="81">
        <v>44911</v>
      </c>
      <c r="G22" s="81">
        <v>46157</v>
      </c>
      <c r="H22" s="82">
        <v>0.22500000000000001</v>
      </c>
      <c r="I22" s="76">
        <v>16814</v>
      </c>
      <c r="J22" s="77">
        <v>15896.24144</v>
      </c>
      <c r="K22" s="44">
        <v>2560.219229814345</v>
      </c>
      <c r="L22" s="77">
        <f t="shared" si="0"/>
        <v>18456.460669814343</v>
      </c>
      <c r="M22" s="164">
        <f t="shared" si="1"/>
        <v>257</v>
      </c>
      <c r="N22" s="165" t="str">
        <f>VLOOKUP(M22,T!$A$12:$C$19,3,TRUE)</f>
        <v>6-12 Months</v>
      </c>
      <c r="P22" s="44">
        <f t="shared" si="4"/>
        <v>0</v>
      </c>
      <c r="Q22" s="44">
        <f t="shared" si="4"/>
        <v>0</v>
      </c>
      <c r="R22" s="44">
        <f t="shared" si="4"/>
        <v>0</v>
      </c>
      <c r="S22" s="44">
        <f t="shared" si="4"/>
        <v>0</v>
      </c>
      <c r="T22" s="44">
        <f t="shared" si="4"/>
        <v>18456.460669814343</v>
      </c>
      <c r="U22" s="44">
        <f t="shared" si="4"/>
        <v>0</v>
      </c>
      <c r="V22" s="44">
        <f t="shared" si="4"/>
        <v>0</v>
      </c>
      <c r="W22" s="44">
        <f t="shared" si="4"/>
        <v>0</v>
      </c>
      <c r="X22" s="44">
        <f t="shared" si="3"/>
        <v>18456.460669814343</v>
      </c>
    </row>
    <row r="23" spans="1:24" x14ac:dyDescent="0.3">
      <c r="A23" s="78" t="s">
        <v>477</v>
      </c>
      <c r="B23" s="75" t="s">
        <v>479</v>
      </c>
      <c r="C23" s="79">
        <v>81524.2</v>
      </c>
      <c r="D23" s="79"/>
      <c r="E23" s="80">
        <v>0.317384</v>
      </c>
      <c r="F23" s="81">
        <v>44928</v>
      </c>
      <c r="G23" s="81">
        <v>46157</v>
      </c>
      <c r="H23" s="82">
        <v>0.22500000000000001</v>
      </c>
      <c r="I23" s="76">
        <v>100000</v>
      </c>
      <c r="J23" s="77">
        <v>94366.399999999994</v>
      </c>
      <c r="K23" s="44">
        <v>15402.95109561008</v>
      </c>
      <c r="L23" s="77">
        <f t="shared" si="0"/>
        <v>109769.35109561008</v>
      </c>
      <c r="M23" s="164">
        <f t="shared" si="1"/>
        <v>257</v>
      </c>
      <c r="N23" s="165" t="str">
        <f>VLOOKUP(M23,T!$A$12:$C$19,3,TRUE)</f>
        <v>6-12 Months</v>
      </c>
      <c r="P23" s="44">
        <f t="shared" ref="P23:W32" si="5">IF(P$1=$N23,$L23,0)</f>
        <v>0</v>
      </c>
      <c r="Q23" s="44">
        <f t="shared" si="5"/>
        <v>0</v>
      </c>
      <c r="R23" s="44">
        <f t="shared" si="5"/>
        <v>0</v>
      </c>
      <c r="S23" s="44">
        <f t="shared" si="5"/>
        <v>0</v>
      </c>
      <c r="T23" s="44">
        <f t="shared" si="5"/>
        <v>109769.35109561008</v>
      </c>
      <c r="U23" s="44">
        <f t="shared" si="5"/>
        <v>0</v>
      </c>
      <c r="V23" s="44">
        <f t="shared" si="5"/>
        <v>0</v>
      </c>
      <c r="W23" s="44">
        <f t="shared" si="5"/>
        <v>0</v>
      </c>
      <c r="X23" s="44">
        <f t="shared" si="3"/>
        <v>109769.35109561008</v>
      </c>
    </row>
    <row r="24" spans="1:24" x14ac:dyDescent="0.3">
      <c r="A24" s="78" t="s">
        <v>477</v>
      </c>
      <c r="B24" s="75" t="s">
        <v>479</v>
      </c>
      <c r="C24" s="79">
        <v>81696.800000000003</v>
      </c>
      <c r="D24" s="79"/>
      <c r="E24" s="80">
        <v>0.31638500000000003</v>
      </c>
      <c r="F24" s="81">
        <v>44928</v>
      </c>
      <c r="G24" s="81">
        <v>46157</v>
      </c>
      <c r="H24" s="82">
        <v>0.22500000000000001</v>
      </c>
      <c r="I24" s="76">
        <v>100000</v>
      </c>
      <c r="J24" s="77">
        <v>94423</v>
      </c>
      <c r="K24" s="44">
        <v>15346.070614091601</v>
      </c>
      <c r="L24" s="77">
        <f t="shared" si="0"/>
        <v>109769.0706140916</v>
      </c>
      <c r="M24" s="164">
        <f t="shared" si="1"/>
        <v>257</v>
      </c>
      <c r="N24" s="165" t="str">
        <f>VLOOKUP(M24,T!$A$12:$C$19,3,TRUE)</f>
        <v>6-12 Months</v>
      </c>
      <c r="P24" s="44">
        <f t="shared" si="5"/>
        <v>0</v>
      </c>
      <c r="Q24" s="44">
        <f t="shared" si="5"/>
        <v>0</v>
      </c>
      <c r="R24" s="44">
        <f t="shared" si="5"/>
        <v>0</v>
      </c>
      <c r="S24" s="44">
        <f t="shared" si="5"/>
        <v>0</v>
      </c>
      <c r="T24" s="44">
        <f t="shared" si="5"/>
        <v>109769.0706140916</v>
      </c>
      <c r="U24" s="44">
        <f t="shared" si="5"/>
        <v>0</v>
      </c>
      <c r="V24" s="44">
        <f t="shared" si="5"/>
        <v>0</v>
      </c>
      <c r="W24" s="44">
        <f t="shared" si="5"/>
        <v>0</v>
      </c>
      <c r="X24" s="44">
        <f t="shared" si="3"/>
        <v>109769.0706140916</v>
      </c>
    </row>
    <row r="25" spans="1:24" x14ac:dyDescent="0.3">
      <c r="A25" s="78" t="s">
        <v>477</v>
      </c>
      <c r="B25" s="75" t="s">
        <v>479</v>
      </c>
      <c r="C25" s="79">
        <v>82043.5</v>
      </c>
      <c r="D25" s="79"/>
      <c r="E25" s="80">
        <v>0.314386</v>
      </c>
      <c r="F25" s="81">
        <v>44928</v>
      </c>
      <c r="G25" s="81">
        <v>46157</v>
      </c>
      <c r="H25" s="82">
        <v>0.22500000000000001</v>
      </c>
      <c r="I25" s="76">
        <v>100000</v>
      </c>
      <c r="J25" s="77">
        <v>94536.4</v>
      </c>
      <c r="K25" s="44">
        <v>15232.07737839167</v>
      </c>
      <c r="L25" s="77">
        <f t="shared" si="0"/>
        <v>109768.47737839166</v>
      </c>
      <c r="M25" s="164">
        <f t="shared" si="1"/>
        <v>257</v>
      </c>
      <c r="N25" s="165" t="str">
        <f>VLOOKUP(M25,T!$A$12:$C$19,3,TRUE)</f>
        <v>6-12 Months</v>
      </c>
      <c r="P25" s="44">
        <f t="shared" si="5"/>
        <v>0</v>
      </c>
      <c r="Q25" s="44">
        <f t="shared" si="5"/>
        <v>0</v>
      </c>
      <c r="R25" s="44">
        <f t="shared" si="5"/>
        <v>0</v>
      </c>
      <c r="S25" s="44">
        <f t="shared" si="5"/>
        <v>0</v>
      </c>
      <c r="T25" s="44">
        <f t="shared" si="5"/>
        <v>109768.47737839166</v>
      </c>
      <c r="U25" s="44">
        <f t="shared" si="5"/>
        <v>0</v>
      </c>
      <c r="V25" s="44">
        <f t="shared" si="5"/>
        <v>0</v>
      </c>
      <c r="W25" s="44">
        <f t="shared" si="5"/>
        <v>0</v>
      </c>
      <c r="X25" s="44">
        <f t="shared" si="3"/>
        <v>109768.47737839166</v>
      </c>
    </row>
    <row r="26" spans="1:24" x14ac:dyDescent="0.3">
      <c r="A26" s="78" t="s">
        <v>477</v>
      </c>
      <c r="B26" s="75" t="s">
        <v>479</v>
      </c>
      <c r="C26" s="79">
        <v>81869.899999999994</v>
      </c>
      <c r="D26" s="79"/>
      <c r="E26" s="80">
        <v>0.31538500000000003</v>
      </c>
      <c r="F26" s="81">
        <v>44928</v>
      </c>
      <c r="G26" s="81">
        <v>46157</v>
      </c>
      <c r="H26" s="82">
        <v>0.22500000000000001</v>
      </c>
      <c r="I26" s="76">
        <v>100000</v>
      </c>
      <c r="J26" s="77">
        <v>94479.7</v>
      </c>
      <c r="K26" s="44">
        <v>15289.07473961118</v>
      </c>
      <c r="L26" s="77">
        <f t="shared" si="0"/>
        <v>109768.77473961118</v>
      </c>
      <c r="M26" s="164">
        <f t="shared" si="1"/>
        <v>257</v>
      </c>
      <c r="N26" s="165" t="str">
        <f>VLOOKUP(M26,T!$A$12:$C$19,3,TRUE)</f>
        <v>6-12 Months</v>
      </c>
      <c r="P26" s="44">
        <f t="shared" si="5"/>
        <v>0</v>
      </c>
      <c r="Q26" s="44">
        <f t="shared" si="5"/>
        <v>0</v>
      </c>
      <c r="R26" s="44">
        <f t="shared" si="5"/>
        <v>0</v>
      </c>
      <c r="S26" s="44">
        <f t="shared" si="5"/>
        <v>0</v>
      </c>
      <c r="T26" s="44">
        <f t="shared" si="5"/>
        <v>109768.77473961118</v>
      </c>
      <c r="U26" s="44">
        <f t="shared" si="5"/>
        <v>0</v>
      </c>
      <c r="V26" s="44">
        <f t="shared" si="5"/>
        <v>0</v>
      </c>
      <c r="W26" s="44">
        <f t="shared" si="5"/>
        <v>0</v>
      </c>
      <c r="X26" s="44">
        <f t="shared" si="3"/>
        <v>109768.77473961118</v>
      </c>
    </row>
    <row r="27" spans="1:24" x14ac:dyDescent="0.3">
      <c r="A27" s="78" t="s">
        <v>477</v>
      </c>
      <c r="B27" s="75" t="s">
        <v>479</v>
      </c>
      <c r="C27" s="79">
        <v>209507.25</v>
      </c>
      <c r="D27" s="79"/>
      <c r="E27" s="80">
        <v>0.30468400000000001</v>
      </c>
      <c r="F27" s="81">
        <v>44936</v>
      </c>
      <c r="G27" s="81">
        <v>46157</v>
      </c>
      <c r="H27" s="82">
        <v>0.22500000000000001</v>
      </c>
      <c r="I27" s="76">
        <v>250000</v>
      </c>
      <c r="J27" s="77">
        <v>237725.25</v>
      </c>
      <c r="K27" s="44">
        <v>36688.693887500653</v>
      </c>
      <c r="L27" s="77">
        <f t="shared" si="0"/>
        <v>274413.94388750067</v>
      </c>
      <c r="M27" s="164">
        <f t="shared" si="1"/>
        <v>257</v>
      </c>
      <c r="N27" s="165" t="str">
        <f>VLOOKUP(M27,T!$A$12:$C$19,3,TRUE)</f>
        <v>6-12 Months</v>
      </c>
      <c r="P27" s="44">
        <f t="shared" si="5"/>
        <v>0</v>
      </c>
      <c r="Q27" s="44">
        <f t="shared" si="5"/>
        <v>0</v>
      </c>
      <c r="R27" s="44">
        <f t="shared" si="5"/>
        <v>0</v>
      </c>
      <c r="S27" s="44">
        <f t="shared" si="5"/>
        <v>0</v>
      </c>
      <c r="T27" s="44">
        <f t="shared" si="5"/>
        <v>274413.94388750067</v>
      </c>
      <c r="U27" s="44">
        <f t="shared" si="5"/>
        <v>0</v>
      </c>
      <c r="V27" s="44">
        <f t="shared" si="5"/>
        <v>0</v>
      </c>
      <c r="W27" s="44">
        <f t="shared" si="5"/>
        <v>0</v>
      </c>
      <c r="X27" s="44">
        <f t="shared" si="3"/>
        <v>274413.94388750067</v>
      </c>
    </row>
    <row r="28" spans="1:24" x14ac:dyDescent="0.3">
      <c r="A28" s="78" t="s">
        <v>477</v>
      </c>
      <c r="B28" s="75" t="s">
        <v>479</v>
      </c>
      <c r="C28" s="79">
        <v>130954.5</v>
      </c>
      <c r="D28" s="79"/>
      <c r="E28" s="80">
        <v>0.28617999999999999</v>
      </c>
      <c r="F28" s="81">
        <v>44956</v>
      </c>
      <c r="G28" s="81">
        <v>46157</v>
      </c>
      <c r="H28" s="82">
        <v>0.22500000000000001</v>
      </c>
      <c r="I28" s="76">
        <v>150000</v>
      </c>
      <c r="J28" s="77">
        <v>144242.4</v>
      </c>
      <c r="K28" s="44">
        <v>20397.473804506211</v>
      </c>
      <c r="L28" s="77">
        <f t="shared" si="0"/>
        <v>164639.87380450621</v>
      </c>
      <c r="M28" s="164">
        <f t="shared" si="1"/>
        <v>257</v>
      </c>
      <c r="N28" s="165" t="str">
        <f>VLOOKUP(M28,T!$A$12:$C$19,3,TRUE)</f>
        <v>6-12 Months</v>
      </c>
      <c r="P28" s="44">
        <f t="shared" si="5"/>
        <v>0</v>
      </c>
      <c r="Q28" s="44">
        <f t="shared" si="5"/>
        <v>0</v>
      </c>
      <c r="R28" s="44">
        <f t="shared" si="5"/>
        <v>0</v>
      </c>
      <c r="S28" s="44">
        <f t="shared" si="5"/>
        <v>0</v>
      </c>
      <c r="T28" s="44">
        <f t="shared" si="5"/>
        <v>164639.87380450621</v>
      </c>
      <c r="U28" s="44">
        <f t="shared" si="5"/>
        <v>0</v>
      </c>
      <c r="V28" s="44">
        <f t="shared" si="5"/>
        <v>0</v>
      </c>
      <c r="W28" s="44">
        <f t="shared" si="5"/>
        <v>0</v>
      </c>
      <c r="X28" s="44">
        <f t="shared" si="3"/>
        <v>164639.87380450621</v>
      </c>
    </row>
    <row r="29" spans="1:24" x14ac:dyDescent="0.3">
      <c r="A29" s="78" t="s">
        <v>477</v>
      </c>
      <c r="B29" s="75" t="s">
        <v>479</v>
      </c>
      <c r="C29" s="79">
        <v>218117.25</v>
      </c>
      <c r="D29" s="79"/>
      <c r="E29" s="80">
        <v>0.28648000000000001</v>
      </c>
      <c r="F29" s="81">
        <v>44956</v>
      </c>
      <c r="G29" s="81">
        <v>46157</v>
      </c>
      <c r="H29" s="82">
        <v>0.22500000000000001</v>
      </c>
      <c r="I29" s="76">
        <v>250000</v>
      </c>
      <c r="J29" s="77">
        <v>240360.25</v>
      </c>
      <c r="K29" s="44">
        <v>34039.862524799697</v>
      </c>
      <c r="L29" s="77">
        <f t="shared" si="0"/>
        <v>274400.11252479971</v>
      </c>
      <c r="M29" s="164">
        <f t="shared" si="1"/>
        <v>257</v>
      </c>
      <c r="N29" s="165" t="str">
        <f>VLOOKUP(M29,T!$A$12:$C$19,3,TRUE)</f>
        <v>6-12 Months</v>
      </c>
      <c r="P29" s="44">
        <f t="shared" si="5"/>
        <v>0</v>
      </c>
      <c r="Q29" s="44">
        <f t="shared" si="5"/>
        <v>0</v>
      </c>
      <c r="R29" s="44">
        <f t="shared" si="5"/>
        <v>0</v>
      </c>
      <c r="S29" s="44">
        <f t="shared" si="5"/>
        <v>0</v>
      </c>
      <c r="T29" s="44">
        <f t="shared" si="5"/>
        <v>274400.11252479971</v>
      </c>
      <c r="U29" s="44">
        <f t="shared" si="5"/>
        <v>0</v>
      </c>
      <c r="V29" s="44">
        <f t="shared" si="5"/>
        <v>0</v>
      </c>
      <c r="W29" s="44">
        <f t="shared" si="5"/>
        <v>0</v>
      </c>
      <c r="X29" s="44">
        <f t="shared" si="3"/>
        <v>274400.11252479971</v>
      </c>
    </row>
    <row r="30" spans="1:24" x14ac:dyDescent="0.3">
      <c r="A30" s="78" t="s">
        <v>477</v>
      </c>
      <c r="B30" s="75" t="s">
        <v>480</v>
      </c>
      <c r="C30" s="79">
        <v>73131.899999999994</v>
      </c>
      <c r="D30" s="79"/>
      <c r="E30" s="80">
        <v>0.29416300000000001</v>
      </c>
      <c r="F30" s="81">
        <v>44958</v>
      </c>
      <c r="G30" s="81">
        <v>46508</v>
      </c>
      <c r="H30" s="82">
        <v>0.18</v>
      </c>
      <c r="I30" s="76">
        <v>100000</v>
      </c>
      <c r="J30" s="77">
        <v>85642</v>
      </c>
      <c r="K30" s="44">
        <v>29102.950074678061</v>
      </c>
      <c r="L30" s="77">
        <f t="shared" si="0"/>
        <v>114744.95007467805</v>
      </c>
      <c r="M30" s="164">
        <f t="shared" si="1"/>
        <v>608</v>
      </c>
      <c r="N30" s="165" t="str">
        <f>VLOOKUP(M30,T!$A$12:$C$19,3,TRUE)</f>
        <v>1-3 Years</v>
      </c>
      <c r="P30" s="44">
        <f t="shared" si="5"/>
        <v>0</v>
      </c>
      <c r="Q30" s="44">
        <f t="shared" si="5"/>
        <v>0</v>
      </c>
      <c r="R30" s="44">
        <f t="shared" si="5"/>
        <v>0</v>
      </c>
      <c r="S30" s="44">
        <f t="shared" si="5"/>
        <v>0</v>
      </c>
      <c r="T30" s="44">
        <f t="shared" si="5"/>
        <v>0</v>
      </c>
      <c r="U30" s="44">
        <f t="shared" si="5"/>
        <v>114744.95007467805</v>
      </c>
      <c r="V30" s="44">
        <f t="shared" si="5"/>
        <v>0</v>
      </c>
      <c r="W30" s="44">
        <f t="shared" si="5"/>
        <v>0</v>
      </c>
      <c r="X30" s="44">
        <f t="shared" si="3"/>
        <v>114744.95007467805</v>
      </c>
    </row>
    <row r="31" spans="1:24" x14ac:dyDescent="0.3">
      <c r="A31" s="78" t="s">
        <v>477</v>
      </c>
      <c r="B31" s="75" t="s">
        <v>480</v>
      </c>
      <c r="C31" s="79">
        <v>74082.5</v>
      </c>
      <c r="D31" s="79"/>
      <c r="E31" s="80">
        <v>0.28916500000000001</v>
      </c>
      <c r="F31" s="81">
        <v>44958</v>
      </c>
      <c r="G31" s="81">
        <v>46508</v>
      </c>
      <c r="H31" s="82">
        <v>0.18</v>
      </c>
      <c r="I31" s="76">
        <v>100000</v>
      </c>
      <c r="J31" s="77">
        <v>86205.8</v>
      </c>
      <c r="K31" s="44">
        <v>28538.16929757057</v>
      </c>
      <c r="L31" s="77">
        <f t="shared" si="0"/>
        <v>114743.96929757057</v>
      </c>
      <c r="M31" s="164">
        <f t="shared" si="1"/>
        <v>608</v>
      </c>
      <c r="N31" s="165" t="str">
        <f>VLOOKUP(M31,T!$A$12:$C$19,3,TRUE)</f>
        <v>1-3 Years</v>
      </c>
      <c r="P31" s="44">
        <f t="shared" si="5"/>
        <v>0</v>
      </c>
      <c r="Q31" s="44">
        <f t="shared" si="5"/>
        <v>0</v>
      </c>
      <c r="R31" s="44">
        <f t="shared" si="5"/>
        <v>0</v>
      </c>
      <c r="S31" s="44">
        <f t="shared" si="5"/>
        <v>0</v>
      </c>
      <c r="T31" s="44">
        <f t="shared" si="5"/>
        <v>0</v>
      </c>
      <c r="U31" s="44">
        <f t="shared" si="5"/>
        <v>114743.96929757057</v>
      </c>
      <c r="V31" s="44">
        <f t="shared" si="5"/>
        <v>0</v>
      </c>
      <c r="W31" s="44">
        <f t="shared" si="5"/>
        <v>0</v>
      </c>
      <c r="X31" s="44">
        <f t="shared" si="3"/>
        <v>114743.96929757057</v>
      </c>
    </row>
    <row r="32" spans="1:24" x14ac:dyDescent="0.3">
      <c r="A32" s="78" t="s">
        <v>477</v>
      </c>
      <c r="B32" s="75" t="s">
        <v>480</v>
      </c>
      <c r="C32" s="79">
        <v>73700.2</v>
      </c>
      <c r="D32" s="79"/>
      <c r="E32" s="80">
        <v>0.29116399999999998</v>
      </c>
      <c r="F32" s="81">
        <v>44958</v>
      </c>
      <c r="G32" s="81">
        <v>46508</v>
      </c>
      <c r="H32" s="82">
        <v>0.18</v>
      </c>
      <c r="I32" s="76">
        <v>100000</v>
      </c>
      <c r="J32" s="77">
        <v>85979.7</v>
      </c>
      <c r="K32" s="44">
        <v>28764.674676342682</v>
      </c>
      <c r="L32" s="77">
        <f t="shared" si="0"/>
        <v>114744.37467634268</v>
      </c>
      <c r="M32" s="164">
        <f t="shared" si="1"/>
        <v>608</v>
      </c>
      <c r="N32" s="165" t="str">
        <f>VLOOKUP(M32,T!$A$12:$C$19,3,TRUE)</f>
        <v>1-3 Years</v>
      </c>
      <c r="P32" s="44">
        <f t="shared" si="5"/>
        <v>0</v>
      </c>
      <c r="Q32" s="44">
        <f t="shared" si="5"/>
        <v>0</v>
      </c>
      <c r="R32" s="44">
        <f t="shared" si="5"/>
        <v>0</v>
      </c>
      <c r="S32" s="44">
        <f t="shared" si="5"/>
        <v>0</v>
      </c>
      <c r="T32" s="44">
        <f t="shared" si="5"/>
        <v>0</v>
      </c>
      <c r="U32" s="44">
        <f t="shared" si="5"/>
        <v>114744.37467634268</v>
      </c>
      <c r="V32" s="44">
        <f t="shared" si="5"/>
        <v>0</v>
      </c>
      <c r="W32" s="44">
        <f t="shared" si="5"/>
        <v>0</v>
      </c>
      <c r="X32" s="44">
        <f t="shared" si="3"/>
        <v>114744.37467634268</v>
      </c>
    </row>
    <row r="33" spans="1:24" x14ac:dyDescent="0.3">
      <c r="A33" s="78" t="s">
        <v>477</v>
      </c>
      <c r="B33" s="75" t="s">
        <v>480</v>
      </c>
      <c r="C33" s="79">
        <v>73320.600000000006</v>
      </c>
      <c r="D33" s="79"/>
      <c r="E33" s="80">
        <v>0.29316300000000001</v>
      </c>
      <c r="F33" s="81">
        <v>44958</v>
      </c>
      <c r="G33" s="81">
        <v>46508</v>
      </c>
      <c r="H33" s="82">
        <v>0.18</v>
      </c>
      <c r="I33" s="76">
        <v>100000</v>
      </c>
      <c r="J33" s="77">
        <v>85754.4</v>
      </c>
      <c r="K33" s="44">
        <v>28990.358677080359</v>
      </c>
      <c r="L33" s="77">
        <f t="shared" si="0"/>
        <v>114744.75867708036</v>
      </c>
      <c r="M33" s="164">
        <f t="shared" si="1"/>
        <v>608</v>
      </c>
      <c r="N33" s="165" t="str">
        <f>VLOOKUP(M33,T!$A$12:$C$19,3,TRUE)</f>
        <v>1-3 Years</v>
      </c>
      <c r="P33" s="44">
        <f t="shared" ref="P33:W45" si="6">IF(P$1=$N33,$L33,0)</f>
        <v>0</v>
      </c>
      <c r="Q33" s="44">
        <f t="shared" si="6"/>
        <v>0</v>
      </c>
      <c r="R33" s="44">
        <f t="shared" si="6"/>
        <v>0</v>
      </c>
      <c r="S33" s="44">
        <f t="shared" si="6"/>
        <v>0</v>
      </c>
      <c r="T33" s="44">
        <f t="shared" si="6"/>
        <v>0</v>
      </c>
      <c r="U33" s="44">
        <f t="shared" si="6"/>
        <v>114744.75867708036</v>
      </c>
      <c r="V33" s="44">
        <f t="shared" si="6"/>
        <v>0</v>
      </c>
      <c r="W33" s="44">
        <f t="shared" si="6"/>
        <v>0</v>
      </c>
      <c r="X33" s="44">
        <f t="shared" si="3"/>
        <v>114744.75867708036</v>
      </c>
    </row>
    <row r="34" spans="1:24" x14ac:dyDescent="0.3">
      <c r="A34" s="78" t="s">
        <v>477</v>
      </c>
      <c r="B34" s="75" t="s">
        <v>480</v>
      </c>
      <c r="C34" s="79">
        <v>73510.100000000006</v>
      </c>
      <c r="D34" s="79"/>
      <c r="E34" s="80">
        <v>0.29216300000000001</v>
      </c>
      <c r="F34" s="81">
        <v>44958</v>
      </c>
      <c r="G34" s="81">
        <v>46508</v>
      </c>
      <c r="H34" s="82">
        <v>0.18</v>
      </c>
      <c r="I34" s="76">
        <v>100000</v>
      </c>
      <c r="J34" s="77">
        <v>85867</v>
      </c>
      <c r="K34" s="44">
        <v>28877.562665566449</v>
      </c>
      <c r="L34" s="77">
        <f t="shared" si="0"/>
        <v>114744.56266556645</v>
      </c>
      <c r="M34" s="164">
        <f t="shared" si="1"/>
        <v>608</v>
      </c>
      <c r="N34" s="165" t="str">
        <f>VLOOKUP(M34,T!$A$12:$C$19,3,TRUE)</f>
        <v>1-3 Years</v>
      </c>
      <c r="P34" s="44">
        <f t="shared" si="6"/>
        <v>0</v>
      </c>
      <c r="Q34" s="44">
        <f t="shared" si="6"/>
        <v>0</v>
      </c>
      <c r="R34" s="44">
        <f t="shared" si="6"/>
        <v>0</v>
      </c>
      <c r="S34" s="44">
        <f t="shared" si="6"/>
        <v>0</v>
      </c>
      <c r="T34" s="44">
        <f t="shared" si="6"/>
        <v>0</v>
      </c>
      <c r="U34" s="44">
        <f t="shared" si="6"/>
        <v>114744.56266556645</v>
      </c>
      <c r="V34" s="44">
        <f t="shared" si="6"/>
        <v>0</v>
      </c>
      <c r="W34" s="44">
        <f t="shared" si="6"/>
        <v>0</v>
      </c>
      <c r="X34" s="44">
        <f t="shared" si="3"/>
        <v>114744.56266556645</v>
      </c>
    </row>
    <row r="35" spans="1:24" x14ac:dyDescent="0.3">
      <c r="A35" s="78" t="s">
        <v>477</v>
      </c>
      <c r="B35" s="75" t="s">
        <v>480</v>
      </c>
      <c r="C35" s="79">
        <v>73891</v>
      </c>
      <c r="D35" s="79"/>
      <c r="E35" s="80">
        <v>0.290163</v>
      </c>
      <c r="F35" s="81">
        <v>44958</v>
      </c>
      <c r="G35" s="81">
        <v>46508</v>
      </c>
      <c r="H35" s="82">
        <v>0.18</v>
      </c>
      <c r="I35" s="76">
        <v>100000</v>
      </c>
      <c r="J35" s="77">
        <v>86092.800000000003</v>
      </c>
      <c r="K35" s="44">
        <v>28651.3549295886</v>
      </c>
      <c r="L35" s="77">
        <f t="shared" si="0"/>
        <v>114744.15492958861</v>
      </c>
      <c r="M35" s="164">
        <f t="shared" si="1"/>
        <v>608</v>
      </c>
      <c r="N35" s="165" t="str">
        <f>VLOOKUP(M35,T!$A$12:$C$19,3,TRUE)</f>
        <v>1-3 Years</v>
      </c>
      <c r="P35" s="44">
        <f t="shared" si="6"/>
        <v>0</v>
      </c>
      <c r="Q35" s="44">
        <f t="shared" si="6"/>
        <v>0</v>
      </c>
      <c r="R35" s="44">
        <f t="shared" si="6"/>
        <v>0</v>
      </c>
      <c r="S35" s="44">
        <f t="shared" si="6"/>
        <v>0</v>
      </c>
      <c r="T35" s="44">
        <f t="shared" si="6"/>
        <v>0</v>
      </c>
      <c r="U35" s="44">
        <f t="shared" si="6"/>
        <v>114744.15492958861</v>
      </c>
      <c r="V35" s="44">
        <f t="shared" si="6"/>
        <v>0</v>
      </c>
      <c r="W35" s="44">
        <f t="shared" si="6"/>
        <v>0</v>
      </c>
      <c r="X35" s="44">
        <f t="shared" si="3"/>
        <v>114744.15492958861</v>
      </c>
    </row>
    <row r="36" spans="1:24" x14ac:dyDescent="0.3">
      <c r="A36" s="78" t="s">
        <v>477</v>
      </c>
      <c r="B36" s="75" t="s">
        <v>479</v>
      </c>
      <c r="C36" s="79">
        <v>214339.75</v>
      </c>
      <c r="D36" s="79"/>
      <c r="E36" s="80">
        <v>0.29477599999999998</v>
      </c>
      <c r="F36" s="81">
        <v>44959</v>
      </c>
      <c r="G36" s="81">
        <v>46157</v>
      </c>
      <c r="H36" s="82">
        <v>0.22500000000000001</v>
      </c>
      <c r="I36" s="76">
        <v>250000</v>
      </c>
      <c r="J36" s="77">
        <v>239153.25</v>
      </c>
      <c r="K36" s="44">
        <v>35253.19694716933</v>
      </c>
      <c r="L36" s="77">
        <f t="shared" si="0"/>
        <v>274406.44694716932</v>
      </c>
      <c r="M36" s="164">
        <f t="shared" si="1"/>
        <v>257</v>
      </c>
      <c r="N36" s="165" t="str">
        <f>VLOOKUP(M36,T!$A$12:$C$19,3,TRUE)</f>
        <v>6-12 Months</v>
      </c>
      <c r="P36" s="44">
        <f t="shared" si="6"/>
        <v>0</v>
      </c>
      <c r="Q36" s="44">
        <f t="shared" si="6"/>
        <v>0</v>
      </c>
      <c r="R36" s="44">
        <f t="shared" si="6"/>
        <v>0</v>
      </c>
      <c r="S36" s="44">
        <f t="shared" si="6"/>
        <v>0</v>
      </c>
      <c r="T36" s="44">
        <f t="shared" si="6"/>
        <v>274406.44694716932</v>
      </c>
      <c r="U36" s="44">
        <f t="shared" si="6"/>
        <v>0</v>
      </c>
      <c r="V36" s="44">
        <f t="shared" si="6"/>
        <v>0</v>
      </c>
      <c r="W36" s="44">
        <f t="shared" si="6"/>
        <v>0</v>
      </c>
      <c r="X36" s="44">
        <f t="shared" si="3"/>
        <v>274406.44694716932</v>
      </c>
    </row>
    <row r="37" spans="1:24" x14ac:dyDescent="0.3">
      <c r="A37" s="78" t="s">
        <v>477</v>
      </c>
      <c r="B37" s="75" t="s">
        <v>481</v>
      </c>
      <c r="C37" s="79">
        <v>38821.699999999997</v>
      </c>
      <c r="D37" s="79"/>
      <c r="E37" s="80">
        <v>0.29064800000000002</v>
      </c>
      <c r="F37" s="81">
        <v>44964</v>
      </c>
      <c r="G37" s="81">
        <v>46645</v>
      </c>
      <c r="H37" s="82">
        <v>0.2</v>
      </c>
      <c r="I37" s="76">
        <v>50000</v>
      </c>
      <c r="J37" s="77">
        <v>43362.45</v>
      </c>
      <c r="K37" s="44">
        <v>17142.999992357119</v>
      </c>
      <c r="L37" s="77">
        <f t="shared" si="0"/>
        <v>60505.449992357113</v>
      </c>
      <c r="M37" s="164">
        <f t="shared" si="1"/>
        <v>745</v>
      </c>
      <c r="N37" s="165" t="str">
        <f>VLOOKUP(M37,T!$A$12:$C$19,3,TRUE)</f>
        <v>1-3 Years</v>
      </c>
      <c r="P37" s="44">
        <f t="shared" si="6"/>
        <v>0</v>
      </c>
      <c r="Q37" s="44">
        <f t="shared" si="6"/>
        <v>0</v>
      </c>
      <c r="R37" s="44">
        <f t="shared" si="6"/>
        <v>0</v>
      </c>
      <c r="S37" s="44">
        <f t="shared" si="6"/>
        <v>0</v>
      </c>
      <c r="T37" s="44">
        <f t="shared" si="6"/>
        <v>0</v>
      </c>
      <c r="U37" s="44">
        <f t="shared" si="6"/>
        <v>60505.449992357113</v>
      </c>
      <c r="V37" s="44">
        <f t="shared" si="6"/>
        <v>0</v>
      </c>
      <c r="W37" s="44">
        <f t="shared" si="6"/>
        <v>0</v>
      </c>
      <c r="X37" s="44">
        <f t="shared" si="3"/>
        <v>60505.449992357113</v>
      </c>
    </row>
    <row r="38" spans="1:24" x14ac:dyDescent="0.3">
      <c r="A38" s="78" t="s">
        <v>477</v>
      </c>
      <c r="B38" s="75" t="s">
        <v>480</v>
      </c>
      <c r="C38" s="79">
        <v>110690.1</v>
      </c>
      <c r="D38" s="79"/>
      <c r="E38" s="80">
        <v>0.29096</v>
      </c>
      <c r="F38" s="81">
        <v>44964</v>
      </c>
      <c r="G38" s="81">
        <v>46508</v>
      </c>
      <c r="H38" s="82">
        <v>0.18</v>
      </c>
      <c r="I38" s="76">
        <v>150000</v>
      </c>
      <c r="J38" s="77">
        <v>129004.05</v>
      </c>
      <c r="K38" s="44">
        <v>43112.39590113717</v>
      </c>
      <c r="L38" s="77">
        <f t="shared" si="0"/>
        <v>172116.44590113717</v>
      </c>
      <c r="M38" s="164">
        <f t="shared" si="1"/>
        <v>608</v>
      </c>
      <c r="N38" s="165" t="str">
        <f>VLOOKUP(M38,T!$A$12:$C$19,3,TRUE)</f>
        <v>1-3 Years</v>
      </c>
      <c r="P38" s="44">
        <f t="shared" si="6"/>
        <v>0</v>
      </c>
      <c r="Q38" s="44">
        <f t="shared" si="6"/>
        <v>0</v>
      </c>
      <c r="R38" s="44">
        <f t="shared" si="6"/>
        <v>0</v>
      </c>
      <c r="S38" s="44">
        <f t="shared" si="6"/>
        <v>0</v>
      </c>
      <c r="T38" s="44">
        <f t="shared" si="6"/>
        <v>0</v>
      </c>
      <c r="U38" s="44">
        <f t="shared" si="6"/>
        <v>172116.44590113717</v>
      </c>
      <c r="V38" s="44">
        <f t="shared" si="6"/>
        <v>0</v>
      </c>
      <c r="W38" s="44">
        <f t="shared" si="6"/>
        <v>0</v>
      </c>
      <c r="X38" s="44">
        <f t="shared" si="3"/>
        <v>172116.44590113717</v>
      </c>
    </row>
    <row r="39" spans="1:24" x14ac:dyDescent="0.3">
      <c r="A39" s="78" t="s">
        <v>477</v>
      </c>
      <c r="B39" s="75" t="s">
        <v>480</v>
      </c>
      <c r="C39" s="79">
        <v>221551.5</v>
      </c>
      <c r="D39" s="79"/>
      <c r="E39" s="80">
        <v>0.290661</v>
      </c>
      <c r="F39" s="81">
        <v>44964</v>
      </c>
      <c r="G39" s="81">
        <v>46508</v>
      </c>
      <c r="H39" s="82">
        <v>0.18</v>
      </c>
      <c r="I39" s="76">
        <v>300000</v>
      </c>
      <c r="J39" s="77">
        <v>258109.5</v>
      </c>
      <c r="K39" s="44">
        <v>86123.272681742048</v>
      </c>
      <c r="L39" s="77">
        <f t="shared" si="0"/>
        <v>344232.77268174203</v>
      </c>
      <c r="M39" s="164">
        <f t="shared" si="1"/>
        <v>608</v>
      </c>
      <c r="N39" s="165" t="str">
        <f>VLOOKUP(M39,T!$A$12:$C$19,3,TRUE)</f>
        <v>1-3 Years</v>
      </c>
      <c r="P39" s="44">
        <f t="shared" si="6"/>
        <v>0</v>
      </c>
      <c r="Q39" s="44">
        <f t="shared" si="6"/>
        <v>0</v>
      </c>
      <c r="R39" s="44">
        <f t="shared" si="6"/>
        <v>0</v>
      </c>
      <c r="S39" s="44">
        <f t="shared" si="6"/>
        <v>0</v>
      </c>
      <c r="T39" s="44">
        <f t="shared" si="6"/>
        <v>0</v>
      </c>
      <c r="U39" s="44">
        <f t="shared" si="6"/>
        <v>344232.77268174203</v>
      </c>
      <c r="V39" s="44">
        <f t="shared" si="6"/>
        <v>0</v>
      </c>
      <c r="W39" s="44">
        <f t="shared" si="6"/>
        <v>0</v>
      </c>
      <c r="X39" s="44">
        <f t="shared" si="3"/>
        <v>344232.77268174203</v>
      </c>
    </row>
    <row r="40" spans="1:24" x14ac:dyDescent="0.3">
      <c r="A40" s="78" t="s">
        <v>477</v>
      </c>
      <c r="B40" s="75" t="s">
        <v>481</v>
      </c>
      <c r="C40" s="79">
        <v>77531.5</v>
      </c>
      <c r="D40" s="79"/>
      <c r="E40" s="80">
        <v>0.29164000000000001</v>
      </c>
      <c r="F40" s="81">
        <v>44974</v>
      </c>
      <c r="G40" s="81">
        <v>46645</v>
      </c>
      <c r="H40" s="82">
        <v>0.2</v>
      </c>
      <c r="I40" s="76">
        <v>100000</v>
      </c>
      <c r="J40" s="77">
        <v>86593.7</v>
      </c>
      <c r="K40" s="44">
        <v>34417.499997900588</v>
      </c>
      <c r="L40" s="77">
        <f t="shared" si="0"/>
        <v>121011.19999790058</v>
      </c>
      <c r="M40" s="164">
        <f t="shared" si="1"/>
        <v>745</v>
      </c>
      <c r="N40" s="165" t="str">
        <f>VLOOKUP(M40,T!$A$12:$C$19,3,TRUE)</f>
        <v>1-3 Years</v>
      </c>
      <c r="P40" s="44">
        <f t="shared" si="6"/>
        <v>0</v>
      </c>
      <c r="Q40" s="44">
        <f t="shared" si="6"/>
        <v>0</v>
      </c>
      <c r="R40" s="44">
        <f t="shared" si="6"/>
        <v>0</v>
      </c>
      <c r="S40" s="44">
        <f t="shared" si="6"/>
        <v>0</v>
      </c>
      <c r="T40" s="44">
        <f t="shared" si="6"/>
        <v>0</v>
      </c>
      <c r="U40" s="44">
        <f t="shared" si="6"/>
        <v>121011.19999790058</v>
      </c>
      <c r="V40" s="44">
        <f t="shared" si="6"/>
        <v>0</v>
      </c>
      <c r="W40" s="44">
        <f t="shared" si="6"/>
        <v>0</v>
      </c>
      <c r="X40" s="44">
        <f t="shared" si="3"/>
        <v>121011.19999790058</v>
      </c>
    </row>
    <row r="41" spans="1:24" x14ac:dyDescent="0.3">
      <c r="A41" s="78" t="s">
        <v>477</v>
      </c>
      <c r="B41" s="75" t="s">
        <v>481</v>
      </c>
      <c r="C41" s="79">
        <v>116415.9</v>
      </c>
      <c r="D41" s="79"/>
      <c r="E41" s="80">
        <v>0.29143799999999997</v>
      </c>
      <c r="F41" s="81">
        <v>44978</v>
      </c>
      <c r="G41" s="81">
        <v>46645</v>
      </c>
      <c r="H41" s="82">
        <v>0.2</v>
      </c>
      <c r="I41" s="76">
        <v>150000</v>
      </c>
      <c r="J41" s="77">
        <v>129930.6</v>
      </c>
      <c r="K41" s="44">
        <v>51586.117436735061</v>
      </c>
      <c r="L41" s="77">
        <f t="shared" si="0"/>
        <v>181516.71743673505</v>
      </c>
      <c r="M41" s="164">
        <f t="shared" si="1"/>
        <v>745</v>
      </c>
      <c r="N41" s="165" t="str">
        <f>VLOOKUP(M41,T!$A$12:$C$19,3,TRUE)</f>
        <v>1-3 Years</v>
      </c>
      <c r="P41" s="44">
        <f t="shared" si="6"/>
        <v>0</v>
      </c>
      <c r="Q41" s="44">
        <f t="shared" si="6"/>
        <v>0</v>
      </c>
      <c r="R41" s="44">
        <f t="shared" si="6"/>
        <v>0</v>
      </c>
      <c r="S41" s="44">
        <f t="shared" si="6"/>
        <v>0</v>
      </c>
      <c r="T41" s="44">
        <f t="shared" si="6"/>
        <v>0</v>
      </c>
      <c r="U41" s="44">
        <f t="shared" si="6"/>
        <v>181516.71743673505</v>
      </c>
      <c r="V41" s="44">
        <f t="shared" si="6"/>
        <v>0</v>
      </c>
      <c r="W41" s="44">
        <f t="shared" si="6"/>
        <v>0</v>
      </c>
      <c r="X41" s="44">
        <f t="shared" si="3"/>
        <v>181516.71743673505</v>
      </c>
    </row>
    <row r="42" spans="1:24" x14ac:dyDescent="0.3">
      <c r="A42" s="78" t="s">
        <v>477</v>
      </c>
      <c r="B42" s="75" t="s">
        <v>480</v>
      </c>
      <c r="C42" s="79">
        <v>75223.899999999994</v>
      </c>
      <c r="D42" s="79"/>
      <c r="E42" s="80">
        <v>0.28533900000000001</v>
      </c>
      <c r="F42" s="81">
        <v>45000</v>
      </c>
      <c r="G42" s="81">
        <v>46508</v>
      </c>
      <c r="H42" s="82">
        <v>0.18</v>
      </c>
      <c r="I42" s="76">
        <v>100000</v>
      </c>
      <c r="J42" s="77">
        <v>86641</v>
      </c>
      <c r="K42" s="44">
        <v>28102.34356126465</v>
      </c>
      <c r="L42" s="77">
        <f t="shared" si="0"/>
        <v>114743.34356126466</v>
      </c>
      <c r="M42" s="164">
        <f t="shared" si="1"/>
        <v>608</v>
      </c>
      <c r="N42" s="165" t="str">
        <f>VLOOKUP(M42,T!$A$12:$C$19,3,TRUE)</f>
        <v>1-3 Years</v>
      </c>
      <c r="P42" s="44">
        <f t="shared" si="6"/>
        <v>0</v>
      </c>
      <c r="Q42" s="44">
        <f t="shared" si="6"/>
        <v>0</v>
      </c>
      <c r="R42" s="44">
        <f t="shared" si="6"/>
        <v>0</v>
      </c>
      <c r="S42" s="44">
        <f t="shared" si="6"/>
        <v>0</v>
      </c>
      <c r="T42" s="44">
        <f t="shared" si="6"/>
        <v>0</v>
      </c>
      <c r="U42" s="44">
        <f t="shared" si="6"/>
        <v>114743.34356126466</v>
      </c>
      <c r="V42" s="44">
        <f t="shared" si="6"/>
        <v>0</v>
      </c>
      <c r="W42" s="44">
        <f t="shared" si="6"/>
        <v>0</v>
      </c>
      <c r="X42" s="44">
        <f t="shared" si="3"/>
        <v>114743.34356126466</v>
      </c>
    </row>
    <row r="43" spans="1:24" x14ac:dyDescent="0.3">
      <c r="A43" s="78" t="s">
        <v>477</v>
      </c>
      <c r="B43" s="75" t="s">
        <v>480</v>
      </c>
      <c r="C43" s="79">
        <v>74840.7</v>
      </c>
      <c r="D43" s="79"/>
      <c r="E43" s="80">
        <v>0.28733799999999998</v>
      </c>
      <c r="F43" s="81">
        <v>45000</v>
      </c>
      <c r="G43" s="81">
        <v>46508</v>
      </c>
      <c r="H43" s="82">
        <v>0.18</v>
      </c>
      <c r="I43" s="76">
        <v>100000</v>
      </c>
      <c r="J43" s="77">
        <v>86413.2</v>
      </c>
      <c r="K43" s="44">
        <v>28330.431524420961</v>
      </c>
      <c r="L43" s="77">
        <f t="shared" si="0"/>
        <v>114743.63152442095</v>
      </c>
      <c r="M43" s="164">
        <f t="shared" si="1"/>
        <v>608</v>
      </c>
      <c r="N43" s="165" t="str">
        <f>VLOOKUP(M43,T!$A$12:$C$19,3,TRUE)</f>
        <v>1-3 Years</v>
      </c>
      <c r="P43" s="44">
        <f t="shared" si="6"/>
        <v>0</v>
      </c>
      <c r="Q43" s="44">
        <f t="shared" si="6"/>
        <v>0</v>
      </c>
      <c r="R43" s="44">
        <f t="shared" si="6"/>
        <v>0</v>
      </c>
      <c r="S43" s="44">
        <f t="shared" si="6"/>
        <v>0</v>
      </c>
      <c r="T43" s="44">
        <f t="shared" si="6"/>
        <v>0</v>
      </c>
      <c r="U43" s="44">
        <f t="shared" si="6"/>
        <v>114743.63152442095</v>
      </c>
      <c r="V43" s="44">
        <f t="shared" si="6"/>
        <v>0</v>
      </c>
      <c r="W43" s="44">
        <f t="shared" si="6"/>
        <v>0</v>
      </c>
      <c r="X43" s="44">
        <f t="shared" si="3"/>
        <v>114743.63152442095</v>
      </c>
    </row>
    <row r="44" spans="1:24" x14ac:dyDescent="0.3">
      <c r="A44" s="78" t="s">
        <v>477</v>
      </c>
      <c r="B44" s="75" t="s">
        <v>481</v>
      </c>
      <c r="C44" s="79">
        <v>280391.3</v>
      </c>
      <c r="D44" s="79"/>
      <c r="E44" s="80">
        <v>0.28050000000000003</v>
      </c>
      <c r="F44" s="81">
        <v>45001</v>
      </c>
      <c r="G44" s="81">
        <v>46645</v>
      </c>
      <c r="H44" s="82">
        <v>0.2</v>
      </c>
      <c r="I44" s="76">
        <v>350000</v>
      </c>
      <c r="J44" s="77">
        <v>308292.95</v>
      </c>
      <c r="K44" s="44">
        <v>115237.1994337885</v>
      </c>
      <c r="L44" s="77">
        <f t="shared" si="0"/>
        <v>423530.14943378849</v>
      </c>
      <c r="M44" s="164">
        <f t="shared" si="1"/>
        <v>745</v>
      </c>
      <c r="N44" s="165" t="str">
        <f>VLOOKUP(M44,T!$A$12:$C$19,3,TRUE)</f>
        <v>1-3 Years</v>
      </c>
      <c r="P44" s="44">
        <f t="shared" si="6"/>
        <v>0</v>
      </c>
      <c r="Q44" s="44">
        <f t="shared" si="6"/>
        <v>0</v>
      </c>
      <c r="R44" s="44">
        <f t="shared" si="6"/>
        <v>0</v>
      </c>
      <c r="S44" s="44">
        <f t="shared" si="6"/>
        <v>0</v>
      </c>
      <c r="T44" s="44">
        <f t="shared" si="6"/>
        <v>0</v>
      </c>
      <c r="U44" s="44">
        <f t="shared" si="6"/>
        <v>423530.14943378849</v>
      </c>
      <c r="V44" s="44">
        <f t="shared" si="6"/>
        <v>0</v>
      </c>
      <c r="W44" s="44">
        <f t="shared" si="6"/>
        <v>0</v>
      </c>
      <c r="X44" s="44">
        <f t="shared" si="3"/>
        <v>423530.14943378849</v>
      </c>
    </row>
    <row r="45" spans="1:24" x14ac:dyDescent="0.3">
      <c r="A45" s="78" t="s">
        <v>477</v>
      </c>
      <c r="B45" s="75" t="s">
        <v>481</v>
      </c>
      <c r="C45" s="79">
        <v>196918.75</v>
      </c>
      <c r="D45" s="79"/>
      <c r="E45" s="80">
        <v>0.28720200000000001</v>
      </c>
      <c r="F45" s="81">
        <v>45016</v>
      </c>
      <c r="G45" s="81">
        <v>46645</v>
      </c>
      <c r="H45" s="82">
        <v>0.2</v>
      </c>
      <c r="I45" s="76">
        <v>250000</v>
      </c>
      <c r="J45" s="77">
        <v>217957.75</v>
      </c>
      <c r="K45" s="44">
        <v>84567.657720354735</v>
      </c>
      <c r="L45" s="77">
        <f t="shared" si="0"/>
        <v>302525.40772035473</v>
      </c>
      <c r="M45" s="164">
        <f t="shared" si="1"/>
        <v>745</v>
      </c>
      <c r="N45" s="165" t="str">
        <f>VLOOKUP(M45,T!$A$12:$C$19,3,TRUE)</f>
        <v>1-3 Years</v>
      </c>
      <c r="P45" s="44">
        <f t="shared" si="6"/>
        <v>0</v>
      </c>
      <c r="Q45" s="44">
        <f t="shared" si="6"/>
        <v>0</v>
      </c>
      <c r="R45" s="44">
        <f t="shared" si="6"/>
        <v>0</v>
      </c>
      <c r="S45" s="44">
        <f t="shared" si="6"/>
        <v>0</v>
      </c>
      <c r="T45" s="44">
        <f t="shared" si="6"/>
        <v>0</v>
      </c>
      <c r="U45" s="44">
        <f t="shared" si="6"/>
        <v>302525.40772035473</v>
      </c>
      <c r="V45" s="44">
        <f t="shared" si="6"/>
        <v>0</v>
      </c>
      <c r="W45" s="44">
        <f t="shared" si="6"/>
        <v>0</v>
      </c>
      <c r="X45" s="44">
        <f t="shared" si="3"/>
        <v>302525.40772035473</v>
      </c>
    </row>
    <row r="46" spans="1:24" x14ac:dyDescent="0.3">
      <c r="A46" s="78"/>
      <c r="B46" s="75"/>
      <c r="C46" s="79"/>
      <c r="D46" s="79"/>
      <c r="E46" s="80"/>
      <c r="F46" s="81"/>
      <c r="G46" s="81"/>
      <c r="H46" s="82"/>
      <c r="I46" s="76"/>
      <c r="J46" s="77"/>
      <c r="K46" s="44"/>
      <c r="L46" s="77"/>
      <c r="M46" s="164"/>
      <c r="N46" s="165"/>
      <c r="P46" s="44"/>
      <c r="Q46" s="44"/>
      <c r="R46" s="44"/>
      <c r="S46" s="44"/>
      <c r="T46" s="44"/>
      <c r="U46" s="44"/>
      <c r="V46" s="44"/>
      <c r="W46" s="44"/>
      <c r="X46" s="44"/>
    </row>
    <row r="47" spans="1:24" x14ac:dyDescent="0.3">
      <c r="A47" s="78"/>
      <c r="B47" s="75"/>
      <c r="C47" s="79"/>
      <c r="D47" s="79"/>
      <c r="E47" s="80"/>
      <c r="F47" s="81"/>
      <c r="G47" s="81"/>
      <c r="H47" s="82"/>
      <c r="I47" s="76"/>
      <c r="J47" s="77"/>
      <c r="K47" s="44"/>
      <c r="L47" s="77"/>
      <c r="M47" s="164"/>
      <c r="N47" s="165"/>
      <c r="P47" s="44"/>
      <c r="Q47" s="44"/>
      <c r="R47" s="44"/>
      <c r="S47" s="44"/>
      <c r="T47" s="44"/>
      <c r="U47" s="44"/>
      <c r="V47" s="44"/>
      <c r="W47" s="44"/>
      <c r="X47" s="44"/>
    </row>
    <row r="48" spans="1:24" x14ac:dyDescent="0.3">
      <c r="A48" s="78"/>
      <c r="B48" s="75"/>
      <c r="C48" s="79"/>
      <c r="D48" s="79"/>
      <c r="E48" s="80"/>
      <c r="F48" s="81"/>
      <c r="G48" s="81"/>
      <c r="H48" s="82"/>
      <c r="I48" s="76"/>
      <c r="J48" s="77"/>
      <c r="K48" s="76"/>
      <c r="L48" s="77"/>
      <c r="M48" s="86"/>
      <c r="N48" s="86"/>
      <c r="T48" s="44"/>
      <c r="U48" s="44"/>
      <c r="V48" s="44"/>
      <c r="W48" s="44"/>
      <c r="X48" s="44"/>
    </row>
    <row r="49" spans="1:25" x14ac:dyDescent="0.3">
      <c r="A49" s="78"/>
      <c r="B49" s="75"/>
      <c r="C49" s="79"/>
      <c r="D49" s="79"/>
      <c r="E49" s="80"/>
      <c r="F49" s="81"/>
      <c r="G49" s="81"/>
      <c r="H49" s="82"/>
      <c r="I49" s="76"/>
      <c r="J49" s="76"/>
      <c r="K49" s="76"/>
      <c r="L49" s="77"/>
      <c r="M49" s="86"/>
      <c r="N49" s="86"/>
      <c r="T49" s="44"/>
      <c r="U49" s="44"/>
      <c r="V49" s="44"/>
      <c r="W49" s="44"/>
      <c r="X49" s="44"/>
    </row>
    <row r="50" spans="1:25" x14ac:dyDescent="0.3">
      <c r="A50" s="78"/>
      <c r="B50" s="75"/>
      <c r="C50" s="79"/>
      <c r="D50" s="79"/>
      <c r="E50" s="80"/>
      <c r="F50" s="81"/>
      <c r="G50" s="81"/>
      <c r="H50" s="82"/>
      <c r="I50" s="76"/>
      <c r="J50" s="76"/>
      <c r="K50" s="76"/>
      <c r="L50" s="77"/>
      <c r="M50" s="86"/>
      <c r="N50" s="86"/>
      <c r="T50" s="44"/>
      <c r="U50" s="44"/>
      <c r="V50" s="44"/>
      <c r="W50" s="44"/>
      <c r="X50" s="44"/>
    </row>
    <row r="51" spans="1:25" s="103" customFormat="1" x14ac:dyDescent="0.3">
      <c r="A51" s="106"/>
      <c r="B51" s="107"/>
      <c r="C51" s="108">
        <f>SUM(C3:C50)</f>
        <v>3886559.6612500004</v>
      </c>
      <c r="D51" s="109"/>
      <c r="E51" s="106"/>
      <c r="F51" s="106"/>
      <c r="G51" s="106"/>
      <c r="H51" s="106"/>
      <c r="I51" s="110">
        <f>SUM(I3:I50)</f>
        <v>4951191.6579999998</v>
      </c>
      <c r="J51" s="110">
        <f>SUM(J3:J50)</f>
        <v>4374337.4569899999</v>
      </c>
      <c r="K51" s="110">
        <f>SUM(K3:K50)</f>
        <v>1421673.8338262509</v>
      </c>
      <c r="L51" s="110">
        <f>SUM(L3:L50)</f>
        <v>5796011.2908162521</v>
      </c>
      <c r="M51" s="109"/>
      <c r="N51" s="109"/>
      <c r="P51" s="91">
        <f t="shared" ref="P51:X51" si="7">SUM(P3:P50)</f>
        <v>0</v>
      </c>
      <c r="Q51" s="91">
        <f t="shared" si="7"/>
        <v>0</v>
      </c>
      <c r="R51" s="91">
        <f t="shared" si="7"/>
        <v>0</v>
      </c>
      <c r="S51" s="91">
        <f t="shared" si="7"/>
        <v>0</v>
      </c>
      <c r="T51" s="91">
        <f t="shared" si="7"/>
        <v>1483128.5864698673</v>
      </c>
      <c r="U51" s="91">
        <f t="shared" si="7"/>
        <v>3510497.9147779662</v>
      </c>
      <c r="V51" s="91">
        <f t="shared" si="7"/>
        <v>334486.36328712181</v>
      </c>
      <c r="W51" s="91">
        <f t="shared" si="7"/>
        <v>467898.42628129531</v>
      </c>
      <c r="X51" s="91">
        <f t="shared" si="7"/>
        <v>5796011.2908162521</v>
      </c>
      <c r="Y51" s="105">
        <f>X51-L51</f>
        <v>0</v>
      </c>
    </row>
    <row r="52" spans="1:25" x14ac:dyDescent="0.3">
      <c r="A52" s="83" t="s">
        <v>482</v>
      </c>
      <c r="B52" s="84"/>
      <c r="C52" s="85"/>
      <c r="D52" s="85"/>
      <c r="E52" s="83"/>
      <c r="F52" s="83"/>
      <c r="G52" s="83"/>
      <c r="H52" s="83"/>
      <c r="I52" s="85"/>
      <c r="J52" s="85"/>
      <c r="K52" s="85"/>
      <c r="L52" s="79">
        <v>293855.36686000001</v>
      </c>
      <c r="M52" s="79"/>
      <c r="N52" s="79"/>
      <c r="P52" s="44">
        <f t="shared" ref="P52:W52" si="8">P51/$X$51*$L$52</f>
        <v>0</v>
      </c>
      <c r="Q52" s="44">
        <f t="shared" si="8"/>
        <v>0</v>
      </c>
      <c r="R52" s="44">
        <f t="shared" si="8"/>
        <v>0</v>
      </c>
      <c r="S52" s="44">
        <f t="shared" si="8"/>
        <v>0</v>
      </c>
      <c r="T52" s="44">
        <f t="shared" si="8"/>
        <v>75194.00377432302</v>
      </c>
      <c r="U52" s="44">
        <f t="shared" si="8"/>
        <v>177980.78727742907</v>
      </c>
      <c r="V52" s="44">
        <f t="shared" si="8"/>
        <v>16958.319792983384</v>
      </c>
      <c r="W52" s="44">
        <f t="shared" si="8"/>
        <v>23722.256015264484</v>
      </c>
      <c r="X52" s="44">
        <f>SUM(P52:W52)</f>
        <v>293855.36686000001</v>
      </c>
    </row>
    <row r="53" spans="1:25" x14ac:dyDescent="0.3">
      <c r="A53" s="83" t="s">
        <v>483</v>
      </c>
      <c r="B53" s="84"/>
      <c r="C53" s="85"/>
      <c r="D53" s="85"/>
      <c r="E53" s="83"/>
      <c r="F53" s="83"/>
      <c r="G53" s="83"/>
      <c r="H53" s="83"/>
      <c r="I53" s="85"/>
      <c r="J53" s="85"/>
      <c r="K53" s="85"/>
      <c r="L53" s="79">
        <v>0</v>
      </c>
      <c r="M53" s="79"/>
      <c r="N53" s="79"/>
      <c r="P53" s="118">
        <f t="shared" ref="P53:X53" si="9">P51/$X$51*$L$53</f>
        <v>0</v>
      </c>
      <c r="Q53" s="118">
        <f t="shared" si="9"/>
        <v>0</v>
      </c>
      <c r="R53" s="118">
        <f t="shared" si="9"/>
        <v>0</v>
      </c>
      <c r="S53" s="118">
        <f t="shared" si="9"/>
        <v>0</v>
      </c>
      <c r="T53" s="118">
        <f t="shared" si="9"/>
        <v>0</v>
      </c>
      <c r="U53" s="118">
        <f t="shared" si="9"/>
        <v>0</v>
      </c>
      <c r="V53" s="118">
        <f t="shared" si="9"/>
        <v>0</v>
      </c>
      <c r="W53" s="118">
        <f t="shared" si="9"/>
        <v>0</v>
      </c>
      <c r="X53" s="118">
        <f t="shared" si="9"/>
        <v>0</v>
      </c>
    </row>
    <row r="54" spans="1:25" s="103" customFormat="1" x14ac:dyDescent="0.3">
      <c r="A54" s="106" t="s">
        <v>461</v>
      </c>
      <c r="B54" s="107"/>
      <c r="C54" s="108"/>
      <c r="D54" s="109"/>
      <c r="E54" s="106"/>
      <c r="F54" s="106"/>
      <c r="G54" s="106"/>
      <c r="H54" s="106"/>
      <c r="I54" s="110"/>
      <c r="J54" s="110"/>
      <c r="K54" s="110"/>
      <c r="L54" s="110">
        <f>SUM(L51:L53)</f>
        <v>6089866.6576762525</v>
      </c>
      <c r="M54" s="109"/>
      <c r="N54" s="109"/>
      <c r="P54" s="91">
        <f t="shared" ref="P54:X54" si="10">SUM(P51:P53)</f>
        <v>0</v>
      </c>
      <c r="Q54" s="91">
        <f t="shared" si="10"/>
        <v>0</v>
      </c>
      <c r="R54" s="91">
        <f t="shared" si="10"/>
        <v>0</v>
      </c>
      <c r="S54" s="91">
        <f t="shared" si="10"/>
        <v>0</v>
      </c>
      <c r="T54" s="91">
        <f t="shared" si="10"/>
        <v>1558322.5902441903</v>
      </c>
      <c r="U54" s="91">
        <f t="shared" si="10"/>
        <v>3688478.7020553951</v>
      </c>
      <c r="V54" s="91">
        <f t="shared" si="10"/>
        <v>351444.68308010523</v>
      </c>
      <c r="W54" s="91">
        <f t="shared" si="10"/>
        <v>491620.6822965598</v>
      </c>
      <c r="X54" s="91">
        <f t="shared" si="10"/>
        <v>6089866.6576762525</v>
      </c>
      <c r="Y54" s="105"/>
    </row>
    <row r="55" spans="1:25" x14ac:dyDescent="0.3">
      <c r="L55" s="118"/>
    </row>
    <row r="57" spans="1:25" x14ac:dyDescent="0.3">
      <c r="A57" s="88" t="s">
        <v>484</v>
      </c>
    </row>
    <row r="58" spans="1:25" ht="28.8" customHeight="1" x14ac:dyDescent="0.3">
      <c r="A58" s="96" t="s">
        <v>485</v>
      </c>
      <c r="B58" s="96" t="s">
        <v>486</v>
      </c>
      <c r="C58" s="96" t="s">
        <v>487</v>
      </c>
      <c r="D58" s="96"/>
      <c r="E58" s="96" t="s">
        <v>465</v>
      </c>
      <c r="F58" s="96" t="s">
        <v>466</v>
      </c>
      <c r="G58" s="96" t="s">
        <v>467</v>
      </c>
      <c r="H58" s="96" t="s">
        <v>488</v>
      </c>
      <c r="I58" s="96" t="s">
        <v>489</v>
      </c>
      <c r="L58" s="96" t="s">
        <v>461</v>
      </c>
      <c r="M58" s="96" t="s">
        <v>490</v>
      </c>
      <c r="N58" s="96"/>
    </row>
    <row r="59" spans="1:25" x14ac:dyDescent="0.3">
      <c r="A59" s="78" t="s">
        <v>491</v>
      </c>
      <c r="B59" s="75" t="s">
        <v>492</v>
      </c>
      <c r="C59" s="20" t="s">
        <v>493</v>
      </c>
      <c r="E59" s="87">
        <v>5.6000000000000001E-2</v>
      </c>
      <c r="F59" s="81">
        <v>45566</v>
      </c>
      <c r="G59" s="81">
        <v>46316</v>
      </c>
      <c r="H59" s="44">
        <v>750000</v>
      </c>
      <c r="I59" s="44">
        <v>219651.97500000001</v>
      </c>
      <c r="J59" s="44"/>
      <c r="K59" s="44"/>
      <c r="L59" s="71">
        <f>SUM(I59:K59)</f>
        <v>219651.97500000001</v>
      </c>
      <c r="M59" s="86">
        <f>(G59-$M$2)</f>
        <v>416</v>
      </c>
      <c r="N59" s="165" t="str">
        <f>VLOOKUP(M59,T!$A$12:$C$19,3,TRUE)</f>
        <v>1-3 Years</v>
      </c>
      <c r="P59" s="44">
        <f t="shared" ref="P59:W61" si="11">IF(P$1=$N59,$L59,0)</f>
        <v>0</v>
      </c>
      <c r="Q59" s="44">
        <f t="shared" si="11"/>
        <v>0</v>
      </c>
      <c r="R59" s="44">
        <f t="shared" si="11"/>
        <v>0</v>
      </c>
      <c r="S59" s="44">
        <f t="shared" si="11"/>
        <v>0</v>
      </c>
      <c r="T59" s="44">
        <f t="shared" si="11"/>
        <v>0</v>
      </c>
      <c r="U59" s="44">
        <f t="shared" si="11"/>
        <v>219651.97500000001</v>
      </c>
      <c r="V59" s="44">
        <f t="shared" si="11"/>
        <v>0</v>
      </c>
      <c r="W59" s="44">
        <f t="shared" si="11"/>
        <v>0</v>
      </c>
      <c r="X59" s="44">
        <f>SUM(P59:W59)</f>
        <v>219651.97500000001</v>
      </c>
    </row>
    <row r="60" spans="1:25" x14ac:dyDescent="0.3">
      <c r="A60" s="78" t="s">
        <v>491</v>
      </c>
      <c r="B60" s="75" t="s">
        <v>494</v>
      </c>
      <c r="C60" s="20" t="s">
        <v>493</v>
      </c>
      <c r="E60" s="87">
        <v>5.6500000000000002E-2</v>
      </c>
      <c r="F60" s="81">
        <v>45566</v>
      </c>
      <c r="G60" s="81">
        <v>46681</v>
      </c>
      <c r="H60" s="44">
        <v>750000</v>
      </c>
      <c r="I60" s="44">
        <v>219651.97500000001</v>
      </c>
      <c r="J60" s="44"/>
      <c r="K60" s="44"/>
      <c r="L60" s="71">
        <f>SUM(I60:K60)</f>
        <v>219651.97500000001</v>
      </c>
      <c r="M60" s="86">
        <f>(G60-$M$2)</f>
        <v>781</v>
      </c>
      <c r="N60" s="165" t="str">
        <f>VLOOKUP(M60,T!$A$12:$C$19,3,TRUE)</f>
        <v>1-3 Years</v>
      </c>
      <c r="P60" s="44">
        <f t="shared" si="11"/>
        <v>0</v>
      </c>
      <c r="Q60" s="44">
        <f t="shared" si="11"/>
        <v>0</v>
      </c>
      <c r="R60" s="44">
        <f t="shared" si="11"/>
        <v>0</v>
      </c>
      <c r="S60" s="44">
        <f t="shared" si="11"/>
        <v>0</v>
      </c>
      <c r="T60" s="44">
        <f t="shared" si="11"/>
        <v>0</v>
      </c>
      <c r="U60" s="44">
        <f t="shared" si="11"/>
        <v>219651.97500000001</v>
      </c>
      <c r="V60" s="44">
        <f t="shared" si="11"/>
        <v>0</v>
      </c>
      <c r="W60" s="44">
        <f t="shared" si="11"/>
        <v>0</v>
      </c>
      <c r="X60" s="44">
        <f>SUM(P60:W60)</f>
        <v>219651.97500000001</v>
      </c>
    </row>
    <row r="61" spans="1:25" x14ac:dyDescent="0.3">
      <c r="A61" s="78" t="s">
        <v>491</v>
      </c>
      <c r="B61" s="75" t="s">
        <v>495</v>
      </c>
      <c r="C61" s="20" t="s">
        <v>493</v>
      </c>
      <c r="E61" s="87">
        <v>5.6500000000000002E-2</v>
      </c>
      <c r="F61" s="81">
        <v>45566</v>
      </c>
      <c r="G61" s="81">
        <v>46681</v>
      </c>
      <c r="H61" s="44">
        <v>1470000</v>
      </c>
      <c r="I61" s="44">
        <v>430517.87099999998</v>
      </c>
      <c r="J61" s="44"/>
      <c r="K61" s="44"/>
      <c r="L61" s="71">
        <f>SUM(I61:K61)</f>
        <v>430517.87099999998</v>
      </c>
      <c r="M61" s="86">
        <f>(G61-$M$2)</f>
        <v>781</v>
      </c>
      <c r="N61" s="165" t="str">
        <f>VLOOKUP(M61,T!$A$12:$C$19,3,TRUE)</f>
        <v>1-3 Years</v>
      </c>
      <c r="P61" s="44">
        <f t="shared" si="11"/>
        <v>0</v>
      </c>
      <c r="Q61" s="44">
        <f t="shared" si="11"/>
        <v>0</v>
      </c>
      <c r="R61" s="44">
        <f t="shared" si="11"/>
        <v>0</v>
      </c>
      <c r="S61" s="44">
        <f t="shared" si="11"/>
        <v>0</v>
      </c>
      <c r="T61" s="44">
        <f t="shared" si="11"/>
        <v>0</v>
      </c>
      <c r="U61" s="44">
        <f t="shared" si="11"/>
        <v>430517.87099999998</v>
      </c>
      <c r="V61" s="44">
        <f t="shared" si="11"/>
        <v>0</v>
      </c>
      <c r="W61" s="44">
        <f t="shared" si="11"/>
        <v>0</v>
      </c>
      <c r="X61" s="44">
        <f>SUM(P61:W61)</f>
        <v>430517.87099999998</v>
      </c>
    </row>
    <row r="62" spans="1:25" x14ac:dyDescent="0.3">
      <c r="E62" s="87"/>
      <c r="F62" s="81"/>
      <c r="G62" s="81"/>
      <c r="I62" s="44"/>
      <c r="J62" s="44"/>
      <c r="K62" s="44"/>
      <c r="L62" s="71"/>
      <c r="M62" s="86"/>
      <c r="N62" s="86"/>
      <c r="R62" s="71"/>
      <c r="S62" s="71"/>
      <c r="T62" s="44">
        <f>IF((W62+V62+U62)&gt;0,0,IF(M62&lt;=1,L62,0))</f>
        <v>0</v>
      </c>
      <c r="U62" s="44">
        <f>IF((W62+V62)&gt;0,0,IF(M62&gt;1,L62,0))</f>
        <v>0</v>
      </c>
      <c r="V62" s="44">
        <f>IF(W62&gt;0,0,IF(M62&gt;3,L62,0))</f>
        <v>0</v>
      </c>
      <c r="W62" s="44">
        <f>IF(M62&gt;5,L62,0)</f>
        <v>0</v>
      </c>
      <c r="X62" s="44">
        <f>SUM(P62:W62)</f>
        <v>0</v>
      </c>
    </row>
    <row r="63" spans="1:25" x14ac:dyDescent="0.3">
      <c r="E63" s="87"/>
      <c r="F63" s="81"/>
      <c r="G63" s="81"/>
      <c r="I63" s="44"/>
      <c r="J63" s="44"/>
      <c r="K63" s="44"/>
      <c r="L63" s="71"/>
      <c r="M63" s="86"/>
      <c r="N63" s="86"/>
      <c r="S63" s="71"/>
      <c r="X63" s="44">
        <f>SUM(P63:W63)</f>
        <v>0</v>
      </c>
    </row>
    <row r="64" spans="1:25" s="103" customFormat="1" x14ac:dyDescent="0.3">
      <c r="A64" s="106"/>
      <c r="B64" s="107"/>
      <c r="C64" s="108"/>
      <c r="D64" s="109"/>
      <c r="E64" s="106"/>
      <c r="F64" s="106"/>
      <c r="G64" s="106"/>
      <c r="H64" s="106"/>
      <c r="I64" s="110">
        <f>SUM(I59:I63)</f>
        <v>869821.821</v>
      </c>
      <c r="J64" s="110"/>
      <c r="K64" s="110"/>
      <c r="L64" s="110">
        <f>SUM(L59:L63)</f>
        <v>869821.821</v>
      </c>
      <c r="M64" s="109"/>
      <c r="N64" s="109"/>
      <c r="P64" s="91"/>
      <c r="Q64" s="91"/>
      <c r="R64" s="91"/>
      <c r="S64" s="91"/>
      <c r="T64" s="91">
        <f>SUM(T59:T63)</f>
        <v>0</v>
      </c>
      <c r="U64" s="91">
        <f>SUM(U59:U63)</f>
        <v>869821.821</v>
      </c>
      <c r="V64" s="91">
        <f>SUM(V59:V63)</f>
        <v>0</v>
      </c>
      <c r="W64" s="91">
        <f>SUM(W59:W63)</f>
        <v>0</v>
      </c>
      <c r="X64" s="91">
        <f>SUM(X59:X63)</f>
        <v>869821.821</v>
      </c>
      <c r="Y64" s="105"/>
    </row>
    <row r="65" spans="1:25" x14ac:dyDescent="0.3">
      <c r="A65" s="20" t="s">
        <v>482</v>
      </c>
      <c r="E65" s="87"/>
      <c r="F65" s="81"/>
      <c r="G65" s="81"/>
      <c r="I65" s="44"/>
      <c r="J65" s="44"/>
      <c r="K65" s="44"/>
      <c r="L65" s="71">
        <v>1498.29494</v>
      </c>
      <c r="M65" s="86"/>
      <c r="N65" s="86"/>
      <c r="S65" s="71"/>
      <c r="T65" s="44">
        <f>T64/$X$64*$L$65</f>
        <v>0</v>
      </c>
      <c r="U65" s="44">
        <f>U64/$X$64*$L$65</f>
        <v>1498.29494</v>
      </c>
      <c r="V65" s="44">
        <f>V64/$X$64*$L$65</f>
        <v>0</v>
      </c>
      <c r="W65" s="44">
        <f>W64/$X$64*$L$65</f>
        <v>0</v>
      </c>
      <c r="X65" s="44">
        <f>SUM(P65:W65)</f>
        <v>1498.29494</v>
      </c>
    </row>
    <row r="66" spans="1:25" x14ac:dyDescent="0.3">
      <c r="A66" s="20" t="s">
        <v>496</v>
      </c>
      <c r="E66" s="87"/>
      <c r="F66" s="81"/>
      <c r="G66" s="81"/>
      <c r="I66" s="44"/>
      <c r="J66" s="44"/>
      <c r="K66" s="44"/>
      <c r="L66" s="71">
        <v>28503.693060000001</v>
      </c>
      <c r="M66" s="86"/>
      <c r="N66" s="86"/>
      <c r="S66" s="71"/>
      <c r="T66" s="44"/>
      <c r="U66" s="44">
        <f>U64/$X$64*$L$66</f>
        <v>28503.693060000001</v>
      </c>
      <c r="V66" s="44">
        <f>V64/$X$64*$L$66</f>
        <v>0</v>
      </c>
      <c r="W66" s="44">
        <f>W64/$X$64*$L$66</f>
        <v>0</v>
      </c>
      <c r="X66" s="44">
        <f>SUM(P66:W66)</f>
        <v>28503.693060000001</v>
      </c>
    </row>
    <row r="67" spans="1:25" x14ac:dyDescent="0.3">
      <c r="A67" s="20" t="s">
        <v>497</v>
      </c>
      <c r="I67" s="44"/>
      <c r="L67" s="71">
        <v>-164.87356</v>
      </c>
      <c r="Q67" s="71"/>
      <c r="R67" s="71"/>
      <c r="S67" s="71"/>
      <c r="T67" s="44">
        <f>T64/$X$64*$L$67</f>
        <v>0</v>
      </c>
      <c r="U67" s="44">
        <f>U64/$X$64*$L$67</f>
        <v>-164.87356</v>
      </c>
      <c r="V67" s="44">
        <f>V64/$X$64*$L$67</f>
        <v>0</v>
      </c>
      <c r="W67" s="44">
        <f>W64/$X$64*$L$67</f>
        <v>0</v>
      </c>
      <c r="X67" s="44">
        <f>SUM(P67:W67)</f>
        <v>-164.87356</v>
      </c>
    </row>
    <row r="68" spans="1:25" s="103" customFormat="1" x14ac:dyDescent="0.3">
      <c r="I68" s="90">
        <f>SUM(I64:I67)</f>
        <v>869821.821</v>
      </c>
      <c r="J68" s="104"/>
      <c r="K68" s="104"/>
      <c r="L68" s="90">
        <f>SUM(L64:L67)</f>
        <v>899658.93544000003</v>
      </c>
      <c r="P68" s="90">
        <f t="shared" ref="P68:X68" si="12">SUM(P64:P67)</f>
        <v>0</v>
      </c>
      <c r="Q68" s="90">
        <f t="shared" si="12"/>
        <v>0</v>
      </c>
      <c r="R68" s="90">
        <f t="shared" si="12"/>
        <v>0</v>
      </c>
      <c r="S68" s="90">
        <f t="shared" si="12"/>
        <v>0</v>
      </c>
      <c r="T68" s="90">
        <f t="shared" si="12"/>
        <v>0</v>
      </c>
      <c r="U68" s="90">
        <f t="shared" si="12"/>
        <v>899658.93544000003</v>
      </c>
      <c r="V68" s="90">
        <f t="shared" si="12"/>
        <v>0</v>
      </c>
      <c r="W68" s="90">
        <f t="shared" si="12"/>
        <v>0</v>
      </c>
      <c r="X68" s="90">
        <f t="shared" si="12"/>
        <v>899658.93544000003</v>
      </c>
      <c r="Y68" s="105">
        <f>X68-L68</f>
        <v>0</v>
      </c>
    </row>
    <row r="69" spans="1:25" x14ac:dyDescent="0.3">
      <c r="H69" s="44"/>
      <c r="I69" s="44"/>
      <c r="J69" s="44"/>
      <c r="K69" s="44"/>
      <c r="L69" s="71"/>
      <c r="X69" s="44"/>
    </row>
    <row r="70" spans="1:25" x14ac:dyDescent="0.3">
      <c r="A70" s="88" t="s">
        <v>498</v>
      </c>
      <c r="H70" s="44"/>
      <c r="I70" s="44"/>
      <c r="J70" s="44"/>
      <c r="K70" s="44"/>
      <c r="L70" s="71"/>
      <c r="X70" s="44"/>
    </row>
    <row r="71" spans="1:25" ht="28.8" customHeight="1" x14ac:dyDescent="0.3">
      <c r="A71" s="96" t="s">
        <v>485</v>
      </c>
      <c r="B71" s="96" t="s">
        <v>486</v>
      </c>
      <c r="C71" s="96" t="s">
        <v>499</v>
      </c>
      <c r="D71" s="96"/>
      <c r="E71" s="99" t="s">
        <v>465</v>
      </c>
      <c r="F71" s="157" t="s">
        <v>466</v>
      </c>
      <c r="G71" s="157" t="s">
        <v>467</v>
      </c>
      <c r="H71" s="98" t="s">
        <v>500</v>
      </c>
      <c r="I71" s="98" t="s">
        <v>489</v>
      </c>
      <c r="J71" s="98" t="s">
        <v>501</v>
      </c>
      <c r="K71" s="44"/>
      <c r="L71" s="96" t="s">
        <v>461</v>
      </c>
      <c r="M71" s="96" t="s">
        <v>502</v>
      </c>
      <c r="N71" s="96"/>
      <c r="P71" s="71"/>
      <c r="Q71" s="71"/>
      <c r="R71" s="71"/>
      <c r="X71" s="44"/>
    </row>
    <row r="72" spans="1:25" x14ac:dyDescent="0.3">
      <c r="A72" s="20" t="s">
        <v>503</v>
      </c>
      <c r="B72" s="20" t="s">
        <v>504</v>
      </c>
      <c r="C72" s="20" t="s">
        <v>505</v>
      </c>
      <c r="E72" s="87">
        <v>8.1000000000000003E-2</v>
      </c>
      <c r="F72" s="81">
        <v>45786</v>
      </c>
      <c r="G72" s="81">
        <v>45909</v>
      </c>
      <c r="H72" s="44" t="s">
        <v>506</v>
      </c>
      <c r="I72" s="44">
        <v>500000</v>
      </c>
      <c r="J72" s="44"/>
      <c r="K72" s="44"/>
      <c r="L72" s="71">
        <f>SUM(I72:K72)</f>
        <v>500000</v>
      </c>
      <c r="M72" s="86">
        <f>(G72-$M$2)</f>
        <v>9</v>
      </c>
      <c r="N72" s="165" t="str">
        <f>VLOOKUP(M72,T!$A$12:$C$19,3,TRUE)</f>
        <v>7-30 Days</v>
      </c>
      <c r="P72" s="44">
        <f t="shared" ref="P72:W74" si="13">IF(P$1=$N72,$L72,0)</f>
        <v>0</v>
      </c>
      <c r="Q72" s="44">
        <f t="shared" si="13"/>
        <v>500000</v>
      </c>
      <c r="R72" s="44">
        <f t="shared" si="13"/>
        <v>0</v>
      </c>
      <c r="S72" s="44">
        <f t="shared" si="13"/>
        <v>0</v>
      </c>
      <c r="T72" s="44">
        <f t="shared" si="13"/>
        <v>0</v>
      </c>
      <c r="U72" s="44">
        <f t="shared" si="13"/>
        <v>0</v>
      </c>
      <c r="V72" s="44">
        <f t="shared" si="13"/>
        <v>0</v>
      </c>
      <c r="W72" s="44">
        <f t="shared" si="13"/>
        <v>0</v>
      </c>
      <c r="X72" s="44">
        <f>SUM(P72:W72)</f>
        <v>500000</v>
      </c>
    </row>
    <row r="73" spans="1:25" x14ac:dyDescent="0.3">
      <c r="A73" s="20" t="s">
        <v>503</v>
      </c>
      <c r="B73" s="20" t="s">
        <v>507</v>
      </c>
      <c r="C73" s="20" t="s">
        <v>505</v>
      </c>
      <c r="E73" s="87">
        <v>8.1000000000000003E-2</v>
      </c>
      <c r="F73" s="81">
        <v>45786</v>
      </c>
      <c r="G73" s="81">
        <v>45909</v>
      </c>
      <c r="H73" s="44" t="s">
        <v>506</v>
      </c>
      <c r="I73" s="44">
        <v>500000</v>
      </c>
      <c r="J73" s="44"/>
      <c r="K73" s="44"/>
      <c r="L73" s="71">
        <f>SUM(I73:K73)</f>
        <v>500000</v>
      </c>
      <c r="M73" s="86">
        <f>(G73-$M$2)</f>
        <v>9</v>
      </c>
      <c r="N73" s="165" t="str">
        <f>VLOOKUP(M73,T!$A$12:$C$19,3,TRUE)</f>
        <v>7-30 Days</v>
      </c>
      <c r="P73" s="44">
        <f t="shared" si="13"/>
        <v>0</v>
      </c>
      <c r="Q73" s="44">
        <f t="shared" si="13"/>
        <v>500000</v>
      </c>
      <c r="R73" s="44">
        <f t="shared" si="13"/>
        <v>0</v>
      </c>
      <c r="S73" s="44">
        <f t="shared" si="13"/>
        <v>0</v>
      </c>
      <c r="T73" s="44">
        <f t="shared" si="13"/>
        <v>0</v>
      </c>
      <c r="U73" s="44">
        <f t="shared" si="13"/>
        <v>0</v>
      </c>
      <c r="V73" s="44">
        <f t="shared" si="13"/>
        <v>0</v>
      </c>
      <c r="W73" s="44">
        <f t="shared" si="13"/>
        <v>0</v>
      </c>
      <c r="X73" s="44">
        <f>SUM(P73:W73)</f>
        <v>500000</v>
      </c>
    </row>
    <row r="74" spans="1:25" x14ac:dyDescent="0.3">
      <c r="A74" s="20" t="s">
        <v>482</v>
      </c>
      <c r="E74" s="87"/>
      <c r="F74" s="81">
        <v>45786</v>
      </c>
      <c r="G74" s="81">
        <v>45909</v>
      </c>
      <c r="H74" s="44"/>
      <c r="I74" s="44"/>
      <c r="J74" s="44">
        <v>25520.54794</v>
      </c>
      <c r="K74" s="44"/>
      <c r="L74" s="71">
        <f>SUM(I74:K74)</f>
        <v>25520.54794</v>
      </c>
      <c r="M74" s="86">
        <f>(G74-$M$2)</f>
        <v>9</v>
      </c>
      <c r="N74" s="165" t="str">
        <f>VLOOKUP(M74,T!$A$12:$C$19,3,TRUE)</f>
        <v>7-30 Days</v>
      </c>
      <c r="P74" s="44">
        <f t="shared" si="13"/>
        <v>0</v>
      </c>
      <c r="Q74" s="44">
        <f t="shared" si="13"/>
        <v>25520.54794</v>
      </c>
      <c r="R74" s="44">
        <f t="shared" si="13"/>
        <v>0</v>
      </c>
      <c r="S74" s="44">
        <f t="shared" si="13"/>
        <v>0</v>
      </c>
      <c r="T74" s="44">
        <f t="shared" si="13"/>
        <v>0</v>
      </c>
      <c r="U74" s="44">
        <f t="shared" si="13"/>
        <v>0</v>
      </c>
      <c r="V74" s="44">
        <f t="shared" si="13"/>
        <v>0</v>
      </c>
      <c r="W74" s="44">
        <f t="shared" si="13"/>
        <v>0</v>
      </c>
      <c r="X74" s="44">
        <f>SUM(P74:W74)</f>
        <v>25520.54794</v>
      </c>
    </row>
    <row r="75" spans="1:25" x14ac:dyDescent="0.3">
      <c r="E75" s="87"/>
      <c r="F75" s="81"/>
      <c r="G75" s="81"/>
      <c r="H75" s="44"/>
      <c r="I75" s="44"/>
      <c r="J75" s="44"/>
      <c r="K75" s="44"/>
      <c r="L75" s="71"/>
      <c r="M75" s="86"/>
      <c r="N75" s="86"/>
      <c r="P75" s="71"/>
      <c r="Q75" s="71"/>
      <c r="R75" s="71"/>
      <c r="X75" s="44"/>
    </row>
    <row r="76" spans="1:25" x14ac:dyDescent="0.3">
      <c r="E76" s="87"/>
      <c r="F76" s="81"/>
      <c r="G76" s="81"/>
      <c r="H76" s="44"/>
      <c r="I76" s="44"/>
      <c r="J76" s="44"/>
      <c r="K76" s="44"/>
      <c r="L76" s="71"/>
      <c r="M76" s="86"/>
      <c r="N76" s="86"/>
      <c r="P76" s="71"/>
      <c r="X76" s="44"/>
    </row>
    <row r="77" spans="1:25" x14ac:dyDescent="0.3">
      <c r="H77" s="44"/>
      <c r="I77" s="44"/>
      <c r="J77" s="44"/>
      <c r="K77" s="44"/>
      <c r="L77" s="71"/>
      <c r="X77" s="44">
        <f>SUM(P77:W77)</f>
        <v>0</v>
      </c>
    </row>
    <row r="78" spans="1:25" s="103" customFormat="1" x14ac:dyDescent="0.3">
      <c r="H78" s="91">
        <f>SUM(H71:H77)</f>
        <v>0</v>
      </c>
      <c r="I78" s="104"/>
      <c r="J78" s="104"/>
      <c r="K78" s="104"/>
      <c r="L78" s="91">
        <f>SUM(L71:L77)</f>
        <v>1025520.54794</v>
      </c>
      <c r="P78" s="91">
        <f t="shared" ref="P78:X78" si="14">SUM(P71:P77)</f>
        <v>0</v>
      </c>
      <c r="Q78" s="91">
        <f t="shared" si="14"/>
        <v>1025520.54794</v>
      </c>
      <c r="R78" s="91">
        <f t="shared" si="14"/>
        <v>0</v>
      </c>
      <c r="S78" s="91">
        <f t="shared" si="14"/>
        <v>0</v>
      </c>
      <c r="T78" s="91">
        <f t="shared" si="14"/>
        <v>0</v>
      </c>
      <c r="U78" s="91">
        <f t="shared" si="14"/>
        <v>0</v>
      </c>
      <c r="V78" s="91">
        <f t="shared" si="14"/>
        <v>0</v>
      </c>
      <c r="W78" s="91">
        <f t="shared" si="14"/>
        <v>0</v>
      </c>
      <c r="X78" s="91">
        <f t="shared" si="14"/>
        <v>1025520.54794</v>
      </c>
      <c r="Y78" s="105">
        <f>X78-L78</f>
        <v>0</v>
      </c>
    </row>
    <row r="79" spans="1:25" x14ac:dyDescent="0.3">
      <c r="H79" s="44"/>
      <c r="I79" s="44"/>
      <c r="J79" s="44"/>
      <c r="K79" s="44"/>
      <c r="L79" s="71"/>
      <c r="X79" s="44"/>
    </row>
    <row r="80" spans="1:25" x14ac:dyDescent="0.3">
      <c r="H80" s="44"/>
      <c r="I80" s="44"/>
      <c r="J80" s="44"/>
      <c r="K80" s="44"/>
      <c r="L80" s="92" t="s">
        <v>462</v>
      </c>
      <c r="M80" s="92"/>
      <c r="N80" s="92"/>
      <c r="O80" s="92"/>
      <c r="P80" s="93">
        <f t="shared" ref="P80:X80" si="15">P54</f>
        <v>0</v>
      </c>
      <c r="Q80" s="93">
        <f t="shared" si="15"/>
        <v>0</v>
      </c>
      <c r="R80" s="93">
        <f t="shared" si="15"/>
        <v>0</v>
      </c>
      <c r="S80" s="93">
        <f t="shared" si="15"/>
        <v>0</v>
      </c>
      <c r="T80" s="93">
        <f t="shared" si="15"/>
        <v>1558322.5902441903</v>
      </c>
      <c r="U80" s="93">
        <f t="shared" si="15"/>
        <v>3688478.7020553951</v>
      </c>
      <c r="V80" s="93">
        <f t="shared" si="15"/>
        <v>351444.68308010523</v>
      </c>
      <c r="W80" s="93">
        <f t="shared" si="15"/>
        <v>491620.6822965598</v>
      </c>
      <c r="X80" s="93">
        <f t="shared" si="15"/>
        <v>6089866.6576762525</v>
      </c>
    </row>
    <row r="81" spans="12:24" x14ac:dyDescent="0.3">
      <c r="L81" s="92" t="s">
        <v>508</v>
      </c>
      <c r="M81" s="92"/>
      <c r="N81" s="92"/>
      <c r="O81" s="92"/>
      <c r="P81" s="93">
        <f t="shared" ref="P81:X81" si="16">P68</f>
        <v>0</v>
      </c>
      <c r="Q81" s="93">
        <f t="shared" si="16"/>
        <v>0</v>
      </c>
      <c r="R81" s="93">
        <f t="shared" si="16"/>
        <v>0</v>
      </c>
      <c r="S81" s="93">
        <f t="shared" si="16"/>
        <v>0</v>
      </c>
      <c r="T81" s="93">
        <f t="shared" si="16"/>
        <v>0</v>
      </c>
      <c r="U81" s="93">
        <f t="shared" si="16"/>
        <v>899658.93544000003</v>
      </c>
      <c r="V81" s="93">
        <f t="shared" si="16"/>
        <v>0</v>
      </c>
      <c r="W81" s="93">
        <f t="shared" si="16"/>
        <v>0</v>
      </c>
      <c r="X81" s="93">
        <f t="shared" si="16"/>
        <v>899658.93544000003</v>
      </c>
    </row>
    <row r="82" spans="12:24" x14ac:dyDescent="0.3">
      <c r="L82" s="92" t="s">
        <v>498</v>
      </c>
      <c r="M82" s="92"/>
      <c r="N82" s="92"/>
      <c r="O82" s="92"/>
      <c r="P82" s="93">
        <f t="shared" ref="P82:X82" si="17">P78</f>
        <v>0</v>
      </c>
      <c r="Q82" s="93">
        <f t="shared" si="17"/>
        <v>1025520.54794</v>
      </c>
      <c r="R82" s="93">
        <f t="shared" si="17"/>
        <v>0</v>
      </c>
      <c r="S82" s="93">
        <f t="shared" si="17"/>
        <v>0</v>
      </c>
      <c r="T82" s="93">
        <f t="shared" si="17"/>
        <v>0</v>
      </c>
      <c r="U82" s="93">
        <f t="shared" si="17"/>
        <v>0</v>
      </c>
      <c r="V82" s="93">
        <f t="shared" si="17"/>
        <v>0</v>
      </c>
      <c r="W82" s="93">
        <f t="shared" si="17"/>
        <v>0</v>
      </c>
      <c r="X82" s="93">
        <f t="shared" si="17"/>
        <v>1025520.54794</v>
      </c>
    </row>
    <row r="83" spans="12:24" x14ac:dyDescent="0.3">
      <c r="L83" s="146" t="s">
        <v>461</v>
      </c>
      <c r="M83" s="92"/>
      <c r="N83" s="92"/>
      <c r="O83" s="92"/>
      <c r="P83" s="145">
        <f t="shared" ref="P83:X83" si="18">ROUND(SUM(P80:P82),0)</f>
        <v>0</v>
      </c>
      <c r="Q83" s="145">
        <f t="shared" si="18"/>
        <v>1025521</v>
      </c>
      <c r="R83" s="145">
        <f t="shared" si="18"/>
        <v>0</v>
      </c>
      <c r="S83" s="145">
        <f t="shared" si="18"/>
        <v>0</v>
      </c>
      <c r="T83" s="145">
        <f t="shared" si="18"/>
        <v>1558323</v>
      </c>
      <c r="U83" s="145">
        <f t="shared" si="18"/>
        <v>4588138</v>
      </c>
      <c r="V83" s="145">
        <f t="shared" si="18"/>
        <v>351445</v>
      </c>
      <c r="W83" s="145">
        <f t="shared" si="18"/>
        <v>491621</v>
      </c>
      <c r="X83" s="145">
        <f t="shared" si="18"/>
        <v>8015046</v>
      </c>
    </row>
    <row r="84" spans="12:24" x14ac:dyDescent="0.3">
      <c r="X84" s="71"/>
    </row>
  </sheetData>
  <autoFilter ref="A2:X47" xr:uid="{00000000-0009-0000-0000-000004000000}"/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/>
  <dimension ref="A1:P132"/>
  <sheetViews>
    <sheetView zoomScale="85" zoomScaleNormal="85" workbookViewId="0">
      <pane xSplit="3" ySplit="1" topLeftCell="D107" activePane="bottomRight" state="frozen"/>
      <selection pane="topRight" activeCell="D1" sqref="D1"/>
      <selection pane="bottomLeft" activeCell="A2" sqref="A2"/>
      <selection pane="bottomRight" activeCell="G115" sqref="G115"/>
    </sheetView>
  </sheetViews>
  <sheetFormatPr defaultRowHeight="14.4" x14ac:dyDescent="0.3"/>
  <cols>
    <col min="1" max="1" width="14.5546875" bestFit="1" customWidth="1"/>
    <col min="2" max="2" width="6.33203125" customWidth="1"/>
    <col min="3" max="3" width="47.44140625" customWidth="1"/>
    <col min="4" max="4" width="15.33203125" customWidth="1"/>
    <col min="5" max="5" width="0.88671875" style="53" customWidth="1"/>
    <col min="6" max="6" width="15" customWidth="1"/>
    <col min="7" max="14" width="14" customWidth="1"/>
    <col min="15" max="15" width="14.88671875" customWidth="1"/>
    <col min="16" max="16" width="12" customWidth="1"/>
  </cols>
  <sheetData>
    <row r="1" spans="1:16" ht="28.8" customHeight="1" x14ac:dyDescent="0.3">
      <c r="A1" s="143" t="s">
        <v>509</v>
      </c>
      <c r="B1" s="49" t="s">
        <v>510</v>
      </c>
      <c r="C1" s="15" t="s">
        <v>511</v>
      </c>
      <c r="D1" s="15" t="s">
        <v>512</v>
      </c>
      <c r="E1" s="52"/>
      <c r="F1" s="15" t="s">
        <v>404</v>
      </c>
      <c r="G1" s="15" t="s">
        <v>405</v>
      </c>
      <c r="H1" s="15" t="s">
        <v>406</v>
      </c>
      <c r="I1" s="15" t="s">
        <v>407</v>
      </c>
      <c r="J1" s="15" t="s">
        <v>408</v>
      </c>
      <c r="K1" s="15" t="s">
        <v>409</v>
      </c>
      <c r="L1" s="15" t="s">
        <v>410</v>
      </c>
      <c r="M1" s="15" t="s">
        <v>411</v>
      </c>
      <c r="N1" s="15" t="s">
        <v>412</v>
      </c>
      <c r="O1" s="16" t="s">
        <v>413</v>
      </c>
      <c r="P1" s="16" t="s">
        <v>513</v>
      </c>
    </row>
    <row r="2" spans="1:16" x14ac:dyDescent="0.3">
      <c r="A2" t="s">
        <v>242</v>
      </c>
      <c r="B2" t="s">
        <v>514</v>
      </c>
      <c r="C2" t="s">
        <v>515</v>
      </c>
      <c r="D2" s="50">
        <f>_xlfn.IFNA(IF(VLOOKUP(B2,'System TB'!$A:$C,3,FALSE)&gt;0,VLOOKUP(B2,'System TB'!$A:$C,3,FALSE),0),0)</f>
        <v>27110584.16</v>
      </c>
      <c r="E2" s="52"/>
      <c r="G2" s="51"/>
      <c r="H2" s="51">
        <f>D2</f>
        <v>27110584.16</v>
      </c>
      <c r="O2" s="50">
        <f t="shared" ref="O2:O33" si="0">SUM(F2:N2)</f>
        <v>27110584.16</v>
      </c>
      <c r="P2" s="51">
        <f t="shared" ref="P2:P33" si="1">O2-D2</f>
        <v>0</v>
      </c>
    </row>
    <row r="3" spans="1:16" x14ac:dyDescent="0.3">
      <c r="A3" t="s">
        <v>242</v>
      </c>
      <c r="B3" t="s">
        <v>516</v>
      </c>
      <c r="C3" t="s">
        <v>517</v>
      </c>
      <c r="D3" s="50">
        <f>_xlfn.IFNA(IF(VLOOKUP(B3,'System TB'!$A:$C,3,FALSE)&gt;0,VLOOKUP(B3,'System TB'!$A:$C,3,FALSE),0),0)</f>
        <v>0</v>
      </c>
      <c r="E3" s="52"/>
      <c r="G3" s="51"/>
      <c r="H3" s="51">
        <f>D3</f>
        <v>0</v>
      </c>
      <c r="O3" s="50">
        <f t="shared" si="0"/>
        <v>0</v>
      </c>
      <c r="P3" s="51">
        <f t="shared" si="1"/>
        <v>0</v>
      </c>
    </row>
    <row r="4" spans="1:16" x14ac:dyDescent="0.3">
      <c r="A4" t="s">
        <v>242</v>
      </c>
      <c r="B4" t="s">
        <v>518</v>
      </c>
      <c r="C4" t="s">
        <v>519</v>
      </c>
      <c r="D4" s="50">
        <f>_xlfn.IFNA(IF(VLOOKUP(B4,'System TB'!$A:$C,3,FALSE)&gt;0,VLOOKUP(B4,'System TB'!$A:$C,3,FALSE),0),0)</f>
        <v>0</v>
      </c>
      <c r="E4" s="52"/>
      <c r="G4" s="51"/>
      <c r="H4" s="51">
        <f>D4</f>
        <v>0</v>
      </c>
      <c r="O4" s="50">
        <f t="shared" si="0"/>
        <v>0</v>
      </c>
      <c r="P4" s="51">
        <f t="shared" si="1"/>
        <v>0</v>
      </c>
    </row>
    <row r="5" spans="1:16" x14ac:dyDescent="0.3">
      <c r="A5" t="s">
        <v>242</v>
      </c>
      <c r="B5" t="s">
        <v>520</v>
      </c>
      <c r="C5" t="s">
        <v>521</v>
      </c>
      <c r="D5" s="50">
        <f>_xlfn.IFNA(IF(VLOOKUP(B5,'System TB'!$A:$C,3,FALSE)&gt;0,VLOOKUP(B5,'System TB'!$A:$C,3,FALSE),0),0)</f>
        <v>0</v>
      </c>
      <c r="E5" s="52"/>
      <c r="F5" s="51">
        <f t="shared" ref="F5:F26" si="2">D5</f>
        <v>0</v>
      </c>
      <c r="O5" s="50">
        <f t="shared" si="0"/>
        <v>0</v>
      </c>
      <c r="P5" s="51">
        <f t="shared" si="1"/>
        <v>0</v>
      </c>
    </row>
    <row r="6" spans="1:16" x14ac:dyDescent="0.3">
      <c r="A6" t="s">
        <v>242</v>
      </c>
      <c r="B6" t="s">
        <v>522</v>
      </c>
      <c r="C6" t="s">
        <v>523</v>
      </c>
      <c r="D6" s="50">
        <f>_xlfn.IFNA(IF(VLOOKUP(B6,'System TB'!$A:$C,3,FALSE)&gt;0,VLOOKUP(B6,'System TB'!$A:$C,3,FALSE),0),0)</f>
        <v>0</v>
      </c>
      <c r="E6" s="52"/>
      <c r="F6" s="51">
        <f t="shared" si="2"/>
        <v>0</v>
      </c>
      <c r="O6" s="50">
        <f t="shared" si="0"/>
        <v>0</v>
      </c>
      <c r="P6" s="51">
        <f t="shared" si="1"/>
        <v>0</v>
      </c>
    </row>
    <row r="7" spans="1:16" x14ac:dyDescent="0.3">
      <c r="A7" t="s">
        <v>242</v>
      </c>
      <c r="B7" t="s">
        <v>524</v>
      </c>
      <c r="C7" t="s">
        <v>525</v>
      </c>
      <c r="D7" s="50">
        <f>_xlfn.IFNA(IF(VLOOKUP(B7,'System TB'!$A:$C,3,FALSE)&gt;0,VLOOKUP(B7,'System TB'!$A:$C,3,FALSE),0),0)</f>
        <v>0</v>
      </c>
      <c r="E7" s="52"/>
      <c r="F7" s="51">
        <f t="shared" si="2"/>
        <v>0</v>
      </c>
      <c r="O7" s="50">
        <f t="shared" si="0"/>
        <v>0</v>
      </c>
      <c r="P7" s="51">
        <f t="shared" si="1"/>
        <v>0</v>
      </c>
    </row>
    <row r="8" spans="1:16" x14ac:dyDescent="0.3">
      <c r="A8" t="s">
        <v>242</v>
      </c>
      <c r="B8" t="s">
        <v>526</v>
      </c>
      <c r="C8" t="s">
        <v>527</v>
      </c>
      <c r="D8" s="50">
        <f>_xlfn.IFNA(IF(VLOOKUP(B8,'System TB'!$A:$C,3,FALSE)&gt;0,VLOOKUP(B8,'System TB'!$A:$C,3,FALSE),0),0)</f>
        <v>0</v>
      </c>
      <c r="E8" s="52"/>
      <c r="F8" s="51">
        <f t="shared" si="2"/>
        <v>0</v>
      </c>
      <c r="O8" s="50">
        <f t="shared" si="0"/>
        <v>0</v>
      </c>
      <c r="P8" s="51">
        <f t="shared" si="1"/>
        <v>0</v>
      </c>
    </row>
    <row r="9" spans="1:16" x14ac:dyDescent="0.3">
      <c r="A9" t="s">
        <v>242</v>
      </c>
      <c r="B9" t="s">
        <v>528</v>
      </c>
      <c r="C9" t="s">
        <v>529</v>
      </c>
      <c r="D9" s="50">
        <f>_xlfn.IFNA(IF(VLOOKUP(B9,'System TB'!$A:$C,3,FALSE)&gt;0,VLOOKUP(B9,'System TB'!$A:$C,3,FALSE),0),0)</f>
        <v>0</v>
      </c>
      <c r="E9" s="52"/>
      <c r="F9" s="51">
        <f t="shared" si="2"/>
        <v>0</v>
      </c>
      <c r="O9" s="50">
        <f t="shared" si="0"/>
        <v>0</v>
      </c>
      <c r="P9" s="51">
        <f t="shared" si="1"/>
        <v>0</v>
      </c>
    </row>
    <row r="10" spans="1:16" x14ac:dyDescent="0.3">
      <c r="A10" t="s">
        <v>242</v>
      </c>
      <c r="B10" t="s">
        <v>530</v>
      </c>
      <c r="C10" t="s">
        <v>531</v>
      </c>
      <c r="D10" s="50">
        <f>_xlfn.IFNA(IF(VLOOKUP(B10,'System TB'!$A:$C,3,FALSE)&gt;0,VLOOKUP(B10,'System TB'!$A:$C,3,FALSE),0),0)</f>
        <v>0</v>
      </c>
      <c r="E10" s="52"/>
      <c r="F10" s="51">
        <f t="shared" si="2"/>
        <v>0</v>
      </c>
      <c r="O10" s="50">
        <f t="shared" si="0"/>
        <v>0</v>
      </c>
      <c r="P10" s="51">
        <f t="shared" si="1"/>
        <v>0</v>
      </c>
    </row>
    <row r="11" spans="1:16" x14ac:dyDescent="0.3">
      <c r="A11" t="s">
        <v>242</v>
      </c>
      <c r="B11" t="s">
        <v>532</v>
      </c>
      <c r="C11" t="s">
        <v>533</v>
      </c>
      <c r="D11" s="50">
        <f>_xlfn.IFNA(IF(VLOOKUP(B11,'System TB'!$A:$C,3,FALSE)&gt;0,VLOOKUP(B11,'System TB'!$A:$C,3,FALSE),0),0)</f>
        <v>0</v>
      </c>
      <c r="E11" s="52"/>
      <c r="F11" s="51">
        <f t="shared" si="2"/>
        <v>0</v>
      </c>
      <c r="O11" s="50">
        <f t="shared" si="0"/>
        <v>0</v>
      </c>
      <c r="P11" s="51">
        <f t="shared" si="1"/>
        <v>0</v>
      </c>
    </row>
    <row r="12" spans="1:16" x14ac:dyDescent="0.3">
      <c r="A12" t="s">
        <v>242</v>
      </c>
      <c r="B12" t="s">
        <v>534</v>
      </c>
      <c r="C12" t="s">
        <v>535</v>
      </c>
      <c r="D12" s="50">
        <f>_xlfn.IFNA(IF(VLOOKUP(B12,'System TB'!$A:$C,3,FALSE)&gt;0,VLOOKUP(B12,'System TB'!$A:$C,3,FALSE),0),0)</f>
        <v>0</v>
      </c>
      <c r="E12" s="52"/>
      <c r="F12" s="51">
        <f t="shared" si="2"/>
        <v>0</v>
      </c>
      <c r="O12" s="50">
        <f t="shared" si="0"/>
        <v>0</v>
      </c>
      <c r="P12" s="51">
        <f t="shared" si="1"/>
        <v>0</v>
      </c>
    </row>
    <row r="13" spans="1:16" x14ac:dyDescent="0.3">
      <c r="A13" t="s">
        <v>242</v>
      </c>
      <c r="B13" t="s">
        <v>536</v>
      </c>
      <c r="C13" t="s">
        <v>537</v>
      </c>
      <c r="D13" s="50">
        <f>_xlfn.IFNA(IF(VLOOKUP(B13,'System TB'!$A:$C,3,FALSE)&gt;0,VLOOKUP(B13,'System TB'!$A:$C,3,FALSE),0),0)</f>
        <v>0</v>
      </c>
      <c r="E13" s="52"/>
      <c r="F13" s="51">
        <f t="shared" si="2"/>
        <v>0</v>
      </c>
      <c r="O13" s="50">
        <f t="shared" si="0"/>
        <v>0</v>
      </c>
      <c r="P13" s="51">
        <f t="shared" si="1"/>
        <v>0</v>
      </c>
    </row>
    <row r="14" spans="1:16" x14ac:dyDescent="0.3">
      <c r="A14" t="s">
        <v>242</v>
      </c>
      <c r="B14" t="s">
        <v>538</v>
      </c>
      <c r="C14" t="s">
        <v>539</v>
      </c>
      <c r="D14" s="50">
        <f>_xlfn.IFNA(IF(VLOOKUP(B14,'System TB'!$A:$C,3,FALSE)&gt;0,VLOOKUP(B14,'System TB'!$A:$C,3,FALSE),0),0)</f>
        <v>0</v>
      </c>
      <c r="E14" s="52"/>
      <c r="F14" s="51">
        <f t="shared" si="2"/>
        <v>0</v>
      </c>
      <c r="O14" s="50">
        <f t="shared" si="0"/>
        <v>0</v>
      </c>
      <c r="P14" s="51">
        <f t="shared" si="1"/>
        <v>0</v>
      </c>
    </row>
    <row r="15" spans="1:16" x14ac:dyDescent="0.3">
      <c r="A15" t="s">
        <v>242</v>
      </c>
      <c r="B15" t="s">
        <v>540</v>
      </c>
      <c r="C15" t="s">
        <v>541</v>
      </c>
      <c r="D15" s="50">
        <f>_xlfn.IFNA(IF(VLOOKUP(B15,'System TB'!$A:$C,3,FALSE)&gt;0,VLOOKUP(B15,'System TB'!$A:$C,3,FALSE),0),0)</f>
        <v>0</v>
      </c>
      <c r="E15" s="52"/>
      <c r="F15" s="51">
        <f t="shared" si="2"/>
        <v>0</v>
      </c>
      <c r="O15" s="50">
        <f t="shared" si="0"/>
        <v>0</v>
      </c>
      <c r="P15" s="51">
        <f t="shared" si="1"/>
        <v>0</v>
      </c>
    </row>
    <row r="16" spans="1:16" x14ac:dyDescent="0.3">
      <c r="A16" t="s">
        <v>242</v>
      </c>
      <c r="B16" t="s">
        <v>542</v>
      </c>
      <c r="C16" t="s">
        <v>543</v>
      </c>
      <c r="D16" s="50">
        <f>_xlfn.IFNA(IF(VLOOKUP(B16,'System TB'!$A:$C,3,FALSE)&gt;0,VLOOKUP(B16,'System TB'!$A:$C,3,FALSE),0),0)</f>
        <v>0</v>
      </c>
      <c r="E16" s="52"/>
      <c r="F16" s="51">
        <f t="shared" si="2"/>
        <v>0</v>
      </c>
      <c r="O16" s="50">
        <f t="shared" si="0"/>
        <v>0</v>
      </c>
      <c r="P16" s="51">
        <f t="shared" si="1"/>
        <v>0</v>
      </c>
    </row>
    <row r="17" spans="1:16" x14ac:dyDescent="0.3">
      <c r="A17" t="s">
        <v>242</v>
      </c>
      <c r="B17" t="s">
        <v>544</v>
      </c>
      <c r="C17" t="s">
        <v>545</v>
      </c>
      <c r="D17" s="50">
        <f>_xlfn.IFNA(IF(VLOOKUP(B17,'System TB'!$A:$C,3,FALSE)&gt;0,VLOOKUP(B17,'System TB'!$A:$C,3,FALSE),0),0)</f>
        <v>0</v>
      </c>
      <c r="E17" s="52"/>
      <c r="F17" s="51">
        <f t="shared" si="2"/>
        <v>0</v>
      </c>
      <c r="O17" s="50">
        <f t="shared" si="0"/>
        <v>0</v>
      </c>
      <c r="P17" s="51">
        <f t="shared" si="1"/>
        <v>0</v>
      </c>
    </row>
    <row r="18" spans="1:16" x14ac:dyDescent="0.3">
      <c r="A18" t="s">
        <v>242</v>
      </c>
      <c r="B18" t="s">
        <v>546</v>
      </c>
      <c r="C18" t="s">
        <v>547</v>
      </c>
      <c r="D18" s="50">
        <f>_xlfn.IFNA(IF(VLOOKUP(B18,'System TB'!$A:$C,3,FALSE)&gt;0,VLOOKUP(B18,'System TB'!$A:$C,3,FALSE),0),0)</f>
        <v>0</v>
      </c>
      <c r="E18" s="52"/>
      <c r="F18" s="51">
        <f t="shared" si="2"/>
        <v>0</v>
      </c>
      <c r="O18" s="50">
        <f t="shared" si="0"/>
        <v>0</v>
      </c>
      <c r="P18" s="51">
        <f t="shared" si="1"/>
        <v>0</v>
      </c>
    </row>
    <row r="19" spans="1:16" x14ac:dyDescent="0.3">
      <c r="A19" t="s">
        <v>242</v>
      </c>
      <c r="B19" t="s">
        <v>548</v>
      </c>
      <c r="C19" t="s">
        <v>549</v>
      </c>
      <c r="D19" s="50">
        <f>_xlfn.IFNA(IF(VLOOKUP(B19,'System TB'!$A:$C,3,FALSE)&gt;0,VLOOKUP(B19,'System TB'!$A:$C,3,FALSE),0),0)</f>
        <v>0</v>
      </c>
      <c r="E19" s="52"/>
      <c r="F19" s="51">
        <f t="shared" si="2"/>
        <v>0</v>
      </c>
      <c r="O19" s="50">
        <f t="shared" si="0"/>
        <v>0</v>
      </c>
      <c r="P19" s="51">
        <f t="shared" si="1"/>
        <v>0</v>
      </c>
    </row>
    <row r="20" spans="1:16" x14ac:dyDescent="0.3">
      <c r="A20" t="s">
        <v>242</v>
      </c>
      <c r="B20" t="s">
        <v>550</v>
      </c>
      <c r="C20" t="s">
        <v>551</v>
      </c>
      <c r="D20" s="50">
        <f>_xlfn.IFNA(IF(VLOOKUP(B20,'System TB'!$A:$C,3,FALSE)&gt;0,VLOOKUP(B20,'System TB'!$A:$C,3,FALSE),0),0)</f>
        <v>0</v>
      </c>
      <c r="E20" s="52"/>
      <c r="F20" s="51">
        <f t="shared" si="2"/>
        <v>0</v>
      </c>
      <c r="O20" s="50">
        <f t="shared" si="0"/>
        <v>0</v>
      </c>
      <c r="P20" s="51">
        <f t="shared" si="1"/>
        <v>0</v>
      </c>
    </row>
    <row r="21" spans="1:16" x14ac:dyDescent="0.3">
      <c r="A21" t="s">
        <v>242</v>
      </c>
      <c r="B21" t="s">
        <v>552</v>
      </c>
      <c r="C21" t="s">
        <v>553</v>
      </c>
      <c r="D21" s="50">
        <f>_xlfn.IFNA(IF(VLOOKUP(B21,'System TB'!$A:$C,3,FALSE)&gt;0,VLOOKUP(B21,'System TB'!$A:$C,3,FALSE),0),0)</f>
        <v>0</v>
      </c>
      <c r="E21" s="52"/>
      <c r="F21" s="51">
        <f t="shared" si="2"/>
        <v>0</v>
      </c>
      <c r="O21" s="50">
        <f t="shared" si="0"/>
        <v>0</v>
      </c>
      <c r="P21" s="51">
        <f t="shared" si="1"/>
        <v>0</v>
      </c>
    </row>
    <row r="22" spans="1:16" x14ac:dyDescent="0.3">
      <c r="A22" t="s">
        <v>242</v>
      </c>
      <c r="B22" t="s">
        <v>554</v>
      </c>
      <c r="C22" t="s">
        <v>555</v>
      </c>
      <c r="D22" s="50">
        <f>_xlfn.IFNA(IF(VLOOKUP(B22,'System TB'!$A:$C,3,FALSE)&gt;0,VLOOKUP(B22,'System TB'!$A:$C,3,FALSE),0),0)</f>
        <v>0</v>
      </c>
      <c r="E22" s="52"/>
      <c r="F22" s="51">
        <f t="shared" si="2"/>
        <v>0</v>
      </c>
      <c r="O22" s="50">
        <f t="shared" si="0"/>
        <v>0</v>
      </c>
      <c r="P22" s="51">
        <f t="shared" si="1"/>
        <v>0</v>
      </c>
    </row>
    <row r="23" spans="1:16" x14ac:dyDescent="0.3">
      <c r="A23" t="s">
        <v>242</v>
      </c>
      <c r="B23" t="s">
        <v>556</v>
      </c>
      <c r="C23" t="s">
        <v>557</v>
      </c>
      <c r="D23" s="50">
        <f>_xlfn.IFNA(IF(VLOOKUP(B23,'System TB'!$A:$C,3,FALSE)&gt;0,VLOOKUP(B23,'System TB'!$A:$C,3,FALSE),0),0)</f>
        <v>0</v>
      </c>
      <c r="E23" s="52"/>
      <c r="F23" s="51">
        <f t="shared" si="2"/>
        <v>0</v>
      </c>
      <c r="O23" s="50">
        <f t="shared" si="0"/>
        <v>0</v>
      </c>
      <c r="P23" s="51">
        <f t="shared" si="1"/>
        <v>0</v>
      </c>
    </row>
    <row r="24" spans="1:16" x14ac:dyDescent="0.3">
      <c r="A24" t="s">
        <v>242</v>
      </c>
      <c r="B24" t="s">
        <v>558</v>
      </c>
      <c r="C24" t="s">
        <v>559</v>
      </c>
      <c r="D24" s="50">
        <f>_xlfn.IFNA(IF(VLOOKUP(B24,'System TB'!$A:$C,3,FALSE)&gt;0,VLOOKUP(B24,'System TB'!$A:$C,3,FALSE),0),0)</f>
        <v>0</v>
      </c>
      <c r="E24" s="52"/>
      <c r="F24" s="51">
        <f t="shared" si="2"/>
        <v>0</v>
      </c>
      <c r="O24" s="50">
        <f t="shared" si="0"/>
        <v>0</v>
      </c>
      <c r="P24" s="51">
        <f t="shared" si="1"/>
        <v>0</v>
      </c>
    </row>
    <row r="25" spans="1:16" x14ac:dyDescent="0.3">
      <c r="A25" t="s">
        <v>242</v>
      </c>
      <c r="B25" t="s">
        <v>560</v>
      </c>
      <c r="C25" t="s">
        <v>561</v>
      </c>
      <c r="D25" s="50">
        <f>_xlfn.IFNA(IF(VLOOKUP(B25,'System TB'!$A:$C,3,FALSE)&gt;0,VLOOKUP(B25,'System TB'!$A:$C,3,FALSE),0),0)</f>
        <v>0</v>
      </c>
      <c r="E25" s="52"/>
      <c r="F25" s="51">
        <f t="shared" si="2"/>
        <v>0</v>
      </c>
      <c r="O25" s="50">
        <f t="shared" si="0"/>
        <v>0</v>
      </c>
      <c r="P25" s="51">
        <f t="shared" si="1"/>
        <v>0</v>
      </c>
    </row>
    <row r="26" spans="1:16" x14ac:dyDescent="0.3">
      <c r="A26" t="s">
        <v>242</v>
      </c>
      <c r="B26" t="s">
        <v>562</v>
      </c>
      <c r="C26" t="s">
        <v>563</v>
      </c>
      <c r="D26" s="50">
        <f>_xlfn.IFNA(IF(VLOOKUP(B26,'System TB'!$A:$C,3,FALSE)&gt;0,VLOOKUP(B26,'System TB'!$A:$C,3,FALSE),0),0)</f>
        <v>0</v>
      </c>
      <c r="E26" s="52"/>
      <c r="F26" s="51">
        <f t="shared" si="2"/>
        <v>0</v>
      </c>
      <c r="O26" s="50">
        <f t="shared" si="0"/>
        <v>0</v>
      </c>
      <c r="P26" s="51">
        <f t="shared" si="1"/>
        <v>0</v>
      </c>
    </row>
    <row r="27" spans="1:16" x14ac:dyDescent="0.3">
      <c r="A27" t="s">
        <v>242</v>
      </c>
      <c r="B27" t="s">
        <v>564</v>
      </c>
      <c r="C27" t="s">
        <v>565</v>
      </c>
      <c r="D27" s="50">
        <f>_xlfn.IFNA(IF(VLOOKUP(B27,'System TB'!$A:$C,3,FALSE)&gt;0,VLOOKUP(B27,'System TB'!$A:$C,3,FALSE),0),0)</f>
        <v>20640850</v>
      </c>
      <c r="E27" s="52"/>
      <c r="G27" s="51">
        <f>D27</f>
        <v>20640850</v>
      </c>
      <c r="O27" s="50">
        <f t="shared" si="0"/>
        <v>20640850</v>
      </c>
      <c r="P27" s="51">
        <f t="shared" si="1"/>
        <v>0</v>
      </c>
    </row>
    <row r="28" spans="1:16" x14ac:dyDescent="0.3">
      <c r="A28" t="s">
        <v>242</v>
      </c>
      <c r="B28" t="s">
        <v>566</v>
      </c>
      <c r="C28" t="s">
        <v>567</v>
      </c>
      <c r="D28" s="50">
        <f>_xlfn.IFNA(IF(VLOOKUP(B28,'System TB'!$A:$C,3,FALSE)&gt;0,VLOOKUP(B28,'System TB'!$A:$C,3,FALSE),0),0)</f>
        <v>6488000</v>
      </c>
      <c r="E28" s="52"/>
      <c r="L28" s="51">
        <f>D28</f>
        <v>6488000</v>
      </c>
      <c r="O28" s="50">
        <f t="shared" si="0"/>
        <v>6488000</v>
      </c>
      <c r="P28" s="51">
        <f t="shared" si="1"/>
        <v>0</v>
      </c>
    </row>
    <row r="29" spans="1:16" x14ac:dyDescent="0.3">
      <c r="A29" t="s">
        <v>242</v>
      </c>
      <c r="B29" t="s">
        <v>568</v>
      </c>
      <c r="C29" t="s">
        <v>569</v>
      </c>
      <c r="D29" s="50">
        <f>_xlfn.IFNA(IF(VLOOKUP(B29,'System TB'!$A:$C,3,FALSE)&gt;0,VLOOKUP(B29,'System TB'!$A:$C,3,FALSE),0),0)</f>
        <v>21760102.140000001</v>
      </c>
      <c r="E29" s="52"/>
      <c r="L29" s="51">
        <f>D29</f>
        <v>21760102.140000001</v>
      </c>
      <c r="O29" s="50">
        <f t="shared" si="0"/>
        <v>21760102.140000001</v>
      </c>
      <c r="P29" s="51">
        <f t="shared" si="1"/>
        <v>0</v>
      </c>
    </row>
    <row r="30" spans="1:16" x14ac:dyDescent="0.3">
      <c r="A30" t="s">
        <v>242</v>
      </c>
      <c r="B30" t="s">
        <v>570</v>
      </c>
      <c r="C30" t="s">
        <v>571</v>
      </c>
      <c r="D30" s="50">
        <f>_xlfn.IFNA(IF(VLOOKUP(B30,'System TB'!$A:$C,3,FALSE)&gt;0,VLOOKUP(B30,'System TB'!$A:$C,3,FALSE),0),0)</f>
        <v>0</v>
      </c>
      <c r="E30" s="52"/>
      <c r="G30" s="51">
        <f>D30</f>
        <v>0</v>
      </c>
      <c r="O30" s="50">
        <f t="shared" si="0"/>
        <v>0</v>
      </c>
      <c r="P30" s="51">
        <f t="shared" si="1"/>
        <v>0</v>
      </c>
    </row>
    <row r="31" spans="1:16" x14ac:dyDescent="0.3">
      <c r="A31" t="s">
        <v>242</v>
      </c>
      <c r="B31" t="s">
        <v>572</v>
      </c>
      <c r="C31" t="s">
        <v>573</v>
      </c>
      <c r="D31" s="50">
        <f>_xlfn.IFNA(IF(VLOOKUP(B31,'System TB'!$A:$C,3,FALSE)&gt;0,VLOOKUP(B31,'System TB'!$A:$C,3,FALSE),0),0)</f>
        <v>9263191.2599999998</v>
      </c>
      <c r="E31" s="52"/>
      <c r="G31" s="50">
        <f>D31/6</f>
        <v>1543865.21</v>
      </c>
      <c r="H31" s="51">
        <f>G31*2</f>
        <v>3087730.42</v>
      </c>
      <c r="I31" s="51">
        <f>G31*3</f>
        <v>4631595.63</v>
      </c>
      <c r="J31" s="51"/>
      <c r="O31" s="50">
        <f t="shared" si="0"/>
        <v>9263191.2599999998</v>
      </c>
      <c r="P31" s="51">
        <f t="shared" si="1"/>
        <v>0</v>
      </c>
    </row>
    <row r="32" spans="1:16" x14ac:dyDescent="0.3">
      <c r="A32" s="20" t="s">
        <v>239</v>
      </c>
      <c r="B32" t="s">
        <v>574</v>
      </c>
      <c r="C32" t="s">
        <v>575</v>
      </c>
      <c r="D32" s="50">
        <f>_xlfn.IFNA(IF(VLOOKUP(B32,'System TB'!$A:$C,3,FALSE)&gt;0,VLOOKUP(B32,'System TB'!$A:$C,3,FALSE),0),0)</f>
        <v>55000</v>
      </c>
      <c r="E32" s="52"/>
      <c r="G32" s="51">
        <f>D32</f>
        <v>55000</v>
      </c>
      <c r="O32" s="50">
        <f t="shared" si="0"/>
        <v>55000</v>
      </c>
      <c r="P32" s="51">
        <f t="shared" si="1"/>
        <v>0</v>
      </c>
    </row>
    <row r="33" spans="1:16" x14ac:dyDescent="0.3">
      <c r="A33" s="20" t="s">
        <v>239</v>
      </c>
      <c r="B33" t="s">
        <v>576</v>
      </c>
      <c r="C33" t="s">
        <v>577</v>
      </c>
      <c r="D33" s="50">
        <f>_xlfn.IFNA(IF(VLOOKUP(B33,'System TB'!$A:$C,3,FALSE)&gt;0,VLOOKUP(B33,'System TB'!$A:$C,3,FALSE),0),0)</f>
        <v>0</v>
      </c>
      <c r="E33" s="52"/>
      <c r="G33" s="51">
        <f>D33</f>
        <v>0</v>
      </c>
      <c r="O33" s="50">
        <f t="shared" si="0"/>
        <v>0</v>
      </c>
      <c r="P33" s="51">
        <f t="shared" si="1"/>
        <v>0</v>
      </c>
    </row>
    <row r="34" spans="1:16" x14ac:dyDescent="0.3">
      <c r="A34" t="s">
        <v>242</v>
      </c>
      <c r="B34" t="s">
        <v>578</v>
      </c>
      <c r="C34" t="s">
        <v>579</v>
      </c>
      <c r="D34" s="50">
        <f>_xlfn.IFNA(IF(VLOOKUP(B34,'System TB'!$A:$C,3,FALSE)&gt;0,VLOOKUP(B34,'System TB'!$A:$C,3,FALSE),0),0)</f>
        <v>72000881.329999998</v>
      </c>
      <c r="E34" s="52"/>
      <c r="G34" s="51"/>
      <c r="H34" s="51">
        <f>D34</f>
        <v>72000881.329999998</v>
      </c>
      <c r="O34" s="50">
        <f t="shared" ref="O34:O65" si="3">SUM(F34:N34)</f>
        <v>72000881.329999998</v>
      </c>
      <c r="P34" s="51">
        <f t="shared" ref="P34:P65" si="4">O34-D34</f>
        <v>0</v>
      </c>
    </row>
    <row r="35" spans="1:16" x14ac:dyDescent="0.3">
      <c r="A35" t="s">
        <v>242</v>
      </c>
      <c r="B35" t="s">
        <v>580</v>
      </c>
      <c r="C35" t="s">
        <v>581</v>
      </c>
      <c r="D35" s="50">
        <f>_xlfn.IFNA(IF(VLOOKUP(B35,'System TB'!$A:$C,3,FALSE)&gt;0,VLOOKUP(B35,'System TB'!$A:$C,3,FALSE),0),0)</f>
        <v>0</v>
      </c>
      <c r="E35" s="52"/>
      <c r="F35" s="51">
        <f>D35</f>
        <v>0</v>
      </c>
      <c r="O35" s="50">
        <f t="shared" si="3"/>
        <v>0</v>
      </c>
      <c r="P35" s="51">
        <f t="shared" si="4"/>
        <v>0</v>
      </c>
    </row>
    <row r="36" spans="1:16" x14ac:dyDescent="0.3">
      <c r="A36" t="s">
        <v>242</v>
      </c>
      <c r="B36" t="s">
        <v>582</v>
      </c>
      <c r="C36" t="s">
        <v>583</v>
      </c>
      <c r="D36" s="50">
        <f>_xlfn.IFNA(IF(VLOOKUP(B36,'System TB'!$A:$C,3,FALSE)&gt;0,VLOOKUP(B36,'System TB'!$A:$C,3,FALSE),0),0)</f>
        <v>0</v>
      </c>
      <c r="E36" s="52"/>
      <c r="F36" s="51">
        <f>D36</f>
        <v>0</v>
      </c>
      <c r="O36" s="50">
        <f t="shared" si="3"/>
        <v>0</v>
      </c>
      <c r="P36" s="51">
        <f t="shared" si="4"/>
        <v>0</v>
      </c>
    </row>
    <row r="37" spans="1:16" x14ac:dyDescent="0.3">
      <c r="A37" t="s">
        <v>242</v>
      </c>
      <c r="B37" t="s">
        <v>584</v>
      </c>
      <c r="C37" t="s">
        <v>585</v>
      </c>
      <c r="D37" s="50">
        <f>_xlfn.IFNA(IF(VLOOKUP(B37,'System TB'!$A:$C,3,FALSE)&gt;0,VLOOKUP(B37,'System TB'!$A:$C,3,FALSE),0),0)</f>
        <v>0</v>
      </c>
      <c r="E37" s="52"/>
      <c r="F37" s="51">
        <f>D37</f>
        <v>0</v>
      </c>
      <c r="O37" s="50">
        <f t="shared" si="3"/>
        <v>0</v>
      </c>
      <c r="P37" s="51">
        <f t="shared" si="4"/>
        <v>0</v>
      </c>
    </row>
    <row r="38" spans="1:16" x14ac:dyDescent="0.3">
      <c r="A38" t="s">
        <v>242</v>
      </c>
      <c r="B38" t="s">
        <v>586</v>
      </c>
      <c r="C38" t="s">
        <v>587</v>
      </c>
      <c r="D38" s="50">
        <f>_xlfn.IFNA(IF(VLOOKUP(B38,'System TB'!$A:$C,3,FALSE)&gt;0,VLOOKUP(B38,'System TB'!$A:$C,3,FALSE),0),0)</f>
        <v>1159682.67</v>
      </c>
      <c r="E38" s="52"/>
      <c r="G38" s="51"/>
      <c r="H38" s="51">
        <f>D38</f>
        <v>1159682.67</v>
      </c>
      <c r="O38" s="50">
        <f t="shared" si="3"/>
        <v>1159682.67</v>
      </c>
      <c r="P38" s="51">
        <f t="shared" si="4"/>
        <v>0</v>
      </c>
    </row>
    <row r="39" spans="1:16" x14ac:dyDescent="0.3">
      <c r="A39" t="s">
        <v>242</v>
      </c>
      <c r="B39" t="s">
        <v>588</v>
      </c>
      <c r="C39" t="s">
        <v>589</v>
      </c>
      <c r="D39" s="50">
        <f>_xlfn.IFNA(IF(VLOOKUP(B39,'System TB'!$A:$C,3,FALSE)&gt;0,VLOOKUP(B39,'System TB'!$A:$C,3,FALSE),0),0)</f>
        <v>0</v>
      </c>
      <c r="E39" s="52"/>
      <c r="G39" s="51">
        <f>D39</f>
        <v>0</v>
      </c>
      <c r="O39" s="50">
        <f t="shared" si="3"/>
        <v>0</v>
      </c>
      <c r="P39" s="51">
        <f t="shared" si="4"/>
        <v>0</v>
      </c>
    </row>
    <row r="40" spans="1:16" x14ac:dyDescent="0.3">
      <c r="A40" t="s">
        <v>242</v>
      </c>
      <c r="B40" t="s">
        <v>590</v>
      </c>
      <c r="C40" t="s">
        <v>591</v>
      </c>
      <c r="D40" s="50">
        <f>_xlfn.IFNA(IF(VLOOKUP(B40,'System TB'!$A:$C,3,FALSE)&gt;0,VLOOKUP(B40,'System TB'!$A:$C,3,FALSE),0),0)</f>
        <v>0</v>
      </c>
      <c r="E40" s="52"/>
      <c r="G40" s="51">
        <f>D40</f>
        <v>0</v>
      </c>
      <c r="O40" s="50">
        <f t="shared" si="3"/>
        <v>0</v>
      </c>
      <c r="P40" s="51">
        <f t="shared" si="4"/>
        <v>0</v>
      </c>
    </row>
    <row r="41" spans="1:16" x14ac:dyDescent="0.3">
      <c r="A41" t="s">
        <v>242</v>
      </c>
      <c r="B41" t="s">
        <v>592</v>
      </c>
      <c r="C41" t="s">
        <v>593</v>
      </c>
      <c r="D41" s="50">
        <f>_xlfn.IFNA(IF(VLOOKUP(B41,'System TB'!$A:$C,3,FALSE)&gt;0,VLOOKUP(B41,'System TB'!$A:$C,3,FALSE),0),0)</f>
        <v>0</v>
      </c>
      <c r="E41" s="52"/>
      <c r="G41" s="51">
        <f>D41</f>
        <v>0</v>
      </c>
      <c r="O41" s="50">
        <f t="shared" si="3"/>
        <v>0</v>
      </c>
      <c r="P41" s="51">
        <f t="shared" si="4"/>
        <v>0</v>
      </c>
    </row>
    <row r="42" spans="1:16" x14ac:dyDescent="0.3">
      <c r="A42" t="s">
        <v>242</v>
      </c>
      <c r="B42" t="s">
        <v>594</v>
      </c>
      <c r="C42" t="s">
        <v>595</v>
      </c>
      <c r="D42" s="50">
        <f>_xlfn.IFNA(IF(VLOOKUP(B42,'System TB'!$A:$C,3,FALSE)&gt;0,VLOOKUP(B42,'System TB'!$A:$C,3,FALSE),0),0)</f>
        <v>0</v>
      </c>
      <c r="E42" s="52"/>
      <c r="F42" s="51">
        <f>D42</f>
        <v>0</v>
      </c>
      <c r="O42" s="50">
        <f t="shared" si="3"/>
        <v>0</v>
      </c>
      <c r="P42" s="51">
        <f t="shared" si="4"/>
        <v>0</v>
      </c>
    </row>
    <row r="43" spans="1:16" x14ac:dyDescent="0.3">
      <c r="A43" t="s">
        <v>242</v>
      </c>
      <c r="B43" t="s">
        <v>596</v>
      </c>
      <c r="C43" t="s">
        <v>597</v>
      </c>
      <c r="D43" s="50">
        <f>_xlfn.IFNA(IF(VLOOKUP(B43,'System TB'!$A:$C,3,FALSE)&gt;0,VLOOKUP(B43,'System TB'!$A:$C,3,FALSE),0),0)</f>
        <v>1229510</v>
      </c>
      <c r="E43" s="52"/>
      <c r="G43" s="51"/>
      <c r="H43" s="51">
        <f>D43</f>
        <v>1229510</v>
      </c>
      <c r="O43" s="50">
        <f t="shared" si="3"/>
        <v>1229510</v>
      </c>
      <c r="P43" s="51">
        <f t="shared" si="4"/>
        <v>0</v>
      </c>
    </row>
    <row r="44" spans="1:16" x14ac:dyDescent="0.3">
      <c r="A44" s="20" t="s">
        <v>242</v>
      </c>
      <c r="B44" t="s">
        <v>598</v>
      </c>
      <c r="C44" t="s">
        <v>599</v>
      </c>
      <c r="D44" s="50">
        <f>_xlfn.IFNA(IF(VLOOKUP(B44,'System TB'!$A:$C,3,FALSE)&gt;0,VLOOKUP(B44,'System TB'!$A:$C,3,FALSE),0),0)</f>
        <v>5000000</v>
      </c>
      <c r="E44" s="52"/>
      <c r="G44" s="51">
        <f>D44</f>
        <v>5000000</v>
      </c>
      <c r="O44" s="50">
        <f t="shared" si="3"/>
        <v>5000000</v>
      </c>
      <c r="P44" s="51">
        <f t="shared" si="4"/>
        <v>0</v>
      </c>
    </row>
    <row r="45" spans="1:16" x14ac:dyDescent="0.3">
      <c r="A45" t="s">
        <v>239</v>
      </c>
      <c r="B45" t="s">
        <v>600</v>
      </c>
      <c r="C45" t="s">
        <v>601</v>
      </c>
      <c r="D45" s="50">
        <f>_xlfn.IFNA(IF(VLOOKUP(B45,'System TB'!$A:$C,3,FALSE)&gt;0,VLOOKUP(B45,'System TB'!$A:$C,3,FALSE),0),0)</f>
        <v>0.04</v>
      </c>
      <c r="E45" s="52"/>
      <c r="G45" s="51">
        <f>D45</f>
        <v>0.04</v>
      </c>
      <c r="O45" s="50">
        <f t="shared" si="3"/>
        <v>0.04</v>
      </c>
      <c r="P45" s="51">
        <f t="shared" si="4"/>
        <v>0</v>
      </c>
    </row>
    <row r="46" spans="1:16" x14ac:dyDescent="0.3">
      <c r="A46" t="s">
        <v>242</v>
      </c>
      <c r="B46" t="s">
        <v>602</v>
      </c>
      <c r="C46" t="s">
        <v>603</v>
      </c>
      <c r="D46" s="50">
        <f>_xlfn.IFNA(IF(VLOOKUP(B46,'System TB'!$A:$C,3,FALSE)&gt;0,VLOOKUP(B46,'System TB'!$A:$C,3,FALSE),0),0)</f>
        <v>0</v>
      </c>
      <c r="E46" s="52"/>
      <c r="F46" s="51">
        <f t="shared" ref="F46:F51" si="5">D46</f>
        <v>0</v>
      </c>
      <c r="O46" s="50">
        <f t="shared" si="3"/>
        <v>0</v>
      </c>
      <c r="P46" s="51">
        <f t="shared" si="4"/>
        <v>0</v>
      </c>
    </row>
    <row r="47" spans="1:16" x14ac:dyDescent="0.3">
      <c r="A47" t="s">
        <v>242</v>
      </c>
      <c r="B47" t="s">
        <v>604</v>
      </c>
      <c r="C47" t="s">
        <v>605</v>
      </c>
      <c r="D47" s="50">
        <f>_xlfn.IFNA(IF(VLOOKUP(B47,'System TB'!$A:$C,3,FALSE)&gt;0,VLOOKUP(B47,'System TB'!$A:$C,3,FALSE),0),0)</f>
        <v>0</v>
      </c>
      <c r="E47" s="52"/>
      <c r="F47" s="51">
        <f t="shared" si="5"/>
        <v>0</v>
      </c>
      <c r="O47" s="50">
        <f t="shared" si="3"/>
        <v>0</v>
      </c>
      <c r="P47" s="51">
        <f t="shared" si="4"/>
        <v>0</v>
      </c>
    </row>
    <row r="48" spans="1:16" x14ac:dyDescent="0.3">
      <c r="A48" t="s">
        <v>242</v>
      </c>
      <c r="B48" t="s">
        <v>606</v>
      </c>
      <c r="C48" t="s">
        <v>607</v>
      </c>
      <c r="D48" s="50">
        <f>_xlfn.IFNA(IF(VLOOKUP(B48,'System TB'!$A:$C,3,FALSE)&gt;0,VLOOKUP(B48,'System TB'!$A:$C,3,FALSE),0),0)</f>
        <v>0</v>
      </c>
      <c r="E48" s="52"/>
      <c r="F48" s="51">
        <f t="shared" si="5"/>
        <v>0</v>
      </c>
      <c r="O48" s="50">
        <f t="shared" si="3"/>
        <v>0</v>
      </c>
      <c r="P48" s="51">
        <f t="shared" si="4"/>
        <v>0</v>
      </c>
    </row>
    <row r="49" spans="1:16" x14ac:dyDescent="0.3">
      <c r="A49" t="s">
        <v>242</v>
      </c>
      <c r="B49" t="s">
        <v>608</v>
      </c>
      <c r="C49" t="s">
        <v>609</v>
      </c>
      <c r="D49" s="50">
        <f>_xlfn.IFNA(IF(VLOOKUP(B49,'System TB'!$A:$C,3,FALSE)&gt;0,VLOOKUP(B49,'System TB'!$A:$C,3,FALSE),0),0)</f>
        <v>0</v>
      </c>
      <c r="E49" s="52"/>
      <c r="F49" s="51">
        <f t="shared" si="5"/>
        <v>0</v>
      </c>
      <c r="O49" s="50">
        <f t="shared" si="3"/>
        <v>0</v>
      </c>
      <c r="P49" s="51">
        <f t="shared" si="4"/>
        <v>0</v>
      </c>
    </row>
    <row r="50" spans="1:16" x14ac:dyDescent="0.3">
      <c r="A50" t="s">
        <v>242</v>
      </c>
      <c r="B50" t="s">
        <v>610</v>
      </c>
      <c r="C50" t="s">
        <v>611</v>
      </c>
      <c r="D50" s="50">
        <f>_xlfn.IFNA(IF(VLOOKUP(B50,'System TB'!$A:$C,3,FALSE)&gt;0,VLOOKUP(B50,'System TB'!$A:$C,3,FALSE),0),0)</f>
        <v>0</v>
      </c>
      <c r="E50" s="52"/>
      <c r="F50" s="51">
        <f t="shared" si="5"/>
        <v>0</v>
      </c>
      <c r="O50" s="50">
        <f t="shared" si="3"/>
        <v>0</v>
      </c>
      <c r="P50" s="51">
        <f t="shared" si="4"/>
        <v>0</v>
      </c>
    </row>
    <row r="51" spans="1:16" x14ac:dyDescent="0.3">
      <c r="A51" t="s">
        <v>242</v>
      </c>
      <c r="B51" t="s">
        <v>612</v>
      </c>
      <c r="C51" t="s">
        <v>613</v>
      </c>
      <c r="D51" s="50">
        <f>_xlfn.IFNA(IF(VLOOKUP(B51,'System TB'!$A:$C,3,FALSE)&gt;0,VLOOKUP(B51,'System TB'!$A:$C,3,FALSE),0),0)</f>
        <v>0</v>
      </c>
      <c r="E51" s="52"/>
      <c r="F51" s="51">
        <f t="shared" si="5"/>
        <v>0</v>
      </c>
      <c r="O51" s="50">
        <f t="shared" si="3"/>
        <v>0</v>
      </c>
      <c r="P51" s="51">
        <f t="shared" si="4"/>
        <v>0</v>
      </c>
    </row>
    <row r="52" spans="1:16" x14ac:dyDescent="0.3">
      <c r="A52" t="s">
        <v>239</v>
      </c>
      <c r="B52" t="s">
        <v>614</v>
      </c>
      <c r="C52" t="s">
        <v>615</v>
      </c>
      <c r="D52" s="50">
        <f>_xlfn.IFNA(IF(VLOOKUP(B52,'System TB'!$A:$C,3,FALSE)&gt;0,VLOOKUP(B52,'System TB'!$A:$C,3,FALSE),0),0)</f>
        <v>0.34</v>
      </c>
      <c r="E52" s="52"/>
      <c r="G52" s="51">
        <f>D52</f>
        <v>0.34</v>
      </c>
      <c r="O52" s="50">
        <f t="shared" si="3"/>
        <v>0.34</v>
      </c>
      <c r="P52" s="51">
        <f t="shared" si="4"/>
        <v>0</v>
      </c>
    </row>
    <row r="53" spans="1:16" x14ac:dyDescent="0.3">
      <c r="A53" t="s">
        <v>239</v>
      </c>
      <c r="B53" t="s">
        <v>616</v>
      </c>
      <c r="C53" t="s">
        <v>617</v>
      </c>
      <c r="D53" s="50">
        <f>_xlfn.IFNA(IF(VLOOKUP(B53,'System TB'!$A:$C,3,FALSE)&gt;0,VLOOKUP(B53,'System TB'!$A:$C,3,FALSE),0),0)</f>
        <v>2515311.15</v>
      </c>
      <c r="E53" s="52"/>
      <c r="G53" s="51">
        <f>D53</f>
        <v>2515311.15</v>
      </c>
      <c r="O53" s="50">
        <f t="shared" si="3"/>
        <v>2515311.15</v>
      </c>
      <c r="P53" s="51">
        <f t="shared" si="4"/>
        <v>0</v>
      </c>
    </row>
    <row r="54" spans="1:16" x14ac:dyDescent="0.3">
      <c r="A54" t="s">
        <v>239</v>
      </c>
      <c r="B54" t="s">
        <v>618</v>
      </c>
      <c r="C54" t="s">
        <v>619</v>
      </c>
      <c r="D54" s="50">
        <f>_xlfn.IFNA(IF(VLOOKUP(B54,'System TB'!$A:$C,3,FALSE)&gt;0,VLOOKUP(B54,'System TB'!$A:$C,3,FALSE),0),0)</f>
        <v>176731.49</v>
      </c>
      <c r="E54" s="52"/>
      <c r="G54" s="51">
        <f>D54</f>
        <v>176731.49</v>
      </c>
      <c r="O54" s="50">
        <f t="shared" si="3"/>
        <v>176731.49</v>
      </c>
      <c r="P54" s="51">
        <f t="shared" si="4"/>
        <v>0</v>
      </c>
    </row>
    <row r="55" spans="1:16" x14ac:dyDescent="0.3">
      <c r="A55" t="s">
        <v>239</v>
      </c>
      <c r="B55" t="s">
        <v>620</v>
      </c>
      <c r="C55" t="s">
        <v>621</v>
      </c>
      <c r="D55" s="50">
        <f>_xlfn.IFNA(IF(VLOOKUP(B55,'System TB'!$A:$C,3,FALSE)&gt;0,VLOOKUP(B55,'System TB'!$A:$C,3,FALSE),0),0)</f>
        <v>55281.95</v>
      </c>
      <c r="E55" s="52"/>
      <c r="G55" s="51">
        <f>D55</f>
        <v>55281.95</v>
      </c>
      <c r="O55" s="50">
        <f t="shared" si="3"/>
        <v>55281.95</v>
      </c>
      <c r="P55" s="51">
        <f t="shared" si="4"/>
        <v>0</v>
      </c>
    </row>
    <row r="56" spans="1:16" x14ac:dyDescent="0.3">
      <c r="A56" t="s">
        <v>239</v>
      </c>
      <c r="B56" t="s">
        <v>622</v>
      </c>
      <c r="C56" t="s">
        <v>623</v>
      </c>
      <c r="D56" s="50">
        <f>_xlfn.IFNA(IF(VLOOKUP(B56,'System TB'!$A:$C,3,FALSE)&gt;0,VLOOKUP(B56,'System TB'!$A:$C,3,FALSE),0),0)</f>
        <v>192672.75</v>
      </c>
      <c r="E56" s="52"/>
      <c r="G56" s="51">
        <f>D56</f>
        <v>192672.75</v>
      </c>
      <c r="O56" s="50">
        <f t="shared" si="3"/>
        <v>192672.75</v>
      </c>
      <c r="P56" s="51">
        <f t="shared" si="4"/>
        <v>0</v>
      </c>
    </row>
    <row r="57" spans="1:16" x14ac:dyDescent="0.3">
      <c r="A57" t="s">
        <v>242</v>
      </c>
      <c r="B57" t="s">
        <v>624</v>
      </c>
      <c r="C57" t="s">
        <v>625</v>
      </c>
      <c r="D57" s="50">
        <f>_xlfn.IFNA(IF(VLOOKUP(B57,'System TB'!$A:$C,3,FALSE)&gt;0,VLOOKUP(B57,'System TB'!$A:$C,3,FALSE),0),0)</f>
        <v>0</v>
      </c>
      <c r="E57" s="52"/>
      <c r="F57" s="51">
        <f>D57</f>
        <v>0</v>
      </c>
      <c r="O57" s="50">
        <f t="shared" si="3"/>
        <v>0</v>
      </c>
      <c r="P57" s="51">
        <f t="shared" si="4"/>
        <v>0</v>
      </c>
    </row>
    <row r="58" spans="1:16" x14ac:dyDescent="0.3">
      <c r="A58" t="s">
        <v>242</v>
      </c>
      <c r="B58" t="s">
        <v>626</v>
      </c>
      <c r="C58" t="s">
        <v>627</v>
      </c>
      <c r="D58" s="50">
        <f>_xlfn.IFNA(IF(VLOOKUP(B58,'System TB'!$A:$C,3,FALSE)&gt;0,VLOOKUP(B58,'System TB'!$A:$C,3,FALSE),0),0)</f>
        <v>0</v>
      </c>
      <c r="E58" s="52"/>
      <c r="F58" s="51">
        <f>D58</f>
        <v>0</v>
      </c>
      <c r="G58" s="51"/>
      <c r="O58" s="50">
        <f t="shared" si="3"/>
        <v>0</v>
      </c>
      <c r="P58" s="51">
        <f t="shared" si="4"/>
        <v>0</v>
      </c>
    </row>
    <row r="59" spans="1:16" x14ac:dyDescent="0.3">
      <c r="A59" t="s">
        <v>242</v>
      </c>
      <c r="B59" t="s">
        <v>628</v>
      </c>
      <c r="C59" t="s">
        <v>629</v>
      </c>
      <c r="D59" s="50">
        <f>_xlfn.IFNA(IF(VLOOKUP(B59,'System TB'!$A:$C,3,FALSE)&gt;0,VLOOKUP(B59,'System TB'!$A:$C,3,FALSE),0),0)</f>
        <v>8290535.9400000004</v>
      </c>
      <c r="E59" s="52"/>
      <c r="G59" s="51">
        <f>D59</f>
        <v>8290535.9400000004</v>
      </c>
      <c r="O59" s="50">
        <f t="shared" si="3"/>
        <v>8290535.9400000004</v>
      </c>
      <c r="P59" s="51">
        <f t="shared" si="4"/>
        <v>0</v>
      </c>
    </row>
    <row r="60" spans="1:16" x14ac:dyDescent="0.3">
      <c r="A60" t="s">
        <v>242</v>
      </c>
      <c r="B60" t="s">
        <v>630</v>
      </c>
      <c r="C60" t="s">
        <v>631</v>
      </c>
      <c r="D60" s="50">
        <f>_xlfn.IFNA(IF(VLOOKUP(B60,'System TB'!$A:$C,3,FALSE)&gt;0,VLOOKUP(B60,'System TB'!$A:$C,3,FALSE),0),0)</f>
        <v>55126595.140000001</v>
      </c>
      <c r="E60" s="52"/>
      <c r="G60" s="51">
        <f>D60</f>
        <v>55126595.140000001</v>
      </c>
      <c r="O60" s="50">
        <f t="shared" si="3"/>
        <v>55126595.140000001</v>
      </c>
      <c r="P60" s="51">
        <f t="shared" si="4"/>
        <v>0</v>
      </c>
    </row>
    <row r="61" spans="1:16" x14ac:dyDescent="0.3">
      <c r="A61" t="s">
        <v>239</v>
      </c>
      <c r="B61" t="s">
        <v>632</v>
      </c>
      <c r="C61" t="s">
        <v>633</v>
      </c>
      <c r="D61" s="50">
        <f>_xlfn.IFNA(IF(VLOOKUP(B61,'System TB'!$A:$C,3,FALSE)&gt;0,VLOOKUP(B61,'System TB'!$A:$C,3,FALSE),0),0)</f>
        <v>0.78</v>
      </c>
      <c r="E61" s="52"/>
      <c r="G61" s="51">
        <f>D61</f>
        <v>0.78</v>
      </c>
      <c r="O61" s="50">
        <f t="shared" si="3"/>
        <v>0.78</v>
      </c>
      <c r="P61" s="51">
        <f t="shared" si="4"/>
        <v>0</v>
      </c>
    </row>
    <row r="62" spans="1:16" x14ac:dyDescent="0.3">
      <c r="A62" t="s">
        <v>242</v>
      </c>
      <c r="B62" t="s">
        <v>634</v>
      </c>
      <c r="C62" t="s">
        <v>635</v>
      </c>
      <c r="D62" s="50">
        <f>_xlfn.IFNA(IF(VLOOKUP(B62,'System TB'!$A:$C,3,FALSE)&gt;0,VLOOKUP(B62,'System TB'!$A:$C,3,FALSE),0),0)</f>
        <v>0</v>
      </c>
      <c r="E62" s="52"/>
      <c r="F62" s="51">
        <f>D62</f>
        <v>0</v>
      </c>
      <c r="O62" s="50">
        <f t="shared" si="3"/>
        <v>0</v>
      </c>
      <c r="P62" s="51">
        <f t="shared" si="4"/>
        <v>0</v>
      </c>
    </row>
    <row r="63" spans="1:16" x14ac:dyDescent="0.3">
      <c r="A63" t="s">
        <v>242</v>
      </c>
      <c r="B63" t="s">
        <v>636</v>
      </c>
      <c r="C63" t="s">
        <v>637</v>
      </c>
      <c r="D63" s="50">
        <f>_xlfn.IFNA(IF(VLOOKUP(B63,'System TB'!$A:$C,3,FALSE)&gt;0,VLOOKUP(B63,'System TB'!$A:$C,3,FALSE),0),0)</f>
        <v>0</v>
      </c>
      <c r="E63" s="52"/>
      <c r="G63" s="51">
        <f t="shared" ref="G63:G96" si="6">D63</f>
        <v>0</v>
      </c>
      <c r="O63" s="50">
        <f t="shared" si="3"/>
        <v>0</v>
      </c>
      <c r="P63" s="51">
        <f t="shared" si="4"/>
        <v>0</v>
      </c>
    </row>
    <row r="64" spans="1:16" x14ac:dyDescent="0.3">
      <c r="A64" t="s">
        <v>242</v>
      </c>
      <c r="B64" t="s">
        <v>638</v>
      </c>
      <c r="C64" t="s">
        <v>639</v>
      </c>
      <c r="D64" s="50">
        <f>_xlfn.IFNA(IF(VLOOKUP(B64,'System TB'!$A:$C,3,FALSE)&gt;0,VLOOKUP(B64,'System TB'!$A:$C,3,FALSE),0),0)</f>
        <v>0</v>
      </c>
      <c r="E64" s="52"/>
      <c r="G64" s="51">
        <f t="shared" si="6"/>
        <v>0</v>
      </c>
      <c r="O64" s="50">
        <f t="shared" si="3"/>
        <v>0</v>
      </c>
      <c r="P64" s="51">
        <f t="shared" si="4"/>
        <v>0</v>
      </c>
    </row>
    <row r="65" spans="1:16" x14ac:dyDescent="0.3">
      <c r="A65" t="s">
        <v>242</v>
      </c>
      <c r="B65" t="s">
        <v>640</v>
      </c>
      <c r="C65" t="s">
        <v>641</v>
      </c>
      <c r="D65" s="50">
        <f>_xlfn.IFNA(IF(VLOOKUP(B65,'System TB'!$A:$C,3,FALSE)&gt;0,VLOOKUP(B65,'System TB'!$A:$C,3,FALSE),0),0)</f>
        <v>0</v>
      </c>
      <c r="E65" s="52"/>
      <c r="G65" s="51">
        <f t="shared" si="6"/>
        <v>0</v>
      </c>
      <c r="O65" s="50">
        <f t="shared" si="3"/>
        <v>0</v>
      </c>
      <c r="P65" s="51">
        <f t="shared" si="4"/>
        <v>0</v>
      </c>
    </row>
    <row r="66" spans="1:16" x14ac:dyDescent="0.3">
      <c r="A66" t="s">
        <v>242</v>
      </c>
      <c r="B66" t="s">
        <v>642</v>
      </c>
      <c r="C66" t="s">
        <v>643</v>
      </c>
      <c r="D66" s="50">
        <f>_xlfn.IFNA(IF(VLOOKUP(B66,'System TB'!$A:$C,3,FALSE)&gt;0,VLOOKUP(B66,'System TB'!$A:$C,3,FALSE),0),0)</f>
        <v>2500</v>
      </c>
      <c r="E66" s="52"/>
      <c r="G66" s="51">
        <f t="shared" si="6"/>
        <v>2500</v>
      </c>
      <c r="O66" s="50">
        <f t="shared" ref="O66:O97" si="7">SUM(F66:N66)</f>
        <v>2500</v>
      </c>
      <c r="P66" s="51">
        <f t="shared" ref="P66:P97" si="8">O66-D66</f>
        <v>0</v>
      </c>
    </row>
    <row r="67" spans="1:16" x14ac:dyDescent="0.3">
      <c r="A67" t="s">
        <v>242</v>
      </c>
      <c r="B67" t="s">
        <v>644</v>
      </c>
      <c r="C67" t="s">
        <v>645</v>
      </c>
      <c r="D67" s="50">
        <f>_xlfn.IFNA(IF(VLOOKUP(B67,'System TB'!$A:$C,3,FALSE)&gt;0,VLOOKUP(B67,'System TB'!$A:$C,3,FALSE),0),0)</f>
        <v>0</v>
      </c>
      <c r="E67" s="52"/>
      <c r="G67" s="51">
        <f t="shared" si="6"/>
        <v>0</v>
      </c>
      <c r="O67" s="50">
        <f t="shared" si="7"/>
        <v>0</v>
      </c>
      <c r="P67" s="51">
        <f t="shared" si="8"/>
        <v>0</v>
      </c>
    </row>
    <row r="68" spans="1:16" x14ac:dyDescent="0.3">
      <c r="A68" t="s">
        <v>242</v>
      </c>
      <c r="B68" t="s">
        <v>646</v>
      </c>
      <c r="C68" t="s">
        <v>647</v>
      </c>
      <c r="D68" s="50">
        <f>_xlfn.IFNA(IF(VLOOKUP(B68,'System TB'!$A:$C,3,FALSE)&gt;0,VLOOKUP(B68,'System TB'!$A:$C,3,FALSE),0),0)</f>
        <v>0</v>
      </c>
      <c r="E68" s="52"/>
      <c r="G68" s="51">
        <f t="shared" si="6"/>
        <v>0</v>
      </c>
      <c r="O68" s="50">
        <f t="shared" si="7"/>
        <v>0</v>
      </c>
      <c r="P68" s="51">
        <f t="shared" si="8"/>
        <v>0</v>
      </c>
    </row>
    <row r="69" spans="1:16" x14ac:dyDescent="0.3">
      <c r="A69" t="s">
        <v>242</v>
      </c>
      <c r="B69" t="s">
        <v>648</v>
      </c>
      <c r="C69" t="s">
        <v>649</v>
      </c>
      <c r="D69" s="50">
        <f>_xlfn.IFNA(IF(VLOOKUP(B69,'System TB'!$A:$C,3,FALSE)&gt;0,VLOOKUP(B69,'System TB'!$A:$C,3,FALSE),0),0)</f>
        <v>0</v>
      </c>
      <c r="E69" s="52"/>
      <c r="G69" s="51">
        <f t="shared" si="6"/>
        <v>0</v>
      </c>
      <c r="O69" s="50">
        <f t="shared" si="7"/>
        <v>0</v>
      </c>
      <c r="P69" s="51">
        <f t="shared" si="8"/>
        <v>0</v>
      </c>
    </row>
    <row r="70" spans="1:16" x14ac:dyDescent="0.3">
      <c r="A70" t="s">
        <v>242</v>
      </c>
      <c r="B70" t="s">
        <v>650</v>
      </c>
      <c r="C70" t="s">
        <v>651</v>
      </c>
      <c r="D70" s="50">
        <f>_xlfn.IFNA(IF(VLOOKUP(B70,'System TB'!$A:$C,3,FALSE)&gt;0,VLOOKUP(B70,'System TB'!$A:$C,3,FALSE),0),0)</f>
        <v>0</v>
      </c>
      <c r="E70" s="52"/>
      <c r="G70" s="51">
        <f t="shared" si="6"/>
        <v>0</v>
      </c>
      <c r="O70" s="50">
        <f t="shared" si="7"/>
        <v>0</v>
      </c>
      <c r="P70" s="51">
        <f t="shared" si="8"/>
        <v>0</v>
      </c>
    </row>
    <row r="71" spans="1:16" x14ac:dyDescent="0.3">
      <c r="A71" s="20" t="s">
        <v>242</v>
      </c>
      <c r="B71" t="s">
        <v>652</v>
      </c>
      <c r="C71" t="s">
        <v>653</v>
      </c>
      <c r="D71" s="50">
        <f>_xlfn.IFNA(IF(VLOOKUP(B71,'System TB'!$A:$C,3,FALSE)&gt;0,VLOOKUP(B71,'System TB'!$A:$C,3,FALSE),0),0)</f>
        <v>0</v>
      </c>
      <c r="E71" s="52"/>
      <c r="G71" s="51">
        <f t="shared" si="6"/>
        <v>0</v>
      </c>
      <c r="O71" s="50">
        <f t="shared" si="7"/>
        <v>0</v>
      </c>
      <c r="P71" s="51">
        <f t="shared" si="8"/>
        <v>0</v>
      </c>
    </row>
    <row r="72" spans="1:16" x14ac:dyDescent="0.3">
      <c r="A72" t="s">
        <v>239</v>
      </c>
      <c r="B72" t="s">
        <v>654</v>
      </c>
      <c r="C72" t="s">
        <v>655</v>
      </c>
      <c r="D72" s="50">
        <f>_xlfn.IFNA(IF(VLOOKUP(B72,'System TB'!$A:$C,3,FALSE)&gt;0,VLOOKUP(B72,'System TB'!$A:$C,3,FALSE),0),0)</f>
        <v>526.64</v>
      </c>
      <c r="E72" s="52"/>
      <c r="G72" s="51">
        <f t="shared" si="6"/>
        <v>526.64</v>
      </c>
      <c r="O72" s="50">
        <f t="shared" si="7"/>
        <v>526.64</v>
      </c>
      <c r="P72" s="51">
        <f t="shared" si="8"/>
        <v>0</v>
      </c>
    </row>
    <row r="73" spans="1:16" x14ac:dyDescent="0.3">
      <c r="A73" t="s">
        <v>239</v>
      </c>
      <c r="B73" t="s">
        <v>656</v>
      </c>
      <c r="C73" t="s">
        <v>657</v>
      </c>
      <c r="D73" s="50">
        <f>_xlfn.IFNA(IF(VLOOKUP(B73,'System TB'!$A:$C,3,FALSE)&gt;0,VLOOKUP(B73,'System TB'!$A:$C,3,FALSE),0),0)</f>
        <v>0.37</v>
      </c>
      <c r="E73" s="52"/>
      <c r="G73" s="51">
        <f t="shared" si="6"/>
        <v>0.37</v>
      </c>
      <c r="O73" s="50">
        <f t="shared" si="7"/>
        <v>0.37</v>
      </c>
      <c r="P73" s="51">
        <f t="shared" si="8"/>
        <v>0</v>
      </c>
    </row>
    <row r="74" spans="1:16" x14ac:dyDescent="0.3">
      <c r="A74" t="s">
        <v>242</v>
      </c>
      <c r="B74" t="s">
        <v>658</v>
      </c>
      <c r="C74" t="s">
        <v>659</v>
      </c>
      <c r="D74" s="50">
        <f>_xlfn.IFNA(IF(VLOOKUP(B74,'System TB'!$A:$C,3,FALSE)&gt;0,VLOOKUP(B74,'System TB'!$A:$C,3,FALSE),0),0)</f>
        <v>0</v>
      </c>
      <c r="E74" s="52"/>
      <c r="G74" s="51">
        <f t="shared" si="6"/>
        <v>0</v>
      </c>
      <c r="O74" s="50">
        <f t="shared" si="7"/>
        <v>0</v>
      </c>
      <c r="P74" s="51">
        <f t="shared" si="8"/>
        <v>0</v>
      </c>
    </row>
    <row r="75" spans="1:16" x14ac:dyDescent="0.3">
      <c r="A75" t="s">
        <v>242</v>
      </c>
      <c r="B75" t="s">
        <v>660</v>
      </c>
      <c r="C75" t="s">
        <v>661</v>
      </c>
      <c r="D75" s="50">
        <f>_xlfn.IFNA(IF(VLOOKUP(B75,'System TB'!$A:$C,3,FALSE)&gt;0,VLOOKUP(B75,'System TB'!$A:$C,3,FALSE),0),0)</f>
        <v>0</v>
      </c>
      <c r="E75" s="52"/>
      <c r="G75" s="51">
        <f t="shared" si="6"/>
        <v>0</v>
      </c>
      <c r="O75" s="50">
        <f t="shared" si="7"/>
        <v>0</v>
      </c>
      <c r="P75" s="51">
        <f t="shared" si="8"/>
        <v>0</v>
      </c>
    </row>
    <row r="76" spans="1:16" x14ac:dyDescent="0.3">
      <c r="A76" t="s">
        <v>242</v>
      </c>
      <c r="B76" t="s">
        <v>662</v>
      </c>
      <c r="C76" t="s">
        <v>663</v>
      </c>
      <c r="D76" s="50">
        <f>_xlfn.IFNA(IF(VLOOKUP(B76,'System TB'!$A:$C,3,FALSE)&gt;0,VLOOKUP(B76,'System TB'!$A:$C,3,FALSE),0),0)</f>
        <v>0</v>
      </c>
      <c r="E76" s="52"/>
      <c r="G76" s="51">
        <f t="shared" si="6"/>
        <v>0</v>
      </c>
      <c r="O76" s="50">
        <f t="shared" si="7"/>
        <v>0</v>
      </c>
      <c r="P76" s="51">
        <f t="shared" si="8"/>
        <v>0</v>
      </c>
    </row>
    <row r="77" spans="1:16" x14ac:dyDescent="0.3">
      <c r="A77" t="s">
        <v>242</v>
      </c>
      <c r="B77" t="s">
        <v>664</v>
      </c>
      <c r="C77" t="s">
        <v>665</v>
      </c>
      <c r="D77" s="50">
        <f>_xlfn.IFNA(IF(VLOOKUP(B77,'System TB'!$A:$C,3,FALSE)&gt;0,VLOOKUP(B77,'System TB'!$A:$C,3,FALSE),0),0)</f>
        <v>0</v>
      </c>
      <c r="E77" s="52"/>
      <c r="G77" s="51">
        <f t="shared" si="6"/>
        <v>0</v>
      </c>
      <c r="O77" s="50">
        <f t="shared" si="7"/>
        <v>0</v>
      </c>
      <c r="P77" s="51">
        <f t="shared" si="8"/>
        <v>0</v>
      </c>
    </row>
    <row r="78" spans="1:16" x14ac:dyDescent="0.3">
      <c r="A78" t="s">
        <v>242</v>
      </c>
      <c r="B78" t="s">
        <v>666</v>
      </c>
      <c r="C78" t="s">
        <v>667</v>
      </c>
      <c r="D78" s="50">
        <f>_xlfn.IFNA(IF(VLOOKUP(B78,'System TB'!$A:$C,3,FALSE)&gt;0,VLOOKUP(B78,'System TB'!$A:$C,3,FALSE),0),0)</f>
        <v>0</v>
      </c>
      <c r="E78" s="52"/>
      <c r="G78" s="51">
        <f t="shared" si="6"/>
        <v>0</v>
      </c>
      <c r="O78" s="50">
        <f t="shared" si="7"/>
        <v>0</v>
      </c>
      <c r="P78" s="51">
        <f t="shared" si="8"/>
        <v>0</v>
      </c>
    </row>
    <row r="79" spans="1:16" x14ac:dyDescent="0.3">
      <c r="A79" s="20" t="s">
        <v>239</v>
      </c>
      <c r="B79" t="s">
        <v>668</v>
      </c>
      <c r="C79" t="s">
        <v>669</v>
      </c>
      <c r="D79" s="50">
        <f>_xlfn.IFNA(IF(VLOOKUP(B79,'System TB'!$A:$C,3,FALSE)&gt;0,VLOOKUP(B79,'System TB'!$A:$C,3,FALSE),0),0)</f>
        <v>0</v>
      </c>
      <c r="E79" s="52"/>
      <c r="G79" s="51">
        <f t="shared" si="6"/>
        <v>0</v>
      </c>
      <c r="O79" s="50">
        <f t="shared" si="7"/>
        <v>0</v>
      </c>
      <c r="P79" s="51">
        <f t="shared" si="8"/>
        <v>0</v>
      </c>
    </row>
    <row r="80" spans="1:16" x14ac:dyDescent="0.3">
      <c r="A80" t="s">
        <v>242</v>
      </c>
      <c r="B80" t="s">
        <v>670</v>
      </c>
      <c r="C80" t="s">
        <v>671</v>
      </c>
      <c r="D80" s="50">
        <f>_xlfn.IFNA(IF(VLOOKUP(B80,'System TB'!$A:$C,3,FALSE)&gt;0,VLOOKUP(B80,'System TB'!$A:$C,3,FALSE),0),0)</f>
        <v>0</v>
      </c>
      <c r="E80" s="52"/>
      <c r="G80" s="51">
        <f t="shared" si="6"/>
        <v>0</v>
      </c>
      <c r="O80" s="50">
        <f t="shared" si="7"/>
        <v>0</v>
      </c>
      <c r="P80" s="51">
        <f t="shared" si="8"/>
        <v>0</v>
      </c>
    </row>
    <row r="81" spans="1:16" x14ac:dyDescent="0.3">
      <c r="A81" t="s">
        <v>242</v>
      </c>
      <c r="B81" t="s">
        <v>672</v>
      </c>
      <c r="C81" t="s">
        <v>673</v>
      </c>
      <c r="D81" s="50">
        <f>_xlfn.IFNA(IF(VLOOKUP(B81,'System TB'!$A:$C,3,FALSE)&gt;0,VLOOKUP(B81,'System TB'!$A:$C,3,FALSE),0),0)</f>
        <v>0</v>
      </c>
      <c r="E81" s="52"/>
      <c r="G81" s="51">
        <f t="shared" si="6"/>
        <v>0</v>
      </c>
      <c r="O81" s="50">
        <f t="shared" si="7"/>
        <v>0</v>
      </c>
      <c r="P81" s="51">
        <f t="shared" si="8"/>
        <v>0</v>
      </c>
    </row>
    <row r="82" spans="1:16" x14ac:dyDescent="0.3">
      <c r="A82" s="20" t="s">
        <v>239</v>
      </c>
      <c r="B82" t="s">
        <v>674</v>
      </c>
      <c r="C82" t="s">
        <v>675</v>
      </c>
      <c r="D82" s="50">
        <f>_xlfn.IFNA(IF(VLOOKUP(B82,'System TB'!$A:$C,3,FALSE)&gt;0,VLOOKUP(B82,'System TB'!$A:$C,3,FALSE),0),0)</f>
        <v>0</v>
      </c>
      <c r="E82" s="52"/>
      <c r="G82" s="51">
        <f t="shared" si="6"/>
        <v>0</v>
      </c>
      <c r="O82" s="50">
        <f t="shared" si="7"/>
        <v>0</v>
      </c>
      <c r="P82" s="51">
        <f t="shared" si="8"/>
        <v>0</v>
      </c>
    </row>
    <row r="83" spans="1:16" x14ac:dyDescent="0.3">
      <c r="A83" t="s">
        <v>242</v>
      </c>
      <c r="B83" t="s">
        <v>676</v>
      </c>
      <c r="C83" t="s">
        <v>677</v>
      </c>
      <c r="D83" s="50">
        <f>_xlfn.IFNA(IF(VLOOKUP(B83,'System TB'!$A:$C,3,FALSE)&gt;0,VLOOKUP(B83,'System TB'!$A:$C,3,FALSE),0),0)</f>
        <v>0.41</v>
      </c>
      <c r="E83" s="52"/>
      <c r="G83" s="51">
        <f t="shared" si="6"/>
        <v>0.41</v>
      </c>
      <c r="O83" s="50">
        <f t="shared" si="7"/>
        <v>0.41</v>
      </c>
      <c r="P83" s="51">
        <f t="shared" si="8"/>
        <v>0</v>
      </c>
    </row>
    <row r="84" spans="1:16" x14ac:dyDescent="0.3">
      <c r="A84" t="s">
        <v>242</v>
      </c>
      <c r="B84" t="s">
        <v>678</v>
      </c>
      <c r="C84" t="s">
        <v>679</v>
      </c>
      <c r="D84" s="50">
        <f>_xlfn.IFNA(IF(VLOOKUP(B84,'System TB'!$A:$C,3,FALSE)&gt;0,VLOOKUP(B84,'System TB'!$A:$C,3,FALSE),0),0)</f>
        <v>0</v>
      </c>
      <c r="E84" s="52"/>
      <c r="G84" s="51">
        <f t="shared" si="6"/>
        <v>0</v>
      </c>
      <c r="O84" s="50">
        <f t="shared" si="7"/>
        <v>0</v>
      </c>
      <c r="P84" s="51">
        <f t="shared" si="8"/>
        <v>0</v>
      </c>
    </row>
    <row r="85" spans="1:16" x14ac:dyDescent="0.3">
      <c r="A85" t="s">
        <v>242</v>
      </c>
      <c r="B85" t="s">
        <v>680</v>
      </c>
      <c r="C85" t="s">
        <v>681</v>
      </c>
      <c r="D85" s="50">
        <f>_xlfn.IFNA(IF(VLOOKUP(B85,'System TB'!$A:$C,3,FALSE)&gt;0,VLOOKUP(B85,'System TB'!$A:$C,3,FALSE),0),0)</f>
        <v>0.04</v>
      </c>
      <c r="E85" s="52"/>
      <c r="G85" s="51">
        <f t="shared" si="6"/>
        <v>0.04</v>
      </c>
      <c r="O85" s="50">
        <f t="shared" si="7"/>
        <v>0.04</v>
      </c>
      <c r="P85" s="51">
        <f t="shared" si="8"/>
        <v>0</v>
      </c>
    </row>
    <row r="86" spans="1:16" x14ac:dyDescent="0.3">
      <c r="A86" s="20" t="s">
        <v>239</v>
      </c>
      <c r="B86" t="s">
        <v>682</v>
      </c>
      <c r="C86" t="s">
        <v>683</v>
      </c>
      <c r="D86" s="50">
        <f>_xlfn.IFNA(IF(VLOOKUP(B86,'System TB'!$A:$C,3,FALSE)&gt;0,VLOOKUP(B86,'System TB'!$A:$C,3,FALSE),0),0)</f>
        <v>605128.19999999995</v>
      </c>
      <c r="E86" s="52"/>
      <c r="G86" s="51">
        <f t="shared" si="6"/>
        <v>605128.19999999995</v>
      </c>
      <c r="O86" s="50">
        <f t="shared" si="7"/>
        <v>605128.19999999995</v>
      </c>
      <c r="P86" s="51">
        <f t="shared" si="8"/>
        <v>0</v>
      </c>
    </row>
    <row r="87" spans="1:16" x14ac:dyDescent="0.3">
      <c r="A87" t="s">
        <v>242</v>
      </c>
      <c r="B87" t="s">
        <v>684</v>
      </c>
      <c r="C87" t="s">
        <v>685</v>
      </c>
      <c r="D87" s="50">
        <f>_xlfn.IFNA(IF(VLOOKUP(B87,'System TB'!$A:$C,3,FALSE)&gt;0,VLOOKUP(B87,'System TB'!$A:$C,3,FALSE),0),0)</f>
        <v>0</v>
      </c>
      <c r="E87" s="52"/>
      <c r="G87" s="51">
        <f t="shared" si="6"/>
        <v>0</v>
      </c>
      <c r="O87" s="50">
        <f t="shared" si="7"/>
        <v>0</v>
      </c>
      <c r="P87" s="51">
        <f t="shared" si="8"/>
        <v>0</v>
      </c>
    </row>
    <row r="88" spans="1:16" x14ac:dyDescent="0.3">
      <c r="A88" t="s">
        <v>242</v>
      </c>
      <c r="B88" t="s">
        <v>686</v>
      </c>
      <c r="C88" t="s">
        <v>687</v>
      </c>
      <c r="D88" s="50">
        <f>_xlfn.IFNA(IF(VLOOKUP(B88,'System TB'!$A:$C,3,FALSE)&gt;0,VLOOKUP(B88,'System TB'!$A:$C,3,FALSE),0),0)</f>
        <v>0.1</v>
      </c>
      <c r="E88" s="52"/>
      <c r="G88" s="51">
        <f t="shared" si="6"/>
        <v>0.1</v>
      </c>
      <c r="O88" s="50">
        <f t="shared" si="7"/>
        <v>0.1</v>
      </c>
      <c r="P88" s="51">
        <f t="shared" si="8"/>
        <v>0</v>
      </c>
    </row>
    <row r="89" spans="1:16" x14ac:dyDescent="0.3">
      <c r="A89" t="s">
        <v>239</v>
      </c>
      <c r="B89" t="s">
        <v>688</v>
      </c>
      <c r="C89" t="s">
        <v>689</v>
      </c>
      <c r="D89" s="50">
        <f>_xlfn.IFNA(IF(VLOOKUP(B89,'System TB'!$A:$C,3,FALSE)&gt;0,VLOOKUP(B89,'System TB'!$A:$C,3,FALSE),0),0)</f>
        <v>1.23</v>
      </c>
      <c r="E89" s="52"/>
      <c r="G89" s="51">
        <f t="shared" si="6"/>
        <v>1.23</v>
      </c>
      <c r="O89" s="50">
        <f t="shared" si="7"/>
        <v>1.23</v>
      </c>
      <c r="P89" s="51">
        <f t="shared" si="8"/>
        <v>0</v>
      </c>
    </row>
    <row r="90" spans="1:16" x14ac:dyDescent="0.3">
      <c r="A90" t="s">
        <v>239</v>
      </c>
      <c r="B90" t="s">
        <v>690</v>
      </c>
      <c r="C90" t="s">
        <v>691</v>
      </c>
      <c r="D90" s="50">
        <f>_xlfn.IFNA(IF(VLOOKUP(B90,'System TB'!$A:$C,3,FALSE)&gt;0,VLOOKUP(B90,'System TB'!$A:$C,3,FALSE),0),0)</f>
        <v>0.15</v>
      </c>
      <c r="E90" s="52"/>
      <c r="G90" s="51">
        <f t="shared" si="6"/>
        <v>0.15</v>
      </c>
      <c r="O90" s="50">
        <f t="shared" si="7"/>
        <v>0.15</v>
      </c>
      <c r="P90" s="51">
        <f t="shared" si="8"/>
        <v>0</v>
      </c>
    </row>
    <row r="91" spans="1:16" x14ac:dyDescent="0.3">
      <c r="A91" t="s">
        <v>239</v>
      </c>
      <c r="B91" t="s">
        <v>692</v>
      </c>
      <c r="C91" t="s">
        <v>693</v>
      </c>
      <c r="D91" s="50">
        <f>_xlfn.IFNA(IF(VLOOKUP(B91,'System TB'!$A:$C,3,FALSE)&gt;0,VLOOKUP(B91,'System TB'!$A:$C,3,FALSE),0),0)</f>
        <v>9084758.6099999994</v>
      </c>
      <c r="E91" s="52"/>
      <c r="G91" s="51">
        <f t="shared" si="6"/>
        <v>9084758.6099999994</v>
      </c>
      <c r="O91" s="50">
        <f t="shared" si="7"/>
        <v>9084758.6099999994</v>
      </c>
      <c r="P91" s="51">
        <f t="shared" si="8"/>
        <v>0</v>
      </c>
    </row>
    <row r="92" spans="1:16" x14ac:dyDescent="0.3">
      <c r="A92" t="s">
        <v>239</v>
      </c>
      <c r="B92" t="s">
        <v>694</v>
      </c>
      <c r="C92" t="s">
        <v>695</v>
      </c>
      <c r="D92" s="50">
        <f>_xlfn.IFNA(IF(VLOOKUP(B92,'System TB'!$A:$C,3,FALSE)&gt;0,VLOOKUP(B92,'System TB'!$A:$C,3,FALSE),0),0)</f>
        <v>0</v>
      </c>
      <c r="E92" s="52"/>
      <c r="G92" s="51">
        <f t="shared" si="6"/>
        <v>0</v>
      </c>
      <c r="O92" s="50">
        <f t="shared" si="7"/>
        <v>0</v>
      </c>
      <c r="P92" s="51">
        <f t="shared" si="8"/>
        <v>0</v>
      </c>
    </row>
    <row r="93" spans="1:16" x14ac:dyDescent="0.3">
      <c r="A93" s="20" t="s">
        <v>242</v>
      </c>
      <c r="B93" t="s">
        <v>696</v>
      </c>
      <c r="C93" t="s">
        <v>697</v>
      </c>
      <c r="D93" s="50">
        <f>_xlfn.IFNA(IF(VLOOKUP(B93,'System TB'!$A:$C,3,FALSE)&gt;0,VLOOKUP(B93,'System TB'!$A:$C,3,FALSE),0),0)</f>
        <v>0</v>
      </c>
      <c r="E93" s="52"/>
      <c r="G93" s="51">
        <f t="shared" si="6"/>
        <v>0</v>
      </c>
      <c r="O93" s="50">
        <f t="shared" si="7"/>
        <v>0</v>
      </c>
      <c r="P93" s="51">
        <f t="shared" si="8"/>
        <v>0</v>
      </c>
    </row>
    <row r="94" spans="1:16" x14ac:dyDescent="0.3">
      <c r="A94" s="20" t="s">
        <v>242</v>
      </c>
      <c r="B94" t="s">
        <v>698</v>
      </c>
      <c r="C94" t="s">
        <v>699</v>
      </c>
      <c r="D94" s="50">
        <f>_xlfn.IFNA(IF(VLOOKUP(B94,'System TB'!$A:$C,3,FALSE)&gt;0,VLOOKUP(B94,'System TB'!$A:$C,3,FALSE),0),0)</f>
        <v>0</v>
      </c>
      <c r="E94" s="52"/>
      <c r="G94" s="51">
        <f t="shared" si="6"/>
        <v>0</v>
      </c>
      <c r="O94" s="50">
        <f t="shared" si="7"/>
        <v>0</v>
      </c>
      <c r="P94" s="51">
        <f t="shared" si="8"/>
        <v>0</v>
      </c>
    </row>
    <row r="95" spans="1:16" x14ac:dyDescent="0.3">
      <c r="A95" s="20" t="s">
        <v>239</v>
      </c>
      <c r="B95" t="s">
        <v>700</v>
      </c>
      <c r="C95" t="s">
        <v>701</v>
      </c>
      <c r="D95" s="50">
        <f>_xlfn.IFNA(IF(VLOOKUP(B95,'System TB'!$A:$C,3,FALSE)&gt;0,VLOOKUP(B95,'System TB'!$A:$C,3,FALSE),0),0)</f>
        <v>2832723</v>
      </c>
      <c r="E95" s="52"/>
      <c r="G95" s="51">
        <f t="shared" si="6"/>
        <v>2832723</v>
      </c>
      <c r="O95" s="50">
        <f t="shared" si="7"/>
        <v>2832723</v>
      </c>
      <c r="P95" s="51">
        <f t="shared" si="8"/>
        <v>0</v>
      </c>
    </row>
    <row r="96" spans="1:16" x14ac:dyDescent="0.3">
      <c r="A96" t="s">
        <v>242</v>
      </c>
      <c r="B96" t="s">
        <v>702</v>
      </c>
      <c r="C96" t="s">
        <v>703</v>
      </c>
      <c r="D96" s="50">
        <f>_xlfn.IFNA(IF(VLOOKUP(B96,'System TB'!$A:$C,3,FALSE)&gt;0,VLOOKUP(B96,'System TB'!$A:$C,3,FALSE),0),0)</f>
        <v>0</v>
      </c>
      <c r="E96" s="52"/>
      <c r="G96" s="51">
        <f t="shared" si="6"/>
        <v>0</v>
      </c>
      <c r="O96" s="50">
        <f t="shared" si="7"/>
        <v>0</v>
      </c>
      <c r="P96" s="51">
        <f t="shared" si="8"/>
        <v>0</v>
      </c>
    </row>
    <row r="97" spans="1:16" x14ac:dyDescent="0.3">
      <c r="A97" t="s">
        <v>242</v>
      </c>
      <c r="B97" t="s">
        <v>704</v>
      </c>
      <c r="C97" t="s">
        <v>705</v>
      </c>
      <c r="D97" s="50">
        <f>_xlfn.IFNA(IF(VLOOKUP(B97,'System TB'!$A:$C,3,FALSE)&gt;0,VLOOKUP(B97,'System TB'!$A:$C,3,FALSE),0),0)</f>
        <v>0</v>
      </c>
      <c r="E97" s="52"/>
      <c r="G97" s="50">
        <v>0</v>
      </c>
      <c r="H97" s="51"/>
      <c r="I97" s="51"/>
      <c r="J97" s="51"/>
      <c r="O97" s="50">
        <f t="shared" si="7"/>
        <v>0</v>
      </c>
      <c r="P97" s="51">
        <f t="shared" si="8"/>
        <v>0</v>
      </c>
    </row>
    <row r="98" spans="1:16" x14ac:dyDescent="0.3">
      <c r="A98" s="20" t="s">
        <v>242</v>
      </c>
      <c r="B98" t="s">
        <v>706</v>
      </c>
      <c r="C98" t="s">
        <v>707</v>
      </c>
      <c r="D98" s="50">
        <f>_xlfn.IFNA(IF(VLOOKUP(B98,'System TB'!$A:$C,3,FALSE)&gt;0,VLOOKUP(B98,'System TB'!$A:$C,3,FALSE),0),0)</f>
        <v>0</v>
      </c>
      <c r="E98" s="52"/>
      <c r="G98" s="51">
        <f t="shared" ref="G98:G111" si="9">D98</f>
        <v>0</v>
      </c>
      <c r="H98" s="51"/>
      <c r="I98" s="51"/>
      <c r="J98" s="51"/>
      <c r="O98" s="50">
        <f t="shared" ref="O98:O119" si="10">SUM(F98:N98)</f>
        <v>0</v>
      </c>
      <c r="P98" s="51">
        <f t="shared" ref="P98:P119" si="11">O98-D98</f>
        <v>0</v>
      </c>
    </row>
    <row r="99" spans="1:16" x14ac:dyDescent="0.3">
      <c r="A99" s="20" t="s">
        <v>239</v>
      </c>
      <c r="B99" t="s">
        <v>708</v>
      </c>
      <c r="C99" t="s">
        <v>709</v>
      </c>
      <c r="D99" s="50">
        <f>_xlfn.IFNA(IF(VLOOKUP(B99,'System TB'!$A:$C,3,FALSE)&gt;0,VLOOKUP(B99,'System TB'!$A:$C,3,FALSE),0),0)</f>
        <v>73278.460000000006</v>
      </c>
      <c r="E99" s="52"/>
      <c r="G99" s="51">
        <f t="shared" si="9"/>
        <v>73278.460000000006</v>
      </c>
      <c r="H99" s="51"/>
      <c r="I99" s="51"/>
      <c r="J99" s="51"/>
      <c r="O99" s="50">
        <f t="shared" si="10"/>
        <v>73278.460000000006</v>
      </c>
      <c r="P99" s="51">
        <f t="shared" si="11"/>
        <v>0</v>
      </c>
    </row>
    <row r="100" spans="1:16" x14ac:dyDescent="0.3">
      <c r="A100" t="s">
        <v>239</v>
      </c>
      <c r="B100" t="s">
        <v>710</v>
      </c>
      <c r="C100" t="s">
        <v>711</v>
      </c>
      <c r="D100" s="50">
        <f>_xlfn.IFNA(IF(VLOOKUP(B100,'System TB'!$A:$C,3,FALSE)&gt;0,VLOOKUP(B100,'System TB'!$A:$C,3,FALSE),0),0)</f>
        <v>3394958.38</v>
      </c>
      <c r="E100" s="52"/>
      <c r="G100" s="51">
        <f t="shared" si="9"/>
        <v>3394958.38</v>
      </c>
      <c r="H100" s="51"/>
      <c r="I100" s="51"/>
      <c r="J100" s="51"/>
      <c r="O100" s="50">
        <f t="shared" si="10"/>
        <v>3394958.38</v>
      </c>
      <c r="P100" s="51">
        <f t="shared" si="11"/>
        <v>0</v>
      </c>
    </row>
    <row r="101" spans="1:16" x14ac:dyDescent="0.3">
      <c r="A101" t="s">
        <v>242</v>
      </c>
      <c r="B101" t="s">
        <v>712</v>
      </c>
      <c r="C101" t="s">
        <v>713</v>
      </c>
      <c r="D101" s="50">
        <f>_xlfn.IFNA(IF(VLOOKUP(B101,'System TB'!$A:$C,3,FALSE)&gt;0,VLOOKUP(B101,'System TB'!$A:$C,3,FALSE),0),0)</f>
        <v>121235.45</v>
      </c>
      <c r="E101" s="52"/>
      <c r="G101" s="51">
        <f t="shared" si="9"/>
        <v>121235.45</v>
      </c>
      <c r="H101" s="51"/>
      <c r="I101" s="51"/>
      <c r="J101" s="51"/>
      <c r="O101" s="50">
        <f t="shared" si="10"/>
        <v>121235.45</v>
      </c>
      <c r="P101" s="51">
        <f t="shared" si="11"/>
        <v>0</v>
      </c>
    </row>
    <row r="102" spans="1:16" x14ac:dyDescent="0.3">
      <c r="A102" t="s">
        <v>242</v>
      </c>
      <c r="B102" t="s">
        <v>714</v>
      </c>
      <c r="C102" t="s">
        <v>715</v>
      </c>
      <c r="D102" s="50">
        <f>_xlfn.IFNA(IF(VLOOKUP(B102,'System TB'!$A:$C,3,FALSE)&gt;0,VLOOKUP(B102,'System TB'!$A:$C,3,FALSE),0),0)</f>
        <v>0</v>
      </c>
      <c r="E102" s="52"/>
      <c r="G102" s="51">
        <f t="shared" si="9"/>
        <v>0</v>
      </c>
      <c r="H102" s="51"/>
      <c r="I102" s="51"/>
      <c r="J102" s="51"/>
      <c r="O102" s="50">
        <f t="shared" si="10"/>
        <v>0</v>
      </c>
      <c r="P102" s="51">
        <f t="shared" si="11"/>
        <v>0</v>
      </c>
    </row>
    <row r="103" spans="1:16" x14ac:dyDescent="0.3">
      <c r="A103" t="s">
        <v>242</v>
      </c>
      <c r="B103" t="s">
        <v>716</v>
      </c>
      <c r="C103" t="s">
        <v>717</v>
      </c>
      <c r="D103" s="50">
        <f>_xlfn.IFNA(IF(VLOOKUP(B103,'System TB'!$A:$C,3,FALSE)&gt;0,VLOOKUP(B103,'System TB'!$A:$C,3,FALSE),0),0)</f>
        <v>0</v>
      </c>
      <c r="E103" s="52"/>
      <c r="G103" s="51">
        <f t="shared" si="9"/>
        <v>0</v>
      </c>
      <c r="H103" s="51"/>
      <c r="I103" s="51"/>
      <c r="J103" s="51"/>
      <c r="O103" s="50">
        <f t="shared" si="10"/>
        <v>0</v>
      </c>
      <c r="P103" s="51">
        <f t="shared" si="11"/>
        <v>0</v>
      </c>
    </row>
    <row r="104" spans="1:16" x14ac:dyDescent="0.3">
      <c r="A104" t="s">
        <v>242</v>
      </c>
      <c r="B104" t="s">
        <v>718</v>
      </c>
      <c r="C104" t="s">
        <v>719</v>
      </c>
      <c r="D104" s="50">
        <f>_xlfn.IFNA(IF(VLOOKUP(B104,'System TB'!$A:$C,3,FALSE)&gt;0,VLOOKUP(B104,'System TB'!$A:$C,3,FALSE),0),0)</f>
        <v>0</v>
      </c>
      <c r="E104" s="52"/>
      <c r="G104" s="51">
        <f t="shared" si="9"/>
        <v>0</v>
      </c>
      <c r="H104" s="51"/>
      <c r="I104" s="51"/>
      <c r="J104" s="51"/>
      <c r="O104" s="50">
        <f t="shared" si="10"/>
        <v>0</v>
      </c>
      <c r="P104" s="51">
        <f t="shared" si="11"/>
        <v>0</v>
      </c>
    </row>
    <row r="105" spans="1:16" x14ac:dyDescent="0.3">
      <c r="A105" t="s">
        <v>242</v>
      </c>
      <c r="B105" s="141" t="s">
        <v>720</v>
      </c>
      <c r="C105" t="s">
        <v>721</v>
      </c>
      <c r="D105" s="50">
        <f>_xlfn.IFNA(IF(VLOOKUP(B105,'System TB'!$A:$C,3,FALSE)&gt;0,VLOOKUP(B105,'System TB'!$A:$C,3,FALSE),0),0)</f>
        <v>22000</v>
      </c>
      <c r="E105" s="52"/>
      <c r="G105" s="51">
        <f t="shared" si="9"/>
        <v>22000</v>
      </c>
      <c r="H105" s="51"/>
      <c r="I105" s="51"/>
      <c r="J105" s="51"/>
      <c r="K105" s="51"/>
      <c r="L105" s="51"/>
      <c r="O105" s="50">
        <f t="shared" si="10"/>
        <v>22000</v>
      </c>
      <c r="P105" s="51">
        <f t="shared" si="11"/>
        <v>0</v>
      </c>
    </row>
    <row r="106" spans="1:16" x14ac:dyDescent="0.3">
      <c r="A106" t="s">
        <v>239</v>
      </c>
      <c r="B106" t="s">
        <v>722</v>
      </c>
      <c r="C106" t="s">
        <v>723</v>
      </c>
      <c r="D106" s="50">
        <f>_xlfn.IFNA(IF(VLOOKUP(B106,'System TB'!$A:$C,3,FALSE)&gt;0,VLOOKUP(B106,'System TB'!$A:$C,3,FALSE),0),0)</f>
        <v>502985.97</v>
      </c>
      <c r="E106" s="52"/>
      <c r="G106" s="51">
        <f t="shared" si="9"/>
        <v>502985.97</v>
      </c>
      <c r="H106" s="51"/>
      <c r="I106" s="51"/>
      <c r="J106" s="51"/>
      <c r="K106" s="51"/>
      <c r="L106" s="51"/>
      <c r="O106" s="50">
        <f t="shared" si="10"/>
        <v>502985.97</v>
      </c>
      <c r="P106" s="51">
        <f t="shared" si="11"/>
        <v>0</v>
      </c>
    </row>
    <row r="107" spans="1:16" x14ac:dyDescent="0.3">
      <c r="A107" t="s">
        <v>242</v>
      </c>
      <c r="B107" t="s">
        <v>724</v>
      </c>
      <c r="C107" t="s">
        <v>725</v>
      </c>
      <c r="D107" s="50">
        <f>_xlfn.IFNA(IF(VLOOKUP(B107,'System TB'!$A:$C,3,FALSE)&gt;0,VLOOKUP(B107,'System TB'!$A:$C,3,FALSE),0),0)</f>
        <v>0</v>
      </c>
      <c r="E107" s="52"/>
      <c r="G107" s="51">
        <f t="shared" si="9"/>
        <v>0</v>
      </c>
      <c r="H107" s="51"/>
      <c r="I107" s="51"/>
      <c r="J107" s="51"/>
      <c r="O107" s="50">
        <f t="shared" si="10"/>
        <v>0</v>
      </c>
      <c r="P107" s="51">
        <f t="shared" si="11"/>
        <v>0</v>
      </c>
    </row>
    <row r="108" spans="1:16" x14ac:dyDescent="0.3">
      <c r="A108" s="20" t="s">
        <v>239</v>
      </c>
      <c r="B108" t="s">
        <v>726</v>
      </c>
      <c r="C108" t="s">
        <v>727</v>
      </c>
      <c r="D108" s="50">
        <f>_xlfn.IFNA(IF(VLOOKUP(B108,'System TB'!$A:$C,3,FALSE)&gt;0,VLOOKUP(B108,'System TB'!$A:$C,3,FALSE),0),0)</f>
        <v>26708</v>
      </c>
      <c r="E108" s="52"/>
      <c r="G108" s="51">
        <f t="shared" si="9"/>
        <v>26708</v>
      </c>
      <c r="H108" s="51"/>
      <c r="I108" s="51"/>
      <c r="J108" s="51"/>
      <c r="O108" s="50">
        <f t="shared" si="10"/>
        <v>26708</v>
      </c>
      <c r="P108" s="51">
        <f t="shared" si="11"/>
        <v>0</v>
      </c>
    </row>
    <row r="109" spans="1:16" x14ac:dyDescent="0.3">
      <c r="A109" t="s">
        <v>242</v>
      </c>
      <c r="B109" t="s">
        <v>728</v>
      </c>
      <c r="C109" t="s">
        <v>729</v>
      </c>
      <c r="D109" s="50">
        <f>_xlfn.IFNA(IF(VLOOKUP(B109,'System TB'!$A:$C,3,FALSE)&gt;0,VLOOKUP(B109,'System TB'!$A:$C,3,FALSE),0),0)</f>
        <v>0</v>
      </c>
      <c r="E109" s="52"/>
      <c r="G109" s="51">
        <f t="shared" si="9"/>
        <v>0</v>
      </c>
      <c r="H109" s="51"/>
      <c r="I109" s="51"/>
      <c r="J109" s="51"/>
      <c r="O109" s="50">
        <f t="shared" si="10"/>
        <v>0</v>
      </c>
      <c r="P109" s="51">
        <f t="shared" si="11"/>
        <v>0</v>
      </c>
    </row>
    <row r="110" spans="1:16" x14ac:dyDescent="0.3">
      <c r="A110" s="20" t="s">
        <v>239</v>
      </c>
      <c r="B110" t="s">
        <v>730</v>
      </c>
      <c r="C110" t="s">
        <v>731</v>
      </c>
      <c r="D110" s="50">
        <f>_xlfn.IFNA(IF(VLOOKUP(B110,'System TB'!$A:$C,3,FALSE)&gt;0,VLOOKUP(B110,'System TB'!$A:$C,3,FALSE),0),0)</f>
        <v>0</v>
      </c>
      <c r="E110" s="52"/>
      <c r="G110" s="51">
        <f t="shared" si="9"/>
        <v>0</v>
      </c>
      <c r="H110" s="51"/>
      <c r="I110" s="51"/>
      <c r="J110" s="51"/>
      <c r="O110" s="50">
        <f t="shared" si="10"/>
        <v>0</v>
      </c>
      <c r="P110" s="51">
        <f t="shared" si="11"/>
        <v>0</v>
      </c>
    </row>
    <row r="111" spans="1:16" x14ac:dyDescent="0.3">
      <c r="A111" s="20" t="s">
        <v>239</v>
      </c>
      <c r="B111" t="s">
        <v>732</v>
      </c>
      <c r="C111" t="s">
        <v>733</v>
      </c>
      <c r="D111" s="50">
        <f>_xlfn.IFNA(IF(VLOOKUP(B111,'System TB'!$A:$C,3,FALSE)&gt;0,VLOOKUP(B111,'System TB'!$A:$C,3,FALSE),0),0)</f>
        <v>0</v>
      </c>
      <c r="E111" s="52"/>
      <c r="G111" s="51">
        <f t="shared" si="9"/>
        <v>0</v>
      </c>
      <c r="H111" s="51"/>
      <c r="I111" s="51"/>
      <c r="J111" s="51"/>
      <c r="O111" s="50">
        <f t="shared" si="10"/>
        <v>0</v>
      </c>
      <c r="P111" s="51">
        <f t="shared" si="11"/>
        <v>0</v>
      </c>
    </row>
    <row r="112" spans="1:16" x14ac:dyDescent="0.3">
      <c r="A112" s="20" t="s">
        <v>233</v>
      </c>
      <c r="B112" t="s">
        <v>734</v>
      </c>
      <c r="C112" t="s">
        <v>735</v>
      </c>
      <c r="D112" s="50">
        <f>_xlfn.IFNA(IF(VLOOKUP(B112,'System TB'!$A:$C,3,FALSE)&gt;0,VLOOKUP(B112,'System TB'!$A:$C,3,FALSE),0),0)</f>
        <v>216539585.81</v>
      </c>
      <c r="E112" s="52"/>
      <c r="G112" s="51">
        <v>0</v>
      </c>
      <c r="H112" s="51">
        <f>F132</f>
        <v>112222277</v>
      </c>
      <c r="I112" s="51">
        <f>G132</f>
        <v>104317309</v>
      </c>
      <c r="J112" s="51">
        <f>H132</f>
        <v>0</v>
      </c>
      <c r="K112" s="51">
        <f>I132</f>
        <v>0</v>
      </c>
      <c r="L112" s="51">
        <f>J132</f>
        <v>0</v>
      </c>
      <c r="O112" s="50">
        <f t="shared" si="10"/>
        <v>216539586</v>
      </c>
      <c r="P112" s="51">
        <f t="shared" si="11"/>
        <v>0.18999999761581421</v>
      </c>
    </row>
    <row r="113" spans="1:16" x14ac:dyDescent="0.3">
      <c r="A113" s="20" t="s">
        <v>242</v>
      </c>
      <c r="B113" t="s">
        <v>736</v>
      </c>
      <c r="C113" t="s">
        <v>737</v>
      </c>
      <c r="D113" s="50">
        <f>_xlfn.IFNA(IF(VLOOKUP(B113,'System TB'!$A:$C,3,FALSE)&gt;0,VLOOKUP(B113,'System TB'!$A:$C,3,FALSE),0),0)</f>
        <v>4500</v>
      </c>
      <c r="E113" s="52"/>
      <c r="G113" s="51">
        <f t="shared" ref="G113:G119" si="12">D113</f>
        <v>4500</v>
      </c>
      <c r="H113" s="51"/>
      <c r="I113" s="51"/>
      <c r="J113" s="51"/>
      <c r="L113" s="51"/>
      <c r="O113" s="50">
        <f t="shared" si="10"/>
        <v>4500</v>
      </c>
      <c r="P113" s="51">
        <f t="shared" si="11"/>
        <v>0</v>
      </c>
    </row>
    <row r="114" spans="1:16" x14ac:dyDescent="0.3">
      <c r="A114" s="20" t="s">
        <v>242</v>
      </c>
      <c r="B114" t="s">
        <v>738</v>
      </c>
      <c r="C114" t="s">
        <v>739</v>
      </c>
      <c r="D114" s="50">
        <f>_xlfn.IFNA(IF(VLOOKUP(B114,'System TB'!$A:$C,3,FALSE)&gt;0,VLOOKUP(B114,'System TB'!$A:$C,3,FALSE),0),0)</f>
        <v>15147209.529999999</v>
      </c>
      <c r="E114" s="52"/>
      <c r="G114" s="51">
        <f t="shared" si="12"/>
        <v>15147209.529999999</v>
      </c>
      <c r="H114" s="51"/>
      <c r="I114" s="51"/>
      <c r="J114" s="51"/>
      <c r="O114" s="50">
        <f t="shared" si="10"/>
        <v>15147209.529999999</v>
      </c>
      <c r="P114" s="51">
        <f t="shared" si="11"/>
        <v>0</v>
      </c>
    </row>
    <row r="115" spans="1:16" x14ac:dyDescent="0.3">
      <c r="A115" s="20" t="s">
        <v>242</v>
      </c>
      <c r="B115" t="s">
        <v>740</v>
      </c>
      <c r="C115" s="115" t="s">
        <v>717</v>
      </c>
      <c r="D115" s="50">
        <f>_xlfn.IFNA(IF(VLOOKUP(B115,'System TB'!$A:$C,3,FALSE)&gt;0,VLOOKUP(B115,'System TB'!$A:$C,3,FALSE),0),0)</f>
        <v>0</v>
      </c>
      <c r="E115" s="52"/>
      <c r="G115" s="51">
        <f t="shared" si="12"/>
        <v>0</v>
      </c>
      <c r="H115" s="51"/>
      <c r="I115" s="51"/>
      <c r="J115" s="51"/>
      <c r="O115" s="50">
        <f t="shared" si="10"/>
        <v>0</v>
      </c>
      <c r="P115" s="51">
        <f t="shared" si="11"/>
        <v>0</v>
      </c>
    </row>
    <row r="116" spans="1:16" x14ac:dyDescent="0.3">
      <c r="A116" s="20" t="s">
        <v>242</v>
      </c>
      <c r="B116" t="s">
        <v>741</v>
      </c>
      <c r="C116" s="115" t="s">
        <v>742</v>
      </c>
      <c r="D116" s="50">
        <f>_xlfn.IFNA(IF(VLOOKUP(B116,'System TB'!$A:$C,3,FALSE)&gt;0,VLOOKUP(B116,'System TB'!$A:$C,3,FALSE),0),0)</f>
        <v>0</v>
      </c>
      <c r="E116" s="52"/>
      <c r="G116" s="51">
        <f t="shared" si="12"/>
        <v>0</v>
      </c>
      <c r="H116" s="51"/>
      <c r="I116" s="51"/>
      <c r="J116" s="51"/>
      <c r="O116" s="50">
        <f t="shared" si="10"/>
        <v>0</v>
      </c>
      <c r="P116" s="51">
        <f t="shared" si="11"/>
        <v>0</v>
      </c>
    </row>
    <row r="117" spans="1:16" x14ac:dyDescent="0.3">
      <c r="A117" s="20" t="s">
        <v>242</v>
      </c>
      <c r="B117" t="s">
        <v>743</v>
      </c>
      <c r="C117" s="115" t="s">
        <v>744</v>
      </c>
      <c r="D117" s="50">
        <f>_xlfn.IFNA(IF(VLOOKUP(B117,'System TB'!$A:$C,3,FALSE)&gt;0,VLOOKUP(B117,'System TB'!$A:$C,3,FALSE),0),0)</f>
        <v>0</v>
      </c>
      <c r="E117" s="52"/>
      <c r="G117" s="51">
        <f t="shared" si="12"/>
        <v>0</v>
      </c>
      <c r="H117" s="51"/>
      <c r="I117" s="51"/>
      <c r="J117" s="51"/>
      <c r="O117" s="50">
        <f t="shared" si="10"/>
        <v>0</v>
      </c>
      <c r="P117" s="51">
        <f t="shared" si="11"/>
        <v>0</v>
      </c>
    </row>
    <row r="118" spans="1:16" x14ac:dyDescent="0.3">
      <c r="A118" s="20" t="s">
        <v>242</v>
      </c>
      <c r="B118" t="s">
        <v>745</v>
      </c>
      <c r="C118" s="115" t="s">
        <v>746</v>
      </c>
      <c r="D118" s="50">
        <f>_xlfn.IFNA(IF(VLOOKUP(B118,'System TB'!$A:$C,3,FALSE)&gt;0,VLOOKUP(B118,'System TB'!$A:$C,3,FALSE),0),0)</f>
        <v>70000</v>
      </c>
      <c r="E118" s="52"/>
      <c r="G118" s="51">
        <f t="shared" si="12"/>
        <v>70000</v>
      </c>
      <c r="H118" s="51"/>
      <c r="I118" s="51"/>
      <c r="J118" s="51"/>
      <c r="O118" s="50">
        <f t="shared" si="10"/>
        <v>70000</v>
      </c>
      <c r="P118" s="51">
        <f t="shared" si="11"/>
        <v>0</v>
      </c>
    </row>
    <row r="119" spans="1:16" x14ac:dyDescent="0.3">
      <c r="A119" s="20" t="s">
        <v>239</v>
      </c>
      <c r="B119" t="s">
        <v>747</v>
      </c>
      <c r="C119" s="115" t="s">
        <v>748</v>
      </c>
      <c r="D119" s="50">
        <f>_xlfn.IFNA(IF(VLOOKUP(B119,'System TB'!$A:$C,3,FALSE)&gt;0,VLOOKUP(B119,'System TB'!$A:$C,3,FALSE),0),0)</f>
        <v>0</v>
      </c>
      <c r="E119" s="52"/>
      <c r="G119" s="51">
        <f t="shared" si="12"/>
        <v>0</v>
      </c>
      <c r="H119" s="51"/>
      <c r="I119" s="51"/>
      <c r="J119" s="51"/>
      <c r="O119" s="50">
        <f t="shared" si="10"/>
        <v>0</v>
      </c>
      <c r="P119" s="51">
        <f t="shared" si="11"/>
        <v>0</v>
      </c>
    </row>
    <row r="121" spans="1:16" s="54" customFormat="1" x14ac:dyDescent="0.3">
      <c r="C121" s="56" t="s">
        <v>461</v>
      </c>
      <c r="D121" s="55">
        <f>SUM(D2:D120)</f>
        <v>479493031.48999989</v>
      </c>
      <c r="E121" s="53"/>
      <c r="F121" s="55">
        <f t="shared" ref="F121:O121" si="13">SUM(F2:F120)</f>
        <v>0</v>
      </c>
      <c r="G121" s="55">
        <f t="shared" si="13"/>
        <v>125485359.33</v>
      </c>
      <c r="H121" s="55">
        <f t="shared" si="13"/>
        <v>216810665.57999998</v>
      </c>
      <c r="I121" s="55">
        <f t="shared" si="13"/>
        <v>108948904.63</v>
      </c>
      <c r="J121" s="55">
        <f t="shared" si="13"/>
        <v>0</v>
      </c>
      <c r="K121" s="55">
        <f t="shared" si="13"/>
        <v>0</v>
      </c>
      <c r="L121" s="55">
        <f t="shared" si="13"/>
        <v>28248102.140000001</v>
      </c>
      <c r="M121" s="55">
        <f t="shared" si="13"/>
        <v>0</v>
      </c>
      <c r="N121" s="55">
        <f t="shared" si="13"/>
        <v>0</v>
      </c>
      <c r="O121" s="55">
        <f t="shared" si="13"/>
        <v>479493031.67999989</v>
      </c>
      <c r="P121" s="51">
        <f>O121-D121</f>
        <v>0.18999999761581421</v>
      </c>
    </row>
    <row r="122" spans="1:16" s="54" customFormat="1" x14ac:dyDescent="0.3">
      <c r="C122" s="57" t="s">
        <v>749</v>
      </c>
      <c r="D122" s="55">
        <f>ROUND(D121/1000,)</f>
        <v>479493</v>
      </c>
      <c r="E122" s="53"/>
      <c r="F122" s="55">
        <f t="shared" ref="F122:O122" si="14">ROUND(F121/1000,)</f>
        <v>0</v>
      </c>
      <c r="G122" s="55">
        <f t="shared" si="14"/>
        <v>125485</v>
      </c>
      <c r="H122" s="55">
        <f t="shared" si="14"/>
        <v>216811</v>
      </c>
      <c r="I122" s="55">
        <f t="shared" si="14"/>
        <v>108949</v>
      </c>
      <c r="J122" s="55">
        <f t="shared" si="14"/>
        <v>0</v>
      </c>
      <c r="K122" s="55">
        <f t="shared" si="14"/>
        <v>0</v>
      </c>
      <c r="L122" s="55">
        <f t="shared" si="14"/>
        <v>28248</v>
      </c>
      <c r="M122" s="55">
        <f t="shared" si="14"/>
        <v>0</v>
      </c>
      <c r="N122" s="55">
        <f t="shared" si="14"/>
        <v>0</v>
      </c>
      <c r="O122" s="55">
        <f t="shared" si="14"/>
        <v>479493</v>
      </c>
    </row>
    <row r="124" spans="1:16" x14ac:dyDescent="0.3">
      <c r="A124" s="142"/>
    </row>
    <row r="125" spans="1:16" x14ac:dyDescent="0.3">
      <c r="A125" s="39" t="s">
        <v>239</v>
      </c>
      <c r="B125" s="8"/>
      <c r="C125" s="8" t="s">
        <v>750</v>
      </c>
      <c r="D125" s="62">
        <f>SUMIF($A$2:$A$120,A125,$D$2:$D$120)</f>
        <v>19516067.509999998</v>
      </c>
      <c r="F125" s="62">
        <f>'NBD-MF-01-SOFP'!E89</f>
        <v>19516068.059999999</v>
      </c>
      <c r="G125" s="62">
        <f>D125-F125</f>
        <v>-0.55000000074505806</v>
      </c>
    </row>
    <row r="126" spans="1:16" x14ac:dyDescent="0.3">
      <c r="A126" s="39" t="s">
        <v>242</v>
      </c>
      <c r="B126" s="8"/>
      <c r="C126" s="8" t="s">
        <v>434</v>
      </c>
      <c r="D126" s="62">
        <f>SUMIF($A$2:$A$120,A126,$D$2:$D$120)</f>
        <v>243437378.16999996</v>
      </c>
      <c r="F126" s="62">
        <f>'NBD-MF-01-SOFP'!E90</f>
        <v>243433168.1699999</v>
      </c>
      <c r="G126" s="62">
        <f>D126-F126</f>
        <v>4210.0000000596046</v>
      </c>
    </row>
    <row r="127" spans="1:16" x14ac:dyDescent="0.3">
      <c r="D127" s="144">
        <f>SUM(D125:D126)</f>
        <v>262953445.67999995</v>
      </c>
    </row>
    <row r="130" spans="3:12" x14ac:dyDescent="0.3">
      <c r="C130" s="114"/>
      <c r="D130" s="114"/>
      <c r="E130" s="162"/>
      <c r="F130" s="163" t="s">
        <v>751</v>
      </c>
      <c r="G130" s="163" t="s">
        <v>752</v>
      </c>
      <c r="H130" s="163" t="s">
        <v>753</v>
      </c>
      <c r="I130" s="163" t="s">
        <v>754</v>
      </c>
      <c r="J130" s="163" t="s">
        <v>755</v>
      </c>
      <c r="K130" s="163" t="s">
        <v>460</v>
      </c>
    </row>
    <row r="131" spans="3:12" x14ac:dyDescent="0.3">
      <c r="C131" s="114" t="s">
        <v>735</v>
      </c>
      <c r="D131" s="114"/>
      <c r="E131" s="162"/>
      <c r="F131" s="113">
        <v>112222277</v>
      </c>
      <c r="G131" s="113">
        <v>65562464</v>
      </c>
      <c r="H131" s="113">
        <v>76099398</v>
      </c>
      <c r="I131" s="113">
        <v>-8166737</v>
      </c>
      <c r="J131" s="113">
        <v>4855612</v>
      </c>
      <c r="K131" s="113">
        <v>-34033428</v>
      </c>
      <c r="L131" s="50">
        <f>SUM(F131:K131)</f>
        <v>216539586</v>
      </c>
    </row>
    <row r="132" spans="3:12" x14ac:dyDescent="0.3">
      <c r="C132" s="114"/>
      <c r="D132" s="114"/>
      <c r="E132" s="162"/>
      <c r="F132" s="113">
        <f>F131</f>
        <v>112222277</v>
      </c>
      <c r="G132" s="113">
        <f>SUM(G131:K131)</f>
        <v>104317309</v>
      </c>
      <c r="H132" s="113">
        <v>0</v>
      </c>
      <c r="I132" s="113">
        <v>0</v>
      </c>
      <c r="J132" s="113">
        <v>0</v>
      </c>
      <c r="K132" s="113">
        <v>0</v>
      </c>
      <c r="L132" s="50">
        <f>SUM(F132:K132)</f>
        <v>216539586</v>
      </c>
    </row>
  </sheetData>
  <autoFilter ref="A1:P117" xr:uid="{00000000-0009-0000-0000-000005000000}"/>
  <conditionalFormatting sqref="B1 B120:B1048576">
    <cfRule type="duplicateValues" dxfId="12" priority="8"/>
  </conditionalFormatting>
  <conditionalFormatting sqref="B1:B110 B114:B1048576">
    <cfRule type="duplicateValues" dxfId="11" priority="5"/>
  </conditionalFormatting>
  <conditionalFormatting sqref="B1:B1048576">
    <cfRule type="duplicateValues" dxfId="10" priority="1"/>
  </conditionalFormatting>
  <conditionalFormatting sqref="B2:B110 B114:B119">
    <cfRule type="duplicateValues" dxfId="9" priority="42"/>
  </conditionalFormatting>
  <conditionalFormatting sqref="B111:B113">
    <cfRule type="duplicateValues" dxfId="8" priority="3"/>
    <cfRule type="duplicateValues" dxfId="7" priority="4"/>
  </conditionalFormatting>
  <conditionalFormatting sqref="C125:C126">
    <cfRule type="duplicateValues" dxfId="6" priority="7"/>
  </conditionalFormatting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N1146"/>
  <sheetViews>
    <sheetView zoomScale="85" zoomScaleNormal="85" workbookViewId="0">
      <pane ySplit="2" topLeftCell="A1005" activePane="bottomLeft" state="frozen"/>
      <selection pane="bottomLeft" activeCell="A3" sqref="A3:G1032"/>
    </sheetView>
  </sheetViews>
  <sheetFormatPr defaultRowHeight="14.4" x14ac:dyDescent="0.3"/>
  <cols>
    <col min="1" max="1" width="33.33203125" style="94" customWidth="1"/>
    <col min="2" max="2" width="8.44140625" customWidth="1"/>
    <col min="3" max="3" width="15.6640625" style="50" customWidth="1"/>
    <col min="4" max="4" width="11.109375" style="95" customWidth="1"/>
    <col min="5" max="5" width="13.33203125" style="94" bestFit="1" customWidth="1"/>
    <col min="6" max="6" width="10.5546875" customWidth="1"/>
    <col min="7" max="7" width="18.5546875" customWidth="1"/>
    <col min="9" max="9" width="17.44140625" bestFit="1" customWidth="1"/>
    <col min="10" max="10" width="15.44140625" bestFit="1" customWidth="1"/>
    <col min="12" max="12" width="18.44140625" bestFit="1" customWidth="1"/>
    <col min="13" max="13" width="18" bestFit="1" customWidth="1"/>
    <col min="14" max="14" width="14.33203125" bestFit="1" customWidth="1"/>
  </cols>
  <sheetData>
    <row r="1" spans="1:14" x14ac:dyDescent="0.3">
      <c r="C1" s="139">
        <f>SUM(C3:C1048576)</f>
        <v>34569023675.039978</v>
      </c>
      <c r="F1" s="147">
        <f>'NBD-MF-01-SOFP'!D2</f>
        <v>45900</v>
      </c>
    </row>
    <row r="2" spans="1:14" ht="28.8" customHeight="1" x14ac:dyDescent="0.3">
      <c r="A2" s="97" t="s">
        <v>756</v>
      </c>
      <c r="B2" s="96" t="s">
        <v>757</v>
      </c>
      <c r="C2" s="98" t="s">
        <v>758</v>
      </c>
      <c r="D2" s="99" t="s">
        <v>465</v>
      </c>
      <c r="E2" s="97" t="s">
        <v>759</v>
      </c>
      <c r="F2" s="96" t="s">
        <v>760</v>
      </c>
      <c r="G2" s="96" t="s">
        <v>472</v>
      </c>
      <c r="I2" s="100" t="s">
        <v>761</v>
      </c>
      <c r="J2" t="s">
        <v>762</v>
      </c>
      <c r="L2" s="114" t="s">
        <v>761</v>
      </c>
      <c r="M2" s="114" t="s">
        <v>762</v>
      </c>
      <c r="N2" s="114"/>
    </row>
    <row r="3" spans="1:14" x14ac:dyDescent="0.3">
      <c r="A3" s="94" t="s">
        <v>763</v>
      </c>
      <c r="B3" t="s">
        <v>764</v>
      </c>
      <c r="C3" s="50">
        <v>250000000</v>
      </c>
      <c r="D3" s="95">
        <v>7.4999999999999997E-2</v>
      </c>
      <c r="E3" s="94">
        <v>45904</v>
      </c>
      <c r="F3" s="50">
        <f t="shared" ref="F3:F66" si="0">E3-$F$1</f>
        <v>4</v>
      </c>
      <c r="G3" t="str">
        <f>VLOOKUP(F3,T!$A$2:$C$9,3,TRUE)</f>
        <v>1. Less than 7 Days</v>
      </c>
      <c r="I3" s="101" t="s">
        <v>765</v>
      </c>
      <c r="J3" s="51">
        <v>250000000</v>
      </c>
      <c r="L3" s="114" t="s">
        <v>765</v>
      </c>
      <c r="M3" s="113">
        <v>250000000</v>
      </c>
      <c r="N3" s="113">
        <f>ROUND((M3+M14)/1000,0)</f>
        <v>3063383</v>
      </c>
    </row>
    <row r="4" spans="1:14" x14ac:dyDescent="0.3">
      <c r="A4" s="94" t="s">
        <v>766</v>
      </c>
      <c r="B4" t="s">
        <v>764</v>
      </c>
      <c r="C4" s="50">
        <v>500000000</v>
      </c>
      <c r="D4" s="95">
        <v>7.6999999999999999E-2</v>
      </c>
      <c r="E4" s="94">
        <v>45909</v>
      </c>
      <c r="F4" s="50">
        <f t="shared" si="0"/>
        <v>9</v>
      </c>
      <c r="G4" t="str">
        <f>VLOOKUP(F4,T!$A$2:$C$9,3,TRUE)</f>
        <v>2. 7-30 Days</v>
      </c>
      <c r="I4" s="101" t="s">
        <v>767</v>
      </c>
      <c r="J4" s="51">
        <v>7898062273.8900003</v>
      </c>
      <c r="L4" s="114" t="s">
        <v>767</v>
      </c>
      <c r="M4" s="113">
        <v>7898062273.8900003</v>
      </c>
      <c r="N4" s="113">
        <f t="shared" ref="N4:N10" si="1">ROUND(M4/1000,0)</f>
        <v>7898062</v>
      </c>
    </row>
    <row r="5" spans="1:14" x14ac:dyDescent="0.3">
      <c r="A5" s="94" t="s">
        <v>766</v>
      </c>
      <c r="B5" t="s">
        <v>764</v>
      </c>
      <c r="C5" s="50">
        <v>500000000</v>
      </c>
      <c r="D5" s="95">
        <v>7.6999999999999999E-2</v>
      </c>
      <c r="E5" s="94">
        <v>45909</v>
      </c>
      <c r="F5" s="50">
        <f t="shared" si="0"/>
        <v>9</v>
      </c>
      <c r="G5" t="str">
        <f>VLOOKUP(F5,T!$A$2:$C$9,3,TRUE)</f>
        <v>2. 7-30 Days</v>
      </c>
      <c r="I5" s="101" t="s">
        <v>768</v>
      </c>
      <c r="J5" s="51">
        <v>3297151904.27</v>
      </c>
      <c r="L5" s="114" t="s">
        <v>768</v>
      </c>
      <c r="M5" s="113">
        <v>3297151904.27</v>
      </c>
      <c r="N5" s="113">
        <f t="shared" si="1"/>
        <v>3297152</v>
      </c>
    </row>
    <row r="6" spans="1:14" x14ac:dyDescent="0.3">
      <c r="A6" s="94" t="s">
        <v>769</v>
      </c>
      <c r="B6" t="s">
        <v>764</v>
      </c>
      <c r="C6" s="50">
        <v>500000000</v>
      </c>
      <c r="D6" s="95">
        <v>7.4700000000000003E-2</v>
      </c>
      <c r="E6" s="94">
        <v>45912</v>
      </c>
      <c r="F6" s="50">
        <f t="shared" si="0"/>
        <v>12</v>
      </c>
      <c r="G6" t="str">
        <f>VLOOKUP(F6,T!$A$2:$C$9,3,TRUE)</f>
        <v>2. 7-30 Days</v>
      </c>
      <c r="I6" s="101" t="s">
        <v>770</v>
      </c>
      <c r="J6" s="51">
        <v>1548950711.7600002</v>
      </c>
      <c r="L6" s="114" t="s">
        <v>770</v>
      </c>
      <c r="M6" s="113">
        <v>1548950711.7600002</v>
      </c>
      <c r="N6" s="113">
        <f t="shared" si="1"/>
        <v>1548951</v>
      </c>
    </row>
    <row r="7" spans="1:14" x14ac:dyDescent="0.3">
      <c r="A7" s="94" t="s">
        <v>771</v>
      </c>
      <c r="B7" t="s">
        <v>764</v>
      </c>
      <c r="C7" s="50">
        <v>500000000</v>
      </c>
      <c r="D7" s="95">
        <v>7.6999999999999999E-2</v>
      </c>
      <c r="E7" s="94">
        <v>45912</v>
      </c>
      <c r="F7" s="50">
        <f t="shared" si="0"/>
        <v>12</v>
      </c>
      <c r="G7" t="str">
        <f>VLOOKUP(F7,T!$A$2:$C$9,3,TRUE)</f>
        <v>2. 7-30 Days</v>
      </c>
      <c r="I7" s="101" t="s">
        <v>772</v>
      </c>
      <c r="J7" s="51">
        <v>3302326278.2800002</v>
      </c>
      <c r="L7" s="114" t="s">
        <v>772</v>
      </c>
      <c r="M7" s="113">
        <v>3302326278.2800002</v>
      </c>
      <c r="N7" s="113">
        <f t="shared" si="1"/>
        <v>3302326</v>
      </c>
    </row>
    <row r="8" spans="1:14" x14ac:dyDescent="0.3">
      <c r="A8" s="94" t="s">
        <v>773</v>
      </c>
      <c r="B8" t="s">
        <v>774</v>
      </c>
      <c r="C8" s="50">
        <v>50000000</v>
      </c>
      <c r="D8" s="95">
        <v>0.12</v>
      </c>
      <c r="E8" s="94">
        <v>45913</v>
      </c>
      <c r="F8" s="50">
        <f t="shared" si="0"/>
        <v>13</v>
      </c>
      <c r="G8" t="str">
        <f>VLOOKUP(F8,T!$A$2:$C$9,3,TRUE)</f>
        <v>2. 7-30 Days</v>
      </c>
      <c r="I8" s="101" t="s">
        <v>775</v>
      </c>
      <c r="J8" s="51">
        <v>12837779243.159992</v>
      </c>
      <c r="L8" s="114" t="s">
        <v>775</v>
      </c>
      <c r="M8" s="113">
        <v>12837779243.159992</v>
      </c>
      <c r="N8" s="113">
        <f t="shared" si="1"/>
        <v>12837779</v>
      </c>
    </row>
    <row r="9" spans="1:14" x14ac:dyDescent="0.3">
      <c r="A9" s="94" t="s">
        <v>773</v>
      </c>
      <c r="B9" t="s">
        <v>774</v>
      </c>
      <c r="C9" s="50">
        <v>25000000</v>
      </c>
      <c r="D9" s="95">
        <v>0.12</v>
      </c>
      <c r="E9" s="94">
        <v>45914</v>
      </c>
      <c r="F9" s="50">
        <f t="shared" si="0"/>
        <v>14</v>
      </c>
      <c r="G9" t="str">
        <f>VLOOKUP(F9,T!$A$2:$C$9,3,TRUE)</f>
        <v>2. 7-30 Days</v>
      </c>
      <c r="I9" s="101" t="s">
        <v>776</v>
      </c>
      <c r="J9" s="51">
        <v>2732497761.0700002</v>
      </c>
      <c r="L9" s="114" t="s">
        <v>776</v>
      </c>
      <c r="M9" s="113">
        <v>2732497761.0700002</v>
      </c>
      <c r="N9" s="113">
        <f t="shared" si="1"/>
        <v>2732498</v>
      </c>
    </row>
    <row r="10" spans="1:14" x14ac:dyDescent="0.3">
      <c r="A10" s="94" t="s">
        <v>777</v>
      </c>
      <c r="B10" t="s">
        <v>774</v>
      </c>
      <c r="C10" s="50">
        <v>12500000</v>
      </c>
      <c r="D10" s="95">
        <v>9.2499999999999999E-2</v>
      </c>
      <c r="E10" s="94">
        <v>45915</v>
      </c>
      <c r="F10" s="50">
        <f t="shared" si="0"/>
        <v>15</v>
      </c>
      <c r="G10" t="str">
        <f>VLOOKUP(F10,T!$A$2:$C$9,3,TRUE)</f>
        <v>2. 7-30 Days</v>
      </c>
      <c r="I10" s="101" t="s">
        <v>779</v>
      </c>
      <c r="J10" s="51">
        <v>31866768172.429993</v>
      </c>
      <c r="L10" s="114" t="s">
        <v>778</v>
      </c>
      <c r="M10" s="113">
        <v>0</v>
      </c>
      <c r="N10" s="113">
        <f t="shared" si="1"/>
        <v>0</v>
      </c>
    </row>
    <row r="11" spans="1:14" x14ac:dyDescent="0.3">
      <c r="A11" s="94" t="s">
        <v>777</v>
      </c>
      <c r="B11" t="s">
        <v>774</v>
      </c>
      <c r="C11" s="50">
        <v>12500000</v>
      </c>
      <c r="D11" s="95">
        <v>9.2499999999999999E-2</v>
      </c>
      <c r="E11" s="94">
        <v>45915</v>
      </c>
      <c r="F11" s="50">
        <f t="shared" si="0"/>
        <v>15</v>
      </c>
      <c r="G11" t="str">
        <f>VLOOKUP(F11,T!$A$2:$C$9,3,TRUE)</f>
        <v>2. 7-30 Days</v>
      </c>
      <c r="L11" s="114" t="s">
        <v>779</v>
      </c>
      <c r="M11" s="113">
        <f>SUM(M3:M10)</f>
        <v>31866768172.429993</v>
      </c>
      <c r="N11" s="113">
        <f>SUM(N3:N10)</f>
        <v>34680151</v>
      </c>
    </row>
    <row r="12" spans="1:14" x14ac:dyDescent="0.3">
      <c r="A12" s="94" t="s">
        <v>777</v>
      </c>
      <c r="B12" t="s">
        <v>774</v>
      </c>
      <c r="C12" s="50">
        <v>8333334</v>
      </c>
      <c r="D12" s="95">
        <v>9.2499999999999999E-2</v>
      </c>
      <c r="E12" s="94">
        <v>45915</v>
      </c>
      <c r="F12" s="50">
        <f t="shared" si="0"/>
        <v>15</v>
      </c>
      <c r="G12" t="str">
        <f>VLOOKUP(F12,T!$A$2:$C$9,3,TRUE)</f>
        <v>2. 7-30 Days</v>
      </c>
      <c r="L12" s="114"/>
      <c r="M12" s="113">
        <f>M21</f>
        <v>34680151450.920006</v>
      </c>
      <c r="N12" s="114"/>
    </row>
    <row r="13" spans="1:14" x14ac:dyDescent="0.3">
      <c r="A13" s="94" t="s">
        <v>766</v>
      </c>
      <c r="B13" t="s">
        <v>764</v>
      </c>
      <c r="C13" s="50">
        <v>500000000</v>
      </c>
      <c r="D13" s="95">
        <v>7.6999999999999999E-2</v>
      </c>
      <c r="E13" s="94">
        <v>45915</v>
      </c>
      <c r="F13" s="50">
        <f t="shared" si="0"/>
        <v>15</v>
      </c>
      <c r="G13" t="str">
        <f>VLOOKUP(F13,T!$A$2:$C$9,3,TRUE)</f>
        <v>2. 7-30 Days</v>
      </c>
      <c r="M13" s="50">
        <f>M12-M11</f>
        <v>2813383278.4900131</v>
      </c>
    </row>
    <row r="14" spans="1:14" x14ac:dyDescent="0.3">
      <c r="A14" s="94" t="s">
        <v>780</v>
      </c>
      <c r="B14" t="s">
        <v>774</v>
      </c>
      <c r="C14" s="50">
        <v>16666666.67</v>
      </c>
      <c r="D14" s="95">
        <v>8.0199999999999994E-2</v>
      </c>
      <c r="E14" s="94">
        <v>45915</v>
      </c>
      <c r="F14" s="50">
        <f t="shared" si="0"/>
        <v>15</v>
      </c>
      <c r="G14" t="str">
        <f>VLOOKUP(F14,T!$A$2:$C$9,3,TRUE)</f>
        <v>2. 7-30 Days</v>
      </c>
      <c r="L14" s="168" t="s">
        <v>781</v>
      </c>
      <c r="M14" s="169">
        <v>2813383278.4900131</v>
      </c>
    </row>
    <row r="15" spans="1:14" x14ac:dyDescent="0.3">
      <c r="A15" s="94" t="s">
        <v>782</v>
      </c>
      <c r="B15" t="s">
        <v>774</v>
      </c>
      <c r="C15" s="50">
        <v>25000000</v>
      </c>
      <c r="D15" s="95">
        <v>8.5000000000000006E-2</v>
      </c>
      <c r="E15" s="94">
        <v>45915</v>
      </c>
      <c r="F15" s="50">
        <f t="shared" si="0"/>
        <v>15</v>
      </c>
      <c r="G15" t="str">
        <f>VLOOKUP(F15,T!$A$2:$C$9,3,TRUE)</f>
        <v>2. 7-30 Days</v>
      </c>
    </row>
    <row r="16" spans="1:14" x14ac:dyDescent="0.3">
      <c r="A16" s="94" t="s">
        <v>783</v>
      </c>
      <c r="B16" t="s">
        <v>764</v>
      </c>
      <c r="C16" s="50">
        <v>300000000</v>
      </c>
      <c r="D16" s="95">
        <v>7.4999999999999997E-2</v>
      </c>
      <c r="E16" s="94">
        <v>45918</v>
      </c>
      <c r="F16" s="50">
        <f t="shared" si="0"/>
        <v>18</v>
      </c>
      <c r="G16" t="str">
        <f>VLOOKUP(F16,T!$A$2:$C$9,3,TRUE)</f>
        <v>2. 7-30 Days</v>
      </c>
      <c r="J16" s="51"/>
      <c r="L16" t="s">
        <v>784</v>
      </c>
      <c r="M16" s="50">
        <f>+'NBD-MF-01-SOFP'!E125</f>
        <v>944772946.41273999</v>
      </c>
      <c r="N16" s="50"/>
    </row>
    <row r="17" spans="1:14" x14ac:dyDescent="0.3">
      <c r="A17" s="94" t="s">
        <v>785</v>
      </c>
      <c r="B17" t="s">
        <v>774</v>
      </c>
      <c r="C17" s="50">
        <v>25000000</v>
      </c>
      <c r="D17" s="95">
        <v>8.0199999999999994E-2</v>
      </c>
      <c r="E17" s="94">
        <v>45918</v>
      </c>
      <c r="F17" s="50">
        <f t="shared" si="0"/>
        <v>18</v>
      </c>
      <c r="G17" t="str">
        <f>VLOOKUP(F17,T!$A$2:$C$9,3,TRUE)</f>
        <v>2. 7-30 Days</v>
      </c>
      <c r="L17" t="s">
        <v>786</v>
      </c>
      <c r="M17" s="50">
        <v>0</v>
      </c>
      <c r="N17" s="50"/>
    </row>
    <row r="18" spans="1:14" x14ac:dyDescent="0.3">
      <c r="A18" s="94" t="s">
        <v>771</v>
      </c>
      <c r="B18" t="s">
        <v>764</v>
      </c>
      <c r="C18" s="50">
        <v>200000000</v>
      </c>
      <c r="D18" s="95">
        <v>7.4999999999999997E-2</v>
      </c>
      <c r="E18" s="94">
        <v>45918</v>
      </c>
      <c r="F18" s="50">
        <f t="shared" si="0"/>
        <v>18</v>
      </c>
      <c r="G18" t="str">
        <f>VLOOKUP(F18,T!$A$2:$C$9,3,TRUE)</f>
        <v>2. 7-30 Days</v>
      </c>
      <c r="L18" t="s">
        <v>787</v>
      </c>
      <c r="M18" s="50">
        <v>0</v>
      </c>
      <c r="N18" s="50"/>
    </row>
    <row r="19" spans="1:14" x14ac:dyDescent="0.3">
      <c r="A19" s="94" t="s">
        <v>771</v>
      </c>
      <c r="B19" t="s">
        <v>764</v>
      </c>
      <c r="C19" s="50">
        <v>200000000</v>
      </c>
      <c r="D19" s="95">
        <v>7.4999999999999997E-2</v>
      </c>
      <c r="E19" s="94">
        <v>45918</v>
      </c>
      <c r="F19" s="50">
        <f t="shared" si="0"/>
        <v>18</v>
      </c>
      <c r="G19" t="str">
        <f>VLOOKUP(F19,T!$A$2:$C$9,3,TRUE)</f>
        <v>2. 7-30 Days</v>
      </c>
      <c r="L19" t="s">
        <v>788</v>
      </c>
      <c r="M19" s="51">
        <f>SUM(M17:M18)</f>
        <v>0</v>
      </c>
      <c r="N19" s="50"/>
    </row>
    <row r="20" spans="1:14" x14ac:dyDescent="0.3">
      <c r="A20" s="94" t="s">
        <v>771</v>
      </c>
      <c r="B20" t="s">
        <v>764</v>
      </c>
      <c r="C20" s="50">
        <v>500000000</v>
      </c>
      <c r="D20" s="95">
        <v>7.4999999999999997E-2</v>
      </c>
      <c r="E20" s="94">
        <v>45918</v>
      </c>
      <c r="F20" s="50">
        <f t="shared" si="0"/>
        <v>18</v>
      </c>
      <c r="G20" t="str">
        <f>VLOOKUP(F20,T!$A$2:$C$9,3,TRUE)</f>
        <v>2. 7-30 Days</v>
      </c>
      <c r="L20" t="s">
        <v>789</v>
      </c>
      <c r="M20" s="50">
        <f>'NBD-MF-01-SOFP'!E94+'NBD-MF-01-SOFP'!E95</f>
        <v>33735378504.507263</v>
      </c>
      <c r="N20" s="50"/>
    </row>
    <row r="21" spans="1:14" x14ac:dyDescent="0.3">
      <c r="A21" s="94" t="s">
        <v>790</v>
      </c>
      <c r="B21" t="s">
        <v>774</v>
      </c>
      <c r="C21" s="50">
        <v>13775273.41</v>
      </c>
      <c r="D21" s="95">
        <v>0.12</v>
      </c>
      <c r="E21" s="94">
        <v>45919</v>
      </c>
      <c r="F21" s="50">
        <f t="shared" si="0"/>
        <v>19</v>
      </c>
      <c r="G21" t="str">
        <f>VLOOKUP(F21,T!$A$2:$C$9,3,TRUE)</f>
        <v>2. 7-30 Days</v>
      </c>
      <c r="M21" s="50">
        <f>M19+M20+M16</f>
        <v>34680151450.920006</v>
      </c>
      <c r="N21" s="50">
        <f>ROUND(M21/1000,0)</f>
        <v>34680151</v>
      </c>
    </row>
    <row r="22" spans="1:14" x14ac:dyDescent="0.3">
      <c r="A22" s="94" t="s">
        <v>783</v>
      </c>
      <c r="B22" t="s">
        <v>764</v>
      </c>
      <c r="C22" s="50">
        <v>400000000</v>
      </c>
      <c r="D22" s="95">
        <v>7.4999999999999997E-2</v>
      </c>
      <c r="E22" s="94">
        <v>45919</v>
      </c>
      <c r="F22" s="50">
        <f t="shared" si="0"/>
        <v>19</v>
      </c>
      <c r="G22" t="str">
        <f>VLOOKUP(F22,T!$A$2:$C$9,3,TRUE)</f>
        <v>2. 7-30 Days</v>
      </c>
    </row>
    <row r="23" spans="1:14" x14ac:dyDescent="0.3">
      <c r="A23" s="94" t="s">
        <v>791</v>
      </c>
      <c r="B23" t="s">
        <v>764</v>
      </c>
      <c r="C23" s="50">
        <v>500000000</v>
      </c>
      <c r="D23" s="95">
        <v>7.4999999999999997E-2</v>
      </c>
      <c r="E23" s="94">
        <v>45919</v>
      </c>
      <c r="F23" s="50">
        <f t="shared" si="0"/>
        <v>19</v>
      </c>
      <c r="G23" t="str">
        <f>VLOOKUP(F23,T!$A$2:$C$9,3,TRUE)</f>
        <v>2. 7-30 Days</v>
      </c>
    </row>
    <row r="24" spans="1:14" x14ac:dyDescent="0.3">
      <c r="A24" s="94" t="s">
        <v>769</v>
      </c>
      <c r="B24" t="s">
        <v>764</v>
      </c>
      <c r="C24" s="50">
        <v>400000000</v>
      </c>
      <c r="D24" s="95">
        <v>7.4700000000000003E-2</v>
      </c>
      <c r="E24" s="94">
        <v>45919</v>
      </c>
      <c r="F24" s="50">
        <f t="shared" si="0"/>
        <v>19</v>
      </c>
      <c r="G24" t="str">
        <f>VLOOKUP(F24,T!$A$2:$C$9,3,TRUE)</f>
        <v>2. 7-30 Days</v>
      </c>
    </row>
    <row r="25" spans="1:14" x14ac:dyDescent="0.3">
      <c r="A25" s="94" t="s">
        <v>769</v>
      </c>
      <c r="B25" t="s">
        <v>764</v>
      </c>
      <c r="C25" s="50">
        <v>550000000</v>
      </c>
      <c r="D25" s="95">
        <v>7.4700000000000003E-2</v>
      </c>
      <c r="E25" s="94">
        <v>45919</v>
      </c>
      <c r="F25" s="50">
        <f t="shared" si="0"/>
        <v>19</v>
      </c>
      <c r="G25" t="str">
        <f>VLOOKUP(F25,T!$A$2:$C$9,3,TRUE)</f>
        <v>2. 7-30 Days</v>
      </c>
    </row>
    <row r="26" spans="1:14" x14ac:dyDescent="0.3">
      <c r="A26" s="94" t="s">
        <v>771</v>
      </c>
      <c r="B26" t="s">
        <v>764</v>
      </c>
      <c r="C26" s="50">
        <v>500000000</v>
      </c>
      <c r="D26" s="95">
        <v>7.4999999999999997E-2</v>
      </c>
      <c r="E26" s="94">
        <v>45919</v>
      </c>
      <c r="F26" s="50">
        <f t="shared" si="0"/>
        <v>19</v>
      </c>
      <c r="G26" t="str">
        <f>VLOOKUP(F26,T!$A$2:$C$9,3,TRUE)</f>
        <v>2. 7-30 Days</v>
      </c>
    </row>
    <row r="27" spans="1:14" x14ac:dyDescent="0.3">
      <c r="A27" s="94" t="s">
        <v>782</v>
      </c>
      <c r="B27" t="s">
        <v>774</v>
      </c>
      <c r="C27" s="50">
        <v>25000000</v>
      </c>
      <c r="D27" s="95">
        <v>8.5000000000000006E-2</v>
      </c>
      <c r="E27" s="94">
        <v>45921</v>
      </c>
      <c r="F27" s="50">
        <f t="shared" si="0"/>
        <v>21</v>
      </c>
      <c r="G27" t="str">
        <f>VLOOKUP(F27,T!$A$2:$C$9,3,TRUE)</f>
        <v>2. 7-30 Days</v>
      </c>
    </row>
    <row r="28" spans="1:14" x14ac:dyDescent="0.3">
      <c r="A28" s="94" t="s">
        <v>792</v>
      </c>
      <c r="B28" t="s">
        <v>774</v>
      </c>
      <c r="C28" s="50">
        <v>20800000</v>
      </c>
      <c r="D28" s="95">
        <v>0.1075</v>
      </c>
      <c r="E28" s="94">
        <v>45922</v>
      </c>
      <c r="F28" s="50">
        <f t="shared" si="0"/>
        <v>22</v>
      </c>
      <c r="G28" t="str">
        <f>VLOOKUP(F28,T!$A$2:$C$9,3,TRUE)</f>
        <v>2. 7-30 Days</v>
      </c>
    </row>
    <row r="29" spans="1:14" x14ac:dyDescent="0.3">
      <c r="A29" s="94" t="s">
        <v>792</v>
      </c>
      <c r="B29" t="s">
        <v>774</v>
      </c>
      <c r="C29" s="50">
        <v>20800000</v>
      </c>
      <c r="D29" s="95">
        <v>0.1075</v>
      </c>
      <c r="E29" s="94">
        <v>45924</v>
      </c>
      <c r="F29" s="50">
        <f t="shared" si="0"/>
        <v>24</v>
      </c>
      <c r="G29" t="str">
        <f>VLOOKUP(F29,T!$A$2:$C$9,3,TRUE)</f>
        <v>2. 7-30 Days</v>
      </c>
    </row>
    <row r="30" spans="1:14" x14ac:dyDescent="0.3">
      <c r="A30" s="94" t="s">
        <v>793</v>
      </c>
      <c r="B30" t="s">
        <v>774</v>
      </c>
      <c r="C30" s="50">
        <v>16650000</v>
      </c>
      <c r="D30" s="95">
        <v>0.09</v>
      </c>
      <c r="E30" s="94">
        <v>45925</v>
      </c>
      <c r="F30" s="50">
        <f t="shared" si="0"/>
        <v>25</v>
      </c>
      <c r="G30" t="str">
        <f>VLOOKUP(F30,T!$A$2:$C$9,3,TRUE)</f>
        <v>2. 7-30 Days</v>
      </c>
    </row>
    <row r="31" spans="1:14" x14ac:dyDescent="0.3">
      <c r="A31" s="94" t="s">
        <v>793</v>
      </c>
      <c r="B31" t="s">
        <v>774</v>
      </c>
      <c r="C31" s="50">
        <v>16650000</v>
      </c>
      <c r="D31" s="95">
        <v>0.09</v>
      </c>
      <c r="E31" s="94">
        <v>45926</v>
      </c>
      <c r="F31" s="50">
        <f t="shared" si="0"/>
        <v>26</v>
      </c>
      <c r="G31" t="str">
        <f>VLOOKUP(F31,T!$A$2:$C$9,3,TRUE)</f>
        <v>2. 7-30 Days</v>
      </c>
    </row>
    <row r="32" spans="1:14" x14ac:dyDescent="0.3">
      <c r="A32" s="94" t="s">
        <v>783</v>
      </c>
      <c r="B32" t="s">
        <v>764</v>
      </c>
      <c r="C32" s="50">
        <v>200000000</v>
      </c>
      <c r="D32" s="95">
        <v>7.5999999999999998E-2</v>
      </c>
      <c r="E32" s="94">
        <v>45926</v>
      </c>
      <c r="F32" s="50">
        <f t="shared" si="0"/>
        <v>26</v>
      </c>
      <c r="G32" t="str">
        <f>VLOOKUP(F32,T!$A$2:$C$9,3,TRUE)</f>
        <v>2. 7-30 Days</v>
      </c>
    </row>
    <row r="33" spans="1:7" x14ac:dyDescent="0.3">
      <c r="A33" s="94" t="s">
        <v>783</v>
      </c>
      <c r="B33" t="s">
        <v>764</v>
      </c>
      <c r="C33" s="50">
        <v>200000000</v>
      </c>
      <c r="D33" s="95">
        <v>7.5999999999999998E-2</v>
      </c>
      <c r="E33" s="94">
        <v>45926</v>
      </c>
      <c r="F33" s="50">
        <f t="shared" si="0"/>
        <v>26</v>
      </c>
      <c r="G33" t="str">
        <f>VLOOKUP(F33,T!$A$2:$C$9,3,TRUE)</f>
        <v>2. 7-30 Days</v>
      </c>
    </row>
    <row r="34" spans="1:7" x14ac:dyDescent="0.3">
      <c r="A34" s="94" t="s">
        <v>766</v>
      </c>
      <c r="B34" t="s">
        <v>764</v>
      </c>
      <c r="C34" s="50">
        <v>300000000</v>
      </c>
      <c r="D34" s="95">
        <v>7.6999999999999999E-2</v>
      </c>
      <c r="E34" s="94">
        <v>45926</v>
      </c>
      <c r="F34" s="50">
        <f t="shared" si="0"/>
        <v>26</v>
      </c>
      <c r="G34" t="str">
        <f>VLOOKUP(F34,T!$A$2:$C$9,3,TRUE)</f>
        <v>2. 7-30 Days</v>
      </c>
    </row>
    <row r="35" spans="1:7" x14ac:dyDescent="0.3">
      <c r="A35" s="94" t="s">
        <v>794</v>
      </c>
      <c r="B35" t="s">
        <v>774</v>
      </c>
      <c r="C35" s="50">
        <v>20833000</v>
      </c>
      <c r="D35" s="95">
        <v>8.0699999999999994E-2</v>
      </c>
      <c r="E35" s="94">
        <v>45926</v>
      </c>
      <c r="F35" s="50">
        <f t="shared" si="0"/>
        <v>26</v>
      </c>
      <c r="G35" t="str">
        <f>VLOOKUP(F35,T!$A$2:$C$9,3,TRUE)</f>
        <v>2. 7-30 Days</v>
      </c>
    </row>
    <row r="36" spans="1:7" x14ac:dyDescent="0.3">
      <c r="A36" s="94" t="s">
        <v>794</v>
      </c>
      <c r="B36" t="s">
        <v>774</v>
      </c>
      <c r="C36" s="50">
        <v>20833000</v>
      </c>
      <c r="D36" s="95">
        <v>8.0699999999999994E-2</v>
      </c>
      <c r="E36" s="94">
        <v>45926</v>
      </c>
      <c r="F36" s="50">
        <f t="shared" si="0"/>
        <v>26</v>
      </c>
      <c r="G36" t="str">
        <f>VLOOKUP(F36,T!$A$2:$C$9,3,TRUE)</f>
        <v>2. 7-30 Days</v>
      </c>
    </row>
    <row r="37" spans="1:7" x14ac:dyDescent="0.3">
      <c r="A37" s="94" t="s">
        <v>794</v>
      </c>
      <c r="B37" t="s">
        <v>774</v>
      </c>
      <c r="C37" s="50">
        <v>20833000</v>
      </c>
      <c r="D37" s="95">
        <v>8.0699999999999994E-2</v>
      </c>
      <c r="E37" s="94">
        <v>45926</v>
      </c>
      <c r="F37" s="50">
        <f t="shared" si="0"/>
        <v>26</v>
      </c>
      <c r="G37" t="str">
        <f>VLOOKUP(F37,T!$A$2:$C$9,3,TRUE)</f>
        <v>2. 7-30 Days</v>
      </c>
    </row>
    <row r="38" spans="1:7" x14ac:dyDescent="0.3">
      <c r="A38" s="94" t="s">
        <v>771</v>
      </c>
      <c r="B38" t="s">
        <v>764</v>
      </c>
      <c r="C38" s="50">
        <v>500000000</v>
      </c>
      <c r="D38" s="95">
        <v>7.4999999999999997E-2</v>
      </c>
      <c r="E38" s="94">
        <v>45926</v>
      </c>
      <c r="F38" s="50">
        <f t="shared" si="0"/>
        <v>26</v>
      </c>
      <c r="G38" t="str">
        <f>VLOOKUP(F38,T!$A$2:$C$9,3,TRUE)</f>
        <v>2. 7-30 Days</v>
      </c>
    </row>
    <row r="39" spans="1:7" x14ac:dyDescent="0.3">
      <c r="A39" s="94" t="s">
        <v>795</v>
      </c>
      <c r="B39" t="s">
        <v>774</v>
      </c>
      <c r="C39" s="50">
        <v>20833333.333333328</v>
      </c>
      <c r="D39" s="95">
        <v>0.1075</v>
      </c>
      <c r="E39" s="94">
        <v>45927</v>
      </c>
      <c r="F39" s="50">
        <f t="shared" si="0"/>
        <v>27</v>
      </c>
      <c r="G39" t="str">
        <f>VLOOKUP(F39,T!$A$2:$C$9,3,TRUE)</f>
        <v>2. 7-30 Days</v>
      </c>
    </row>
    <row r="40" spans="1:7" x14ac:dyDescent="0.3">
      <c r="A40" s="94" t="s">
        <v>795</v>
      </c>
      <c r="B40" t="s">
        <v>774</v>
      </c>
      <c r="C40" s="50">
        <v>20833333.333333328</v>
      </c>
      <c r="D40" s="95">
        <v>0.1075</v>
      </c>
      <c r="E40" s="94">
        <v>45927</v>
      </c>
      <c r="F40" s="50">
        <f t="shared" si="0"/>
        <v>27</v>
      </c>
      <c r="G40" t="str">
        <f>VLOOKUP(F40,T!$A$2:$C$9,3,TRUE)</f>
        <v>2. 7-30 Days</v>
      </c>
    </row>
    <row r="41" spans="1:7" x14ac:dyDescent="0.3">
      <c r="A41" s="94" t="s">
        <v>795</v>
      </c>
      <c r="B41" t="s">
        <v>774</v>
      </c>
      <c r="C41" s="50">
        <v>10416666.66666667</v>
      </c>
      <c r="D41" s="95">
        <v>0.1075</v>
      </c>
      <c r="E41" s="94">
        <v>45927</v>
      </c>
      <c r="F41" s="50">
        <f t="shared" si="0"/>
        <v>27</v>
      </c>
      <c r="G41" t="str">
        <f>VLOOKUP(F41,T!$A$2:$C$9,3,TRUE)</f>
        <v>2. 7-30 Days</v>
      </c>
    </row>
    <row r="42" spans="1:7" x14ac:dyDescent="0.3">
      <c r="A42" s="94" t="s">
        <v>795</v>
      </c>
      <c r="B42" t="s">
        <v>774</v>
      </c>
      <c r="C42" s="50">
        <v>10416666.66666667</v>
      </c>
      <c r="D42" s="95">
        <v>0.1075</v>
      </c>
      <c r="E42" s="94">
        <v>45927</v>
      </c>
      <c r="F42" s="50">
        <f t="shared" si="0"/>
        <v>27</v>
      </c>
      <c r="G42" t="str">
        <f>VLOOKUP(F42,T!$A$2:$C$9,3,TRUE)</f>
        <v>2. 7-30 Days</v>
      </c>
    </row>
    <row r="43" spans="1:7" x14ac:dyDescent="0.3">
      <c r="A43" s="94" t="s">
        <v>796</v>
      </c>
      <c r="B43" t="s">
        <v>774</v>
      </c>
      <c r="C43" s="50">
        <v>13888000</v>
      </c>
      <c r="D43" s="95">
        <v>8.2199999999999995E-2</v>
      </c>
      <c r="E43" s="94">
        <v>45928</v>
      </c>
      <c r="F43" s="50">
        <f t="shared" si="0"/>
        <v>28</v>
      </c>
      <c r="G43" t="str">
        <f>VLOOKUP(F43,T!$A$2:$C$9,3,TRUE)</f>
        <v>2. 7-30 Days</v>
      </c>
    </row>
    <row r="44" spans="1:7" x14ac:dyDescent="0.3">
      <c r="A44" s="94" t="s">
        <v>780</v>
      </c>
      <c r="B44" t="s">
        <v>774</v>
      </c>
      <c r="C44" s="50">
        <v>16666666.470000001</v>
      </c>
      <c r="D44" s="95">
        <v>8.0199999999999994E-2</v>
      </c>
      <c r="E44" s="94">
        <v>45929</v>
      </c>
      <c r="F44" s="50">
        <f t="shared" si="0"/>
        <v>29</v>
      </c>
      <c r="G44" t="str">
        <f>VLOOKUP(F44,T!$A$2:$C$9,3,TRUE)</f>
        <v>2. 7-30 Days</v>
      </c>
    </row>
    <row r="45" spans="1:7" x14ac:dyDescent="0.3">
      <c r="A45" s="94" t="s">
        <v>797</v>
      </c>
      <c r="B45" t="s">
        <v>774</v>
      </c>
      <c r="C45" s="50">
        <v>8250000</v>
      </c>
      <c r="D45" s="95">
        <v>0.12</v>
      </c>
      <c r="E45" s="94">
        <v>45930</v>
      </c>
      <c r="F45" s="50">
        <f t="shared" si="0"/>
        <v>30</v>
      </c>
      <c r="G45" t="str">
        <f>VLOOKUP(F45,T!$A$2:$C$9,3,TRUE)</f>
        <v>2. 7-30 Days</v>
      </c>
    </row>
    <row r="46" spans="1:7" x14ac:dyDescent="0.3">
      <c r="A46" s="94" t="s">
        <v>797</v>
      </c>
      <c r="B46" t="s">
        <v>774</v>
      </c>
      <c r="C46" s="50">
        <v>8250000</v>
      </c>
      <c r="D46" s="95">
        <v>0.12</v>
      </c>
      <c r="E46" s="94">
        <v>45930</v>
      </c>
      <c r="F46" s="50">
        <f t="shared" si="0"/>
        <v>30</v>
      </c>
      <c r="G46" t="str">
        <f>VLOOKUP(F46,T!$A$2:$C$9,3,TRUE)</f>
        <v>2. 7-30 Days</v>
      </c>
    </row>
    <row r="47" spans="1:7" x14ac:dyDescent="0.3">
      <c r="A47" s="94" t="s">
        <v>797</v>
      </c>
      <c r="B47" t="s">
        <v>774</v>
      </c>
      <c r="C47" s="50">
        <v>8250000</v>
      </c>
      <c r="D47" s="95">
        <v>0.12</v>
      </c>
      <c r="E47" s="94">
        <v>45930</v>
      </c>
      <c r="F47" s="50">
        <f t="shared" si="0"/>
        <v>30</v>
      </c>
      <c r="G47" t="str">
        <f>VLOOKUP(F47,T!$A$2:$C$9,3,TRUE)</f>
        <v>2. 7-30 Days</v>
      </c>
    </row>
    <row r="48" spans="1:7" x14ac:dyDescent="0.3">
      <c r="A48" s="94" t="s">
        <v>797</v>
      </c>
      <c r="B48" t="s">
        <v>774</v>
      </c>
      <c r="C48" s="50">
        <v>8250000</v>
      </c>
      <c r="D48" s="95">
        <v>0.12</v>
      </c>
      <c r="E48" s="94">
        <v>45930</v>
      </c>
      <c r="F48" s="50">
        <f t="shared" si="0"/>
        <v>30</v>
      </c>
      <c r="G48" t="str">
        <f>VLOOKUP(F48,T!$A$2:$C$9,3,TRUE)</f>
        <v>2. 7-30 Days</v>
      </c>
    </row>
    <row r="49" spans="1:7" x14ac:dyDescent="0.3">
      <c r="A49" s="94" t="s">
        <v>782</v>
      </c>
      <c r="B49" t="s">
        <v>774</v>
      </c>
      <c r="C49" s="50">
        <v>25000000</v>
      </c>
      <c r="D49" s="95">
        <v>8.5000000000000006E-2</v>
      </c>
      <c r="E49" s="94">
        <v>45930</v>
      </c>
      <c r="F49" s="50">
        <f t="shared" si="0"/>
        <v>30</v>
      </c>
      <c r="G49" t="str">
        <f>VLOOKUP(F49,T!$A$2:$C$9,3,TRUE)</f>
        <v>2. 7-30 Days</v>
      </c>
    </row>
    <row r="50" spans="1:7" x14ac:dyDescent="0.3">
      <c r="A50" s="94" t="s">
        <v>798</v>
      </c>
      <c r="B50" t="s">
        <v>774</v>
      </c>
      <c r="C50" s="50">
        <v>145833333.34</v>
      </c>
      <c r="D50" s="95">
        <v>0.11</v>
      </c>
      <c r="E50" s="94">
        <v>45930</v>
      </c>
      <c r="F50" s="50">
        <f t="shared" si="0"/>
        <v>30</v>
      </c>
      <c r="G50" t="str">
        <f>VLOOKUP(F50,T!$A$2:$C$9,3,TRUE)</f>
        <v>2. 7-30 Days</v>
      </c>
    </row>
    <row r="51" spans="1:7" x14ac:dyDescent="0.3">
      <c r="A51" s="94" t="s">
        <v>766</v>
      </c>
      <c r="B51" t="s">
        <v>764</v>
      </c>
      <c r="C51" s="50">
        <v>400000000</v>
      </c>
      <c r="D51" s="95">
        <v>7.6999999999999999E-2</v>
      </c>
      <c r="E51" s="94">
        <v>45933</v>
      </c>
      <c r="F51" s="50">
        <f t="shared" si="0"/>
        <v>33</v>
      </c>
      <c r="G51" t="str">
        <f>VLOOKUP(F51,T!$A$2:$C$9,3,TRUE)</f>
        <v>3. 1-3 Months</v>
      </c>
    </row>
    <row r="52" spans="1:7" x14ac:dyDescent="0.3">
      <c r="A52" s="94" t="s">
        <v>777</v>
      </c>
      <c r="B52" t="s">
        <v>774</v>
      </c>
      <c r="C52" s="50">
        <v>12500000</v>
      </c>
      <c r="D52" s="95">
        <v>9.2499999999999999E-2</v>
      </c>
      <c r="E52" s="94">
        <v>45945</v>
      </c>
      <c r="F52" s="50">
        <f t="shared" si="0"/>
        <v>45</v>
      </c>
      <c r="G52" t="str">
        <f>VLOOKUP(F52,T!$A$2:$C$9,3,TRUE)</f>
        <v>3. 1-3 Months</v>
      </c>
    </row>
    <row r="53" spans="1:7" x14ac:dyDescent="0.3">
      <c r="A53" s="94" t="s">
        <v>777</v>
      </c>
      <c r="B53" t="s">
        <v>774</v>
      </c>
      <c r="C53" s="50">
        <v>12500000</v>
      </c>
      <c r="D53" s="95">
        <v>9.2499999999999999E-2</v>
      </c>
      <c r="E53" s="94">
        <v>45945</v>
      </c>
      <c r="F53" s="50">
        <f t="shared" si="0"/>
        <v>45</v>
      </c>
      <c r="G53" t="str">
        <f>VLOOKUP(F53,T!$A$2:$C$9,3,TRUE)</f>
        <v>3. 1-3 Months</v>
      </c>
    </row>
    <row r="54" spans="1:7" x14ac:dyDescent="0.3">
      <c r="A54" s="94" t="s">
        <v>777</v>
      </c>
      <c r="B54" t="s">
        <v>774</v>
      </c>
      <c r="C54" s="50">
        <v>8333334</v>
      </c>
      <c r="D54" s="95">
        <v>9.2499999999999999E-2</v>
      </c>
      <c r="E54" s="94">
        <v>45945</v>
      </c>
      <c r="F54" s="50">
        <f t="shared" si="0"/>
        <v>45</v>
      </c>
      <c r="G54" t="str">
        <f>VLOOKUP(F54,T!$A$2:$C$9,3,TRUE)</f>
        <v>3. 1-3 Months</v>
      </c>
    </row>
    <row r="55" spans="1:7" x14ac:dyDescent="0.3">
      <c r="A55" s="94" t="s">
        <v>780</v>
      </c>
      <c r="B55" t="s">
        <v>774</v>
      </c>
      <c r="C55" s="50">
        <v>16666666.67</v>
      </c>
      <c r="D55" s="95">
        <v>8.0199999999999994E-2</v>
      </c>
      <c r="E55" s="94">
        <v>45945</v>
      </c>
      <c r="F55" s="50">
        <f t="shared" si="0"/>
        <v>45</v>
      </c>
      <c r="G55" t="str">
        <f>VLOOKUP(F55,T!$A$2:$C$9,3,TRUE)</f>
        <v>3. 1-3 Months</v>
      </c>
    </row>
    <row r="56" spans="1:7" x14ac:dyDescent="0.3">
      <c r="A56" s="94" t="s">
        <v>785</v>
      </c>
      <c r="B56" t="s">
        <v>774</v>
      </c>
      <c r="C56" s="50">
        <v>25000000</v>
      </c>
      <c r="D56" s="95">
        <v>8.0199999999999994E-2</v>
      </c>
      <c r="E56" s="94">
        <v>45948</v>
      </c>
      <c r="F56" s="50">
        <f t="shared" si="0"/>
        <v>48</v>
      </c>
      <c r="G56" t="str">
        <f>VLOOKUP(F56,T!$A$2:$C$9,3,TRUE)</f>
        <v>3. 1-3 Months</v>
      </c>
    </row>
    <row r="57" spans="1:7" x14ac:dyDescent="0.3">
      <c r="A57" s="94" t="s">
        <v>790</v>
      </c>
      <c r="B57" t="s">
        <v>774</v>
      </c>
      <c r="C57" s="50">
        <v>14184338.380000001</v>
      </c>
      <c r="D57" s="95">
        <v>0.12</v>
      </c>
      <c r="E57" s="94">
        <v>45949</v>
      </c>
      <c r="F57" s="50">
        <f t="shared" si="0"/>
        <v>49</v>
      </c>
      <c r="G57" t="str">
        <f>VLOOKUP(F57,T!$A$2:$C$9,3,TRUE)</f>
        <v>3. 1-3 Months</v>
      </c>
    </row>
    <row r="58" spans="1:7" x14ac:dyDescent="0.3">
      <c r="A58" s="94" t="s">
        <v>792</v>
      </c>
      <c r="B58" t="s">
        <v>774</v>
      </c>
      <c r="C58" s="50">
        <v>20800000</v>
      </c>
      <c r="D58" s="95">
        <v>0.1075</v>
      </c>
      <c r="E58" s="94">
        <v>45952</v>
      </c>
      <c r="F58" s="50">
        <f t="shared" si="0"/>
        <v>52</v>
      </c>
      <c r="G58" t="str">
        <f>VLOOKUP(F58,T!$A$2:$C$9,3,TRUE)</f>
        <v>3. 1-3 Months</v>
      </c>
    </row>
    <row r="59" spans="1:7" x14ac:dyDescent="0.3">
      <c r="A59" s="94" t="s">
        <v>799</v>
      </c>
      <c r="B59" t="s">
        <v>774</v>
      </c>
      <c r="C59">
        <v>50000000</v>
      </c>
      <c r="D59">
        <v>0.12</v>
      </c>
      <c r="E59" s="176">
        <v>45953</v>
      </c>
      <c r="F59" s="50">
        <f t="shared" si="0"/>
        <v>53</v>
      </c>
      <c r="G59" t="str">
        <f>VLOOKUP(F59,T!$A$2:$C$9,3,TRUE)</f>
        <v>3. 1-3 Months</v>
      </c>
    </row>
    <row r="60" spans="1:7" x14ac:dyDescent="0.3">
      <c r="A60" s="94" t="s">
        <v>799</v>
      </c>
      <c r="B60" t="s">
        <v>774</v>
      </c>
      <c r="C60">
        <v>50000000</v>
      </c>
      <c r="D60">
        <v>0.12</v>
      </c>
      <c r="E60" s="176">
        <v>45953</v>
      </c>
      <c r="F60" s="50">
        <f t="shared" si="0"/>
        <v>53</v>
      </c>
      <c r="G60" t="str">
        <f>VLOOKUP(F60,T!$A$2:$C$9,3,TRUE)</f>
        <v>3. 1-3 Months</v>
      </c>
    </row>
    <row r="61" spans="1:7" x14ac:dyDescent="0.3">
      <c r="A61" s="94" t="s">
        <v>799</v>
      </c>
      <c r="B61" t="s">
        <v>774</v>
      </c>
      <c r="C61">
        <v>50000000</v>
      </c>
      <c r="D61">
        <v>0.12</v>
      </c>
      <c r="E61" s="176">
        <v>45953</v>
      </c>
      <c r="F61" s="50">
        <f t="shared" si="0"/>
        <v>53</v>
      </c>
      <c r="G61" t="str">
        <f>VLOOKUP(F61,T!$A$2:$C$9,3,TRUE)</f>
        <v>3. 1-3 Months</v>
      </c>
    </row>
    <row r="62" spans="1:7" x14ac:dyDescent="0.3">
      <c r="A62" s="94" t="s">
        <v>792</v>
      </c>
      <c r="B62" t="s">
        <v>774</v>
      </c>
      <c r="C62" s="50">
        <v>20800000</v>
      </c>
      <c r="D62" s="95">
        <v>0.1075</v>
      </c>
      <c r="E62" s="94">
        <v>45954</v>
      </c>
      <c r="F62" s="50">
        <f t="shared" si="0"/>
        <v>54</v>
      </c>
      <c r="G62" t="str">
        <f>VLOOKUP(F62,T!$A$2:$C$9,3,TRUE)</f>
        <v>3. 1-3 Months</v>
      </c>
    </row>
    <row r="63" spans="1:7" x14ac:dyDescent="0.3">
      <c r="A63" s="94" t="s">
        <v>766</v>
      </c>
      <c r="B63" t="s">
        <v>764</v>
      </c>
      <c r="C63" s="50">
        <v>500000000</v>
      </c>
      <c r="D63" s="95">
        <v>7.5999999999999998E-2</v>
      </c>
      <c r="E63" s="94">
        <v>45954</v>
      </c>
      <c r="F63" s="50">
        <f t="shared" si="0"/>
        <v>54</v>
      </c>
      <c r="G63" t="str">
        <f>VLOOKUP(F63,T!$A$2:$C$9,3,TRUE)</f>
        <v>3. 1-3 Months</v>
      </c>
    </row>
    <row r="64" spans="1:7" x14ac:dyDescent="0.3">
      <c r="A64" s="94" t="s">
        <v>766</v>
      </c>
      <c r="B64" t="s">
        <v>764</v>
      </c>
      <c r="C64" s="50">
        <v>400000000</v>
      </c>
      <c r="D64" s="95">
        <v>7.5999999999999998E-2</v>
      </c>
      <c r="E64" s="94">
        <v>45954</v>
      </c>
      <c r="F64" s="50">
        <f t="shared" si="0"/>
        <v>54</v>
      </c>
      <c r="G64" t="str">
        <f>VLOOKUP(F64,T!$A$2:$C$9,3,TRUE)</f>
        <v>3. 1-3 Months</v>
      </c>
    </row>
    <row r="65" spans="1:7" x14ac:dyDescent="0.3">
      <c r="A65" s="94" t="s">
        <v>793</v>
      </c>
      <c r="B65" t="s">
        <v>774</v>
      </c>
      <c r="C65" s="50">
        <v>16650000</v>
      </c>
      <c r="D65" s="95">
        <v>0.09</v>
      </c>
      <c r="E65" s="94">
        <v>45955</v>
      </c>
      <c r="F65" s="50">
        <f t="shared" si="0"/>
        <v>55</v>
      </c>
      <c r="G65" t="str">
        <f>VLOOKUP(F65,T!$A$2:$C$9,3,TRUE)</f>
        <v>3. 1-3 Months</v>
      </c>
    </row>
    <row r="66" spans="1:7" x14ac:dyDescent="0.3">
      <c r="A66" s="94" t="s">
        <v>793</v>
      </c>
      <c r="B66" t="s">
        <v>774</v>
      </c>
      <c r="C66" s="50">
        <v>16650000</v>
      </c>
      <c r="D66" s="95">
        <v>0.09</v>
      </c>
      <c r="E66" s="94">
        <v>45956</v>
      </c>
      <c r="F66" s="50">
        <f t="shared" si="0"/>
        <v>56</v>
      </c>
      <c r="G66" t="str">
        <f>VLOOKUP(F66,T!$A$2:$C$9,3,TRUE)</f>
        <v>3. 1-3 Months</v>
      </c>
    </row>
    <row r="67" spans="1:7" x14ac:dyDescent="0.3">
      <c r="A67" s="94" t="s">
        <v>794</v>
      </c>
      <c r="B67" t="s">
        <v>774</v>
      </c>
      <c r="C67" s="50">
        <v>20833000</v>
      </c>
      <c r="D67" s="95">
        <v>8.0699999999999994E-2</v>
      </c>
      <c r="E67" s="94">
        <v>45956</v>
      </c>
      <c r="F67" s="50">
        <f t="shared" ref="F67:F130" si="2">E67-$F$1</f>
        <v>56</v>
      </c>
      <c r="G67" t="str">
        <f>VLOOKUP(F67,T!$A$2:$C$9,3,TRUE)</f>
        <v>3. 1-3 Months</v>
      </c>
    </row>
    <row r="68" spans="1:7" x14ac:dyDescent="0.3">
      <c r="A68" s="94" t="s">
        <v>794</v>
      </c>
      <c r="B68" t="s">
        <v>774</v>
      </c>
      <c r="C68" s="50">
        <v>20833000</v>
      </c>
      <c r="D68" s="95">
        <v>8.0699999999999994E-2</v>
      </c>
      <c r="E68" s="94">
        <v>45956</v>
      </c>
      <c r="F68" s="50">
        <f t="shared" si="2"/>
        <v>56</v>
      </c>
      <c r="G68" t="str">
        <f>VLOOKUP(F68,T!$A$2:$C$9,3,TRUE)</f>
        <v>3. 1-3 Months</v>
      </c>
    </row>
    <row r="69" spans="1:7" x14ac:dyDescent="0.3">
      <c r="A69" s="94" t="s">
        <v>794</v>
      </c>
      <c r="B69" t="s">
        <v>774</v>
      </c>
      <c r="C69" s="50">
        <v>20833000</v>
      </c>
      <c r="D69" s="95">
        <v>8.0699999999999994E-2</v>
      </c>
      <c r="E69" s="94">
        <v>45956</v>
      </c>
      <c r="F69" s="50">
        <f t="shared" si="2"/>
        <v>56</v>
      </c>
      <c r="G69" t="str">
        <f>VLOOKUP(F69,T!$A$2:$C$9,3,TRUE)</f>
        <v>3. 1-3 Months</v>
      </c>
    </row>
    <row r="70" spans="1:7" x14ac:dyDescent="0.3">
      <c r="A70" s="94" t="s">
        <v>795</v>
      </c>
      <c r="B70" t="s">
        <v>774</v>
      </c>
      <c r="C70" s="50">
        <v>20833333.333333328</v>
      </c>
      <c r="D70" s="95">
        <v>0.1075</v>
      </c>
      <c r="E70" s="94">
        <v>45957</v>
      </c>
      <c r="F70" s="50">
        <f t="shared" si="2"/>
        <v>57</v>
      </c>
      <c r="G70" t="str">
        <f>VLOOKUP(F70,T!$A$2:$C$9,3,TRUE)</f>
        <v>3. 1-3 Months</v>
      </c>
    </row>
    <row r="71" spans="1:7" x14ac:dyDescent="0.3">
      <c r="A71" s="94" t="s">
        <v>795</v>
      </c>
      <c r="B71" t="s">
        <v>774</v>
      </c>
      <c r="C71" s="50">
        <v>20833333.333333328</v>
      </c>
      <c r="D71" s="95">
        <v>0.1075</v>
      </c>
      <c r="E71" s="94">
        <v>45957</v>
      </c>
      <c r="F71" s="50">
        <f t="shared" si="2"/>
        <v>57</v>
      </c>
      <c r="G71" t="str">
        <f>VLOOKUP(F71,T!$A$2:$C$9,3,TRUE)</f>
        <v>3. 1-3 Months</v>
      </c>
    </row>
    <row r="72" spans="1:7" x14ac:dyDescent="0.3">
      <c r="A72" s="94" t="s">
        <v>795</v>
      </c>
      <c r="B72" t="s">
        <v>774</v>
      </c>
      <c r="C72" s="50">
        <v>10416666.66666667</v>
      </c>
      <c r="D72" s="95">
        <v>0.1075</v>
      </c>
      <c r="E72" s="94">
        <v>45957</v>
      </c>
      <c r="F72" s="50">
        <f t="shared" si="2"/>
        <v>57</v>
      </c>
      <c r="G72" t="str">
        <f>VLOOKUP(F72,T!$A$2:$C$9,3,TRUE)</f>
        <v>3. 1-3 Months</v>
      </c>
    </row>
    <row r="73" spans="1:7" x14ac:dyDescent="0.3">
      <c r="A73" s="94" t="s">
        <v>795</v>
      </c>
      <c r="B73" t="s">
        <v>774</v>
      </c>
      <c r="C73" s="50">
        <v>10416666.66666667</v>
      </c>
      <c r="D73" s="95">
        <v>0.1075</v>
      </c>
      <c r="E73" s="94">
        <v>45957</v>
      </c>
      <c r="F73" s="50">
        <f t="shared" si="2"/>
        <v>57</v>
      </c>
      <c r="G73" t="str">
        <f>VLOOKUP(F73,T!$A$2:$C$9,3,TRUE)</f>
        <v>3. 1-3 Months</v>
      </c>
    </row>
    <row r="74" spans="1:7" x14ac:dyDescent="0.3">
      <c r="A74" s="94" t="s">
        <v>796</v>
      </c>
      <c r="B74" t="s">
        <v>774</v>
      </c>
      <c r="C74" s="50">
        <v>13888000</v>
      </c>
      <c r="D74" s="95">
        <v>8.2199999999999995E-2</v>
      </c>
      <c r="E74" s="94">
        <v>45958</v>
      </c>
      <c r="F74" s="50">
        <f t="shared" si="2"/>
        <v>58</v>
      </c>
      <c r="G74" t="str">
        <f>VLOOKUP(F74,T!$A$2:$C$9,3,TRUE)</f>
        <v>3. 1-3 Months</v>
      </c>
    </row>
    <row r="75" spans="1:7" x14ac:dyDescent="0.3">
      <c r="A75" s="94" t="s">
        <v>780</v>
      </c>
      <c r="B75" t="s">
        <v>774</v>
      </c>
      <c r="C75" s="50">
        <v>16666666.470000001</v>
      </c>
      <c r="D75" s="95">
        <v>8.0199999999999994E-2</v>
      </c>
      <c r="E75" s="94">
        <v>45959</v>
      </c>
      <c r="F75" s="50">
        <f t="shared" si="2"/>
        <v>59</v>
      </c>
      <c r="G75" t="str">
        <f>VLOOKUP(F75,T!$A$2:$C$9,3,TRUE)</f>
        <v>3. 1-3 Months</v>
      </c>
    </row>
    <row r="76" spans="1:7" x14ac:dyDescent="0.3">
      <c r="A76" s="94" t="s">
        <v>766</v>
      </c>
      <c r="B76" t="s">
        <v>764</v>
      </c>
      <c r="C76" s="50">
        <v>300000000</v>
      </c>
      <c r="D76" s="95">
        <v>7.5999999999999998E-2</v>
      </c>
      <c r="E76" s="94">
        <v>45960</v>
      </c>
      <c r="F76" s="50">
        <f t="shared" si="2"/>
        <v>60</v>
      </c>
      <c r="G76" t="str">
        <f>VLOOKUP(F76,T!$A$2:$C$9,3,TRUE)</f>
        <v>3. 1-3 Months</v>
      </c>
    </row>
    <row r="77" spans="1:7" x14ac:dyDescent="0.3">
      <c r="A77" s="94" t="s">
        <v>797</v>
      </c>
      <c r="B77" t="s">
        <v>774</v>
      </c>
      <c r="C77" s="50">
        <v>8250000</v>
      </c>
      <c r="D77" s="95">
        <v>0.12</v>
      </c>
      <c r="E77" s="94">
        <v>45961</v>
      </c>
      <c r="F77" s="50">
        <f t="shared" si="2"/>
        <v>61</v>
      </c>
      <c r="G77" t="str">
        <f>VLOOKUP(F77,T!$A$2:$C$9,3,TRUE)</f>
        <v>3. 1-3 Months</v>
      </c>
    </row>
    <row r="78" spans="1:7" x14ac:dyDescent="0.3">
      <c r="A78" s="94" t="s">
        <v>797</v>
      </c>
      <c r="B78" t="s">
        <v>774</v>
      </c>
      <c r="C78" s="50">
        <v>8250000</v>
      </c>
      <c r="D78" s="95">
        <v>0.12</v>
      </c>
      <c r="E78" s="94">
        <v>45961</v>
      </c>
      <c r="F78" s="50">
        <f t="shared" si="2"/>
        <v>61</v>
      </c>
      <c r="G78" t="str">
        <f>VLOOKUP(F78,T!$A$2:$C$9,3,TRUE)</f>
        <v>3. 1-3 Months</v>
      </c>
    </row>
    <row r="79" spans="1:7" x14ac:dyDescent="0.3">
      <c r="A79" s="94" t="s">
        <v>797</v>
      </c>
      <c r="B79" t="s">
        <v>774</v>
      </c>
      <c r="C79" s="50">
        <v>8250000</v>
      </c>
      <c r="D79" s="95">
        <v>0.12</v>
      </c>
      <c r="E79" s="94">
        <v>45961</v>
      </c>
      <c r="F79" s="50">
        <f t="shared" si="2"/>
        <v>61</v>
      </c>
      <c r="G79" t="str">
        <f>VLOOKUP(F79,T!$A$2:$C$9,3,TRUE)</f>
        <v>3. 1-3 Months</v>
      </c>
    </row>
    <row r="80" spans="1:7" x14ac:dyDescent="0.3">
      <c r="A80" s="94" t="s">
        <v>797</v>
      </c>
      <c r="B80" t="s">
        <v>774</v>
      </c>
      <c r="C80" s="50">
        <v>8250000</v>
      </c>
      <c r="D80" s="95">
        <v>0.12</v>
      </c>
      <c r="E80" s="94">
        <v>45961</v>
      </c>
      <c r="F80" s="50">
        <f t="shared" si="2"/>
        <v>61</v>
      </c>
      <c r="G80" t="str">
        <f>VLOOKUP(F80,T!$A$2:$C$9,3,TRUE)</f>
        <v>3. 1-3 Months</v>
      </c>
    </row>
    <row r="81" spans="1:7" x14ac:dyDescent="0.3">
      <c r="A81" s="94" t="s">
        <v>780</v>
      </c>
      <c r="B81" t="s">
        <v>774</v>
      </c>
      <c r="C81" s="50">
        <v>16666666.67</v>
      </c>
      <c r="D81" s="95">
        <v>8.0199999999999994E-2</v>
      </c>
      <c r="E81" s="94">
        <v>45976</v>
      </c>
      <c r="F81" s="50">
        <f t="shared" si="2"/>
        <v>76</v>
      </c>
      <c r="G81" t="str">
        <f>VLOOKUP(F81,T!$A$2:$C$9,3,TRUE)</f>
        <v>3. 1-3 Months</v>
      </c>
    </row>
    <row r="82" spans="1:7" x14ac:dyDescent="0.3">
      <c r="A82" s="94" t="s">
        <v>777</v>
      </c>
      <c r="B82" t="s">
        <v>774</v>
      </c>
      <c r="C82" s="50">
        <v>12500000</v>
      </c>
      <c r="D82" s="95">
        <v>9.2499999999999999E-2</v>
      </c>
      <c r="E82" s="94">
        <v>45978</v>
      </c>
      <c r="F82" s="50">
        <f t="shared" si="2"/>
        <v>78</v>
      </c>
      <c r="G82" t="str">
        <f>VLOOKUP(F82,T!$A$2:$C$9,3,TRUE)</f>
        <v>3. 1-3 Months</v>
      </c>
    </row>
    <row r="83" spans="1:7" x14ac:dyDescent="0.3">
      <c r="A83" s="94" t="s">
        <v>777</v>
      </c>
      <c r="B83" t="s">
        <v>774</v>
      </c>
      <c r="C83" s="50">
        <v>12500000</v>
      </c>
      <c r="D83" s="95">
        <v>9.2499999999999999E-2</v>
      </c>
      <c r="E83" s="94">
        <v>45978</v>
      </c>
      <c r="F83" s="50">
        <f t="shared" si="2"/>
        <v>78</v>
      </c>
      <c r="G83" t="str">
        <f>VLOOKUP(F83,T!$A$2:$C$9,3,TRUE)</f>
        <v>3. 1-3 Months</v>
      </c>
    </row>
    <row r="84" spans="1:7" x14ac:dyDescent="0.3">
      <c r="A84" s="94" t="s">
        <v>777</v>
      </c>
      <c r="B84" t="s">
        <v>774</v>
      </c>
      <c r="C84" s="50">
        <v>8333334</v>
      </c>
      <c r="D84" s="95">
        <v>9.2499999999999999E-2</v>
      </c>
      <c r="E84" s="94">
        <v>45978</v>
      </c>
      <c r="F84" s="50">
        <f t="shared" si="2"/>
        <v>78</v>
      </c>
      <c r="G84" t="str">
        <f>VLOOKUP(F84,T!$A$2:$C$9,3,TRUE)</f>
        <v>3. 1-3 Months</v>
      </c>
    </row>
    <row r="85" spans="1:7" x14ac:dyDescent="0.3">
      <c r="A85" s="94" t="s">
        <v>785</v>
      </c>
      <c r="B85" t="s">
        <v>774</v>
      </c>
      <c r="C85" s="50">
        <v>25000000</v>
      </c>
      <c r="D85" s="95">
        <v>8.0199999999999994E-2</v>
      </c>
      <c r="E85" s="94">
        <v>45979</v>
      </c>
      <c r="F85" s="50">
        <f t="shared" si="2"/>
        <v>79</v>
      </c>
      <c r="G85" t="str">
        <f>VLOOKUP(F85,T!$A$2:$C$9,3,TRUE)</f>
        <v>3. 1-3 Months</v>
      </c>
    </row>
    <row r="86" spans="1:7" x14ac:dyDescent="0.3">
      <c r="A86" s="94" t="s">
        <v>790</v>
      </c>
      <c r="B86" t="s">
        <v>774</v>
      </c>
      <c r="C86" s="50">
        <v>14060231.609999999</v>
      </c>
      <c r="D86" s="95">
        <v>0.12</v>
      </c>
      <c r="E86" s="94">
        <v>45980</v>
      </c>
      <c r="F86" s="50">
        <f t="shared" si="2"/>
        <v>80</v>
      </c>
      <c r="G86" t="str">
        <f>VLOOKUP(F86,T!$A$2:$C$9,3,TRUE)</f>
        <v>3. 1-3 Months</v>
      </c>
    </row>
    <row r="87" spans="1:7" x14ac:dyDescent="0.3">
      <c r="A87" s="94" t="s">
        <v>782</v>
      </c>
      <c r="B87" t="s">
        <v>774</v>
      </c>
      <c r="C87" s="50">
        <v>25000000</v>
      </c>
      <c r="D87" s="95">
        <v>8.5000000000000006E-2</v>
      </c>
      <c r="E87" s="94">
        <v>45981</v>
      </c>
      <c r="F87" s="50">
        <f t="shared" si="2"/>
        <v>81</v>
      </c>
      <c r="G87" t="str">
        <f>VLOOKUP(F87,T!$A$2:$C$9,3,TRUE)</f>
        <v>3. 1-3 Months</v>
      </c>
    </row>
    <row r="88" spans="1:7" x14ac:dyDescent="0.3">
      <c r="A88" s="94" t="s">
        <v>800</v>
      </c>
      <c r="B88" t="s">
        <v>774</v>
      </c>
      <c r="C88" s="50">
        <v>50000000</v>
      </c>
      <c r="D88" s="95">
        <v>9.8500000000000004E-2</v>
      </c>
      <c r="E88" s="94">
        <v>45982</v>
      </c>
      <c r="F88" s="50">
        <f t="shared" si="2"/>
        <v>82</v>
      </c>
      <c r="G88" t="str">
        <f>VLOOKUP(F88,T!$A$2:$C$9,3,TRUE)</f>
        <v>3. 1-3 Months</v>
      </c>
    </row>
    <row r="89" spans="1:7" x14ac:dyDescent="0.3">
      <c r="A89" s="94" t="s">
        <v>792</v>
      </c>
      <c r="B89" t="s">
        <v>774</v>
      </c>
      <c r="C89" s="50">
        <v>20800000</v>
      </c>
      <c r="D89" s="95">
        <v>0.1075</v>
      </c>
      <c r="E89" s="94">
        <v>45983</v>
      </c>
      <c r="F89" s="50">
        <f t="shared" si="2"/>
        <v>83</v>
      </c>
      <c r="G89" t="str">
        <f>VLOOKUP(F89,T!$A$2:$C$9,3,TRUE)</f>
        <v>3. 1-3 Months</v>
      </c>
    </row>
    <row r="90" spans="1:7" x14ac:dyDescent="0.3">
      <c r="A90" s="94" t="s">
        <v>792</v>
      </c>
      <c r="B90" t="s">
        <v>774</v>
      </c>
      <c r="C90" s="50">
        <v>20800000</v>
      </c>
      <c r="D90" s="95">
        <v>0.1075</v>
      </c>
      <c r="E90" s="94">
        <v>45985</v>
      </c>
      <c r="F90" s="50">
        <f t="shared" si="2"/>
        <v>85</v>
      </c>
      <c r="G90" t="str">
        <f>VLOOKUP(F90,T!$A$2:$C$9,3,TRUE)</f>
        <v>3. 1-3 Months</v>
      </c>
    </row>
    <row r="91" spans="1:7" x14ac:dyDescent="0.3">
      <c r="A91" s="94" t="s">
        <v>793</v>
      </c>
      <c r="B91" t="s">
        <v>774</v>
      </c>
      <c r="C91" s="50">
        <v>16650000</v>
      </c>
      <c r="D91" s="95">
        <v>0.09</v>
      </c>
      <c r="E91" s="94">
        <v>45986</v>
      </c>
      <c r="F91" s="50">
        <f t="shared" si="2"/>
        <v>86</v>
      </c>
      <c r="G91" t="str">
        <f>VLOOKUP(F91,T!$A$2:$C$9,3,TRUE)</f>
        <v>3. 1-3 Months</v>
      </c>
    </row>
    <row r="92" spans="1:7" x14ac:dyDescent="0.3">
      <c r="A92" s="94" t="s">
        <v>793</v>
      </c>
      <c r="B92" t="s">
        <v>774</v>
      </c>
      <c r="C92" s="50">
        <v>16650000</v>
      </c>
      <c r="D92" s="95">
        <v>0.09</v>
      </c>
      <c r="E92" s="94">
        <v>45987</v>
      </c>
      <c r="F92" s="50">
        <f t="shared" si="2"/>
        <v>87</v>
      </c>
      <c r="G92" t="str">
        <f>VLOOKUP(F92,T!$A$2:$C$9,3,TRUE)</f>
        <v>3. 1-3 Months</v>
      </c>
    </row>
    <row r="93" spans="1:7" x14ac:dyDescent="0.3">
      <c r="A93" s="94" t="s">
        <v>794</v>
      </c>
      <c r="B93" t="s">
        <v>774</v>
      </c>
      <c r="C93" s="50">
        <v>20833000</v>
      </c>
      <c r="D93" s="95">
        <v>8.0699999999999994E-2</v>
      </c>
      <c r="E93" s="94">
        <v>45987</v>
      </c>
      <c r="F93" s="50">
        <f t="shared" si="2"/>
        <v>87</v>
      </c>
      <c r="G93" t="str">
        <f>VLOOKUP(F93,T!$A$2:$C$9,3,TRUE)</f>
        <v>3. 1-3 Months</v>
      </c>
    </row>
    <row r="94" spans="1:7" x14ac:dyDescent="0.3">
      <c r="A94" s="94" t="s">
        <v>794</v>
      </c>
      <c r="B94" t="s">
        <v>774</v>
      </c>
      <c r="C94" s="50">
        <v>20833000</v>
      </c>
      <c r="D94" s="95">
        <v>8.0699999999999994E-2</v>
      </c>
      <c r="E94" s="94">
        <v>45987</v>
      </c>
      <c r="F94" s="50">
        <f t="shared" si="2"/>
        <v>87</v>
      </c>
      <c r="G94" t="str">
        <f>VLOOKUP(F94,T!$A$2:$C$9,3,TRUE)</f>
        <v>3. 1-3 Months</v>
      </c>
    </row>
    <row r="95" spans="1:7" x14ac:dyDescent="0.3">
      <c r="A95" s="94" t="s">
        <v>794</v>
      </c>
      <c r="B95" t="s">
        <v>774</v>
      </c>
      <c r="C95" s="50">
        <v>20833000</v>
      </c>
      <c r="D95" s="95">
        <v>8.0699999999999994E-2</v>
      </c>
      <c r="E95" s="94">
        <v>45987</v>
      </c>
      <c r="F95" s="50">
        <f t="shared" si="2"/>
        <v>87</v>
      </c>
      <c r="G95" t="str">
        <f>VLOOKUP(F95,T!$A$2:$C$9,3,TRUE)</f>
        <v>3. 1-3 Months</v>
      </c>
    </row>
    <row r="96" spans="1:7" x14ac:dyDescent="0.3">
      <c r="A96" s="94" t="s">
        <v>795</v>
      </c>
      <c r="B96" t="s">
        <v>774</v>
      </c>
      <c r="C96" s="50">
        <v>20833333.333333328</v>
      </c>
      <c r="D96" s="95">
        <v>0.1075</v>
      </c>
      <c r="E96" s="94">
        <v>45988</v>
      </c>
      <c r="F96" s="50">
        <f t="shared" si="2"/>
        <v>88</v>
      </c>
      <c r="G96" t="str">
        <f>VLOOKUP(F96,T!$A$2:$C$9,3,TRUE)</f>
        <v>3. 1-3 Months</v>
      </c>
    </row>
    <row r="97" spans="1:7" x14ac:dyDescent="0.3">
      <c r="A97" s="94" t="s">
        <v>795</v>
      </c>
      <c r="B97" t="s">
        <v>774</v>
      </c>
      <c r="C97" s="50">
        <v>20833333.333333328</v>
      </c>
      <c r="D97" s="95">
        <v>0.1075</v>
      </c>
      <c r="E97" s="94">
        <v>45988</v>
      </c>
      <c r="F97" s="50">
        <f t="shared" si="2"/>
        <v>88</v>
      </c>
      <c r="G97" t="str">
        <f>VLOOKUP(F97,T!$A$2:$C$9,3,TRUE)</f>
        <v>3. 1-3 Months</v>
      </c>
    </row>
    <row r="98" spans="1:7" x14ac:dyDescent="0.3">
      <c r="A98" s="94" t="s">
        <v>795</v>
      </c>
      <c r="B98" t="s">
        <v>774</v>
      </c>
      <c r="C98" s="50">
        <v>10416666.66666667</v>
      </c>
      <c r="D98" s="95">
        <v>0.1075</v>
      </c>
      <c r="E98" s="94">
        <v>45988</v>
      </c>
      <c r="F98" s="50">
        <f t="shared" si="2"/>
        <v>88</v>
      </c>
      <c r="G98" t="str">
        <f>VLOOKUP(F98,T!$A$2:$C$9,3,TRUE)</f>
        <v>3. 1-3 Months</v>
      </c>
    </row>
    <row r="99" spans="1:7" x14ac:dyDescent="0.3">
      <c r="A99" s="94" t="s">
        <v>795</v>
      </c>
      <c r="B99" t="s">
        <v>774</v>
      </c>
      <c r="C99" s="50">
        <v>10416666.66666667</v>
      </c>
      <c r="D99" s="95">
        <v>0.1075</v>
      </c>
      <c r="E99" s="94">
        <v>45988</v>
      </c>
      <c r="F99" s="50">
        <f t="shared" si="2"/>
        <v>88</v>
      </c>
      <c r="G99" t="str">
        <f>VLOOKUP(F99,T!$A$2:$C$9,3,TRUE)</f>
        <v>3. 1-3 Months</v>
      </c>
    </row>
    <row r="100" spans="1:7" x14ac:dyDescent="0.3">
      <c r="A100" s="94" t="s">
        <v>766</v>
      </c>
      <c r="B100" t="s">
        <v>764</v>
      </c>
      <c r="C100" s="50">
        <v>250000000</v>
      </c>
      <c r="D100" s="95">
        <v>7.6999999999999999E-2</v>
      </c>
      <c r="E100" s="94">
        <v>45988</v>
      </c>
      <c r="F100" s="50">
        <f t="shared" si="2"/>
        <v>88</v>
      </c>
      <c r="G100" t="str">
        <f>VLOOKUP(F100,T!$A$2:$C$9,3,TRUE)</f>
        <v>3. 1-3 Months</v>
      </c>
    </row>
    <row r="101" spans="1:7" x14ac:dyDescent="0.3">
      <c r="A101" s="94" t="s">
        <v>766</v>
      </c>
      <c r="B101" t="s">
        <v>764</v>
      </c>
      <c r="C101" s="50">
        <v>500000000</v>
      </c>
      <c r="D101" s="95">
        <v>7.6999999999999999E-2</v>
      </c>
      <c r="E101" s="94">
        <v>45988</v>
      </c>
      <c r="F101" s="50">
        <f t="shared" si="2"/>
        <v>88</v>
      </c>
      <c r="G101" t="str">
        <f>VLOOKUP(F101,T!$A$2:$C$9,3,TRUE)</f>
        <v>3. 1-3 Months</v>
      </c>
    </row>
    <row r="102" spans="1:7" x14ac:dyDescent="0.3">
      <c r="A102" s="94" t="s">
        <v>796</v>
      </c>
      <c r="B102" t="s">
        <v>774</v>
      </c>
      <c r="C102" s="50">
        <v>13888000</v>
      </c>
      <c r="D102" s="95">
        <v>8.2199999999999995E-2</v>
      </c>
      <c r="E102" s="94">
        <v>45989</v>
      </c>
      <c r="F102" s="50">
        <f t="shared" si="2"/>
        <v>89</v>
      </c>
      <c r="G102" t="str">
        <f>VLOOKUP(F102,T!$A$2:$C$9,3,TRUE)</f>
        <v>3. 1-3 Months</v>
      </c>
    </row>
    <row r="103" spans="1:7" x14ac:dyDescent="0.3">
      <c r="A103" s="94" t="s">
        <v>800</v>
      </c>
      <c r="B103" t="s">
        <v>774</v>
      </c>
      <c r="C103" s="50">
        <v>50000000</v>
      </c>
      <c r="D103" s="95">
        <v>9.8500000000000004E-2</v>
      </c>
      <c r="E103" s="94">
        <v>45989</v>
      </c>
      <c r="F103" s="50">
        <f t="shared" si="2"/>
        <v>89</v>
      </c>
      <c r="G103" t="str">
        <f>VLOOKUP(F103,T!$A$2:$C$9,3,TRUE)</f>
        <v>3. 1-3 Months</v>
      </c>
    </row>
    <row r="104" spans="1:7" x14ac:dyDescent="0.3">
      <c r="A104" s="94" t="s">
        <v>780</v>
      </c>
      <c r="B104" t="s">
        <v>774</v>
      </c>
      <c r="C104" s="50">
        <v>16666666.470000001</v>
      </c>
      <c r="D104" s="95">
        <v>8.0199999999999994E-2</v>
      </c>
      <c r="E104" s="94">
        <v>45990</v>
      </c>
      <c r="F104" s="50">
        <f t="shared" si="2"/>
        <v>90</v>
      </c>
      <c r="G104" t="str">
        <f>VLOOKUP(F104,T!$A$2:$C$9,3,TRUE)</f>
        <v>3. 1-3 Months</v>
      </c>
    </row>
    <row r="105" spans="1:7" x14ac:dyDescent="0.3">
      <c r="A105" s="94" t="s">
        <v>797</v>
      </c>
      <c r="B105" t="s">
        <v>774</v>
      </c>
      <c r="C105" s="50">
        <v>8250000</v>
      </c>
      <c r="D105" s="95">
        <v>0.12</v>
      </c>
      <c r="E105" s="94">
        <v>45991</v>
      </c>
      <c r="F105" s="50">
        <f t="shared" si="2"/>
        <v>91</v>
      </c>
      <c r="G105" t="str">
        <f>VLOOKUP(F105,T!$A$2:$C$9,3,TRUE)</f>
        <v>4. 3-6 Months</v>
      </c>
    </row>
    <row r="106" spans="1:7" x14ac:dyDescent="0.3">
      <c r="A106" s="94" t="s">
        <v>797</v>
      </c>
      <c r="B106" t="s">
        <v>774</v>
      </c>
      <c r="C106" s="50">
        <v>8250000</v>
      </c>
      <c r="D106" s="95">
        <v>0.12</v>
      </c>
      <c r="E106" s="94">
        <v>45991</v>
      </c>
      <c r="F106" s="50">
        <f t="shared" si="2"/>
        <v>91</v>
      </c>
      <c r="G106" t="str">
        <f>VLOOKUP(F106,T!$A$2:$C$9,3,TRUE)</f>
        <v>4. 3-6 Months</v>
      </c>
    </row>
    <row r="107" spans="1:7" x14ac:dyDescent="0.3">
      <c r="A107" s="94" t="s">
        <v>797</v>
      </c>
      <c r="B107" t="s">
        <v>774</v>
      </c>
      <c r="C107" s="50">
        <v>8250000</v>
      </c>
      <c r="D107" s="95">
        <v>0.12</v>
      </c>
      <c r="E107" s="94">
        <v>45991</v>
      </c>
      <c r="F107" s="50">
        <f t="shared" si="2"/>
        <v>91</v>
      </c>
      <c r="G107" t="str">
        <f>VLOOKUP(F107,T!$A$2:$C$9,3,TRUE)</f>
        <v>4. 3-6 Months</v>
      </c>
    </row>
    <row r="108" spans="1:7" x14ac:dyDescent="0.3">
      <c r="A108" s="94" t="s">
        <v>797</v>
      </c>
      <c r="B108" t="s">
        <v>774</v>
      </c>
      <c r="C108" s="50">
        <v>8250000</v>
      </c>
      <c r="D108" s="95">
        <v>0.12</v>
      </c>
      <c r="E108" s="94">
        <v>45991</v>
      </c>
      <c r="F108" s="50">
        <f t="shared" si="2"/>
        <v>91</v>
      </c>
      <c r="G108" t="str">
        <f>VLOOKUP(F108,T!$A$2:$C$9,3,TRUE)</f>
        <v>4. 3-6 Months</v>
      </c>
    </row>
    <row r="109" spans="1:7" x14ac:dyDescent="0.3">
      <c r="A109" s="94" t="s">
        <v>773</v>
      </c>
      <c r="B109" t="s">
        <v>774</v>
      </c>
      <c r="C109" s="50">
        <v>50000000</v>
      </c>
      <c r="D109" s="95">
        <v>0.12</v>
      </c>
      <c r="E109" s="94">
        <v>46004</v>
      </c>
      <c r="F109" s="50">
        <f t="shared" si="2"/>
        <v>104</v>
      </c>
      <c r="G109" t="str">
        <f>VLOOKUP(F109,T!$A$2:$C$9,3,TRUE)</f>
        <v>4. 3-6 Months</v>
      </c>
    </row>
    <row r="110" spans="1:7" x14ac:dyDescent="0.3">
      <c r="A110" s="94" t="s">
        <v>773</v>
      </c>
      <c r="B110" t="s">
        <v>774</v>
      </c>
      <c r="C110" s="50">
        <v>25000000</v>
      </c>
      <c r="D110" s="95">
        <v>0.12</v>
      </c>
      <c r="E110" s="94">
        <v>46005</v>
      </c>
      <c r="F110" s="50">
        <f t="shared" si="2"/>
        <v>105</v>
      </c>
      <c r="G110" t="str">
        <f>VLOOKUP(F110,T!$A$2:$C$9,3,TRUE)</f>
        <v>4. 3-6 Months</v>
      </c>
    </row>
    <row r="111" spans="1:7" x14ac:dyDescent="0.3">
      <c r="A111" s="94" t="s">
        <v>777</v>
      </c>
      <c r="B111" t="s">
        <v>774</v>
      </c>
      <c r="C111" s="50">
        <v>12500000</v>
      </c>
      <c r="D111" s="95">
        <v>9.2499999999999999E-2</v>
      </c>
      <c r="E111" s="94">
        <v>46006</v>
      </c>
      <c r="F111" s="50">
        <f t="shared" si="2"/>
        <v>106</v>
      </c>
      <c r="G111" t="str">
        <f>VLOOKUP(F111,T!$A$2:$C$9,3,TRUE)</f>
        <v>4. 3-6 Months</v>
      </c>
    </row>
    <row r="112" spans="1:7" x14ac:dyDescent="0.3">
      <c r="A112" s="94" t="s">
        <v>777</v>
      </c>
      <c r="B112" t="s">
        <v>774</v>
      </c>
      <c r="C112" s="50">
        <v>12500000</v>
      </c>
      <c r="D112" s="95">
        <v>9.2499999999999999E-2</v>
      </c>
      <c r="E112" s="94">
        <v>46006</v>
      </c>
      <c r="F112" s="50">
        <f t="shared" si="2"/>
        <v>106</v>
      </c>
      <c r="G112" t="str">
        <f>VLOOKUP(F112,T!$A$2:$C$9,3,TRUE)</f>
        <v>4. 3-6 Months</v>
      </c>
    </row>
    <row r="113" spans="1:7" x14ac:dyDescent="0.3">
      <c r="A113" s="94" t="s">
        <v>777</v>
      </c>
      <c r="B113" t="s">
        <v>774</v>
      </c>
      <c r="C113" s="50">
        <v>8333334</v>
      </c>
      <c r="D113" s="95">
        <v>9.2499999999999999E-2</v>
      </c>
      <c r="E113" s="94">
        <v>46006</v>
      </c>
      <c r="F113" s="50">
        <f t="shared" si="2"/>
        <v>106</v>
      </c>
      <c r="G113" t="str">
        <f>VLOOKUP(F113,T!$A$2:$C$9,3,TRUE)</f>
        <v>4. 3-6 Months</v>
      </c>
    </row>
    <row r="114" spans="1:7" x14ac:dyDescent="0.3">
      <c r="A114" s="94" t="s">
        <v>780</v>
      </c>
      <c r="B114" t="s">
        <v>774</v>
      </c>
      <c r="C114" s="50">
        <v>16666666.67</v>
      </c>
      <c r="D114" s="95">
        <v>8.0199999999999994E-2</v>
      </c>
      <c r="E114" s="94">
        <v>46006</v>
      </c>
      <c r="F114" s="50">
        <f t="shared" si="2"/>
        <v>106</v>
      </c>
      <c r="G114" t="str">
        <f>VLOOKUP(F114,T!$A$2:$C$9,3,TRUE)</f>
        <v>4. 3-6 Months</v>
      </c>
    </row>
    <row r="115" spans="1:7" x14ac:dyDescent="0.3">
      <c r="A115" s="94" t="s">
        <v>782</v>
      </c>
      <c r="B115" t="s">
        <v>774</v>
      </c>
      <c r="C115" s="50">
        <v>25000000</v>
      </c>
      <c r="D115" s="95">
        <v>8.5000000000000006E-2</v>
      </c>
      <c r="E115" s="94">
        <v>46006</v>
      </c>
      <c r="F115" s="50">
        <f t="shared" si="2"/>
        <v>106</v>
      </c>
      <c r="G115" t="str">
        <f>VLOOKUP(F115,T!$A$2:$C$9,3,TRUE)</f>
        <v>4. 3-6 Months</v>
      </c>
    </row>
    <row r="116" spans="1:7" x14ac:dyDescent="0.3">
      <c r="A116" s="94" t="s">
        <v>785</v>
      </c>
      <c r="B116" t="s">
        <v>774</v>
      </c>
      <c r="C116" s="50">
        <v>25000000</v>
      </c>
      <c r="D116" s="95">
        <v>8.0199999999999994E-2</v>
      </c>
      <c r="E116" s="94">
        <v>46009</v>
      </c>
      <c r="F116" s="50">
        <f t="shared" si="2"/>
        <v>109</v>
      </c>
      <c r="G116" t="str">
        <f>VLOOKUP(F116,T!$A$2:$C$9,3,TRUE)</f>
        <v>4. 3-6 Months</v>
      </c>
    </row>
    <row r="117" spans="1:7" x14ac:dyDescent="0.3">
      <c r="A117" s="94" t="s">
        <v>790</v>
      </c>
      <c r="B117" t="s">
        <v>774</v>
      </c>
      <c r="C117" s="50">
        <v>14462915.08</v>
      </c>
      <c r="D117" s="95">
        <v>0.12</v>
      </c>
      <c r="E117" s="94">
        <v>46010</v>
      </c>
      <c r="F117" s="50">
        <f t="shared" si="2"/>
        <v>110</v>
      </c>
      <c r="G117" t="str">
        <f>VLOOKUP(F117,T!$A$2:$C$9,3,TRUE)</f>
        <v>4. 3-6 Months</v>
      </c>
    </row>
    <row r="118" spans="1:7" x14ac:dyDescent="0.3">
      <c r="A118" s="94" t="s">
        <v>782</v>
      </c>
      <c r="B118" t="s">
        <v>774</v>
      </c>
      <c r="C118" s="50">
        <v>25000000</v>
      </c>
      <c r="D118" s="95">
        <v>8.5000000000000006E-2</v>
      </c>
      <c r="E118" s="94">
        <v>46012</v>
      </c>
      <c r="F118" s="50">
        <f t="shared" si="2"/>
        <v>112</v>
      </c>
      <c r="G118" t="str">
        <f>VLOOKUP(F118,T!$A$2:$C$9,3,TRUE)</f>
        <v>4. 3-6 Months</v>
      </c>
    </row>
    <row r="119" spans="1:7" x14ac:dyDescent="0.3">
      <c r="A119" s="94" t="s">
        <v>792</v>
      </c>
      <c r="B119" t="s">
        <v>774</v>
      </c>
      <c r="C119" s="50">
        <v>20800000</v>
      </c>
      <c r="D119" s="95">
        <v>0.1075</v>
      </c>
      <c r="E119" s="94">
        <v>46013</v>
      </c>
      <c r="F119" s="50">
        <f t="shared" si="2"/>
        <v>113</v>
      </c>
      <c r="G119" t="str">
        <f>VLOOKUP(F119,T!$A$2:$C$9,3,TRUE)</f>
        <v>4. 3-6 Months</v>
      </c>
    </row>
    <row r="120" spans="1:7" x14ac:dyDescent="0.3">
      <c r="A120" s="94" t="s">
        <v>792</v>
      </c>
      <c r="B120" t="s">
        <v>774</v>
      </c>
      <c r="C120" s="50">
        <v>20800000</v>
      </c>
      <c r="D120" s="95">
        <v>0.1075</v>
      </c>
      <c r="E120" s="94">
        <v>46015</v>
      </c>
      <c r="F120" s="50">
        <f t="shared" si="2"/>
        <v>115</v>
      </c>
      <c r="G120" t="str">
        <f>VLOOKUP(F120,T!$A$2:$C$9,3,TRUE)</f>
        <v>4. 3-6 Months</v>
      </c>
    </row>
    <row r="121" spans="1:7" x14ac:dyDescent="0.3">
      <c r="A121" s="94" t="s">
        <v>793</v>
      </c>
      <c r="B121" t="s">
        <v>774</v>
      </c>
      <c r="C121" s="50">
        <v>16650000</v>
      </c>
      <c r="D121" s="95">
        <v>0.09</v>
      </c>
      <c r="E121" s="94">
        <v>46016</v>
      </c>
      <c r="F121" s="50">
        <f t="shared" si="2"/>
        <v>116</v>
      </c>
      <c r="G121" t="str">
        <f>VLOOKUP(F121,T!$A$2:$C$9,3,TRUE)</f>
        <v>4. 3-6 Months</v>
      </c>
    </row>
    <row r="122" spans="1:7" x14ac:dyDescent="0.3">
      <c r="A122" s="94" t="s">
        <v>793</v>
      </c>
      <c r="B122" t="s">
        <v>774</v>
      </c>
      <c r="C122" s="50">
        <v>16650000</v>
      </c>
      <c r="D122" s="95">
        <v>0.09</v>
      </c>
      <c r="E122" s="94">
        <v>46017</v>
      </c>
      <c r="F122" s="50">
        <f t="shared" si="2"/>
        <v>117</v>
      </c>
      <c r="G122" t="str">
        <f>VLOOKUP(F122,T!$A$2:$C$9,3,TRUE)</f>
        <v>4. 3-6 Months</v>
      </c>
    </row>
    <row r="123" spans="1:7" x14ac:dyDescent="0.3">
      <c r="A123" s="94" t="s">
        <v>794</v>
      </c>
      <c r="B123" t="s">
        <v>774</v>
      </c>
      <c r="C123" s="50">
        <v>20833000</v>
      </c>
      <c r="D123" s="95">
        <v>8.0699999999999994E-2</v>
      </c>
      <c r="E123" s="94">
        <v>46017</v>
      </c>
      <c r="F123" s="50">
        <f t="shared" si="2"/>
        <v>117</v>
      </c>
      <c r="G123" t="str">
        <f>VLOOKUP(F123,T!$A$2:$C$9,3,TRUE)</f>
        <v>4. 3-6 Months</v>
      </c>
    </row>
    <row r="124" spans="1:7" x14ac:dyDescent="0.3">
      <c r="A124" s="94" t="s">
        <v>794</v>
      </c>
      <c r="B124" t="s">
        <v>774</v>
      </c>
      <c r="C124" s="50">
        <v>20833000</v>
      </c>
      <c r="D124" s="95">
        <v>8.0699999999999994E-2</v>
      </c>
      <c r="E124" s="94">
        <v>46017</v>
      </c>
      <c r="F124" s="50">
        <f t="shared" si="2"/>
        <v>117</v>
      </c>
      <c r="G124" t="str">
        <f>VLOOKUP(F124,T!$A$2:$C$9,3,TRUE)</f>
        <v>4. 3-6 Months</v>
      </c>
    </row>
    <row r="125" spans="1:7" x14ac:dyDescent="0.3">
      <c r="A125" s="94" t="s">
        <v>794</v>
      </c>
      <c r="B125" t="s">
        <v>774</v>
      </c>
      <c r="C125" s="50">
        <v>20833000</v>
      </c>
      <c r="D125" s="95">
        <v>8.0699999999999994E-2</v>
      </c>
      <c r="E125" s="94">
        <v>46017</v>
      </c>
      <c r="F125" s="50">
        <f t="shared" si="2"/>
        <v>117</v>
      </c>
      <c r="G125" t="str">
        <f>VLOOKUP(F125,T!$A$2:$C$9,3,TRUE)</f>
        <v>4. 3-6 Months</v>
      </c>
    </row>
    <row r="126" spans="1:7" x14ac:dyDescent="0.3">
      <c r="A126" s="94" t="s">
        <v>795</v>
      </c>
      <c r="B126" t="s">
        <v>774</v>
      </c>
      <c r="C126" s="50">
        <v>20833333.333333328</v>
      </c>
      <c r="D126" s="95">
        <v>0.1075</v>
      </c>
      <c r="E126" s="94">
        <v>46018</v>
      </c>
      <c r="F126" s="50">
        <f t="shared" si="2"/>
        <v>118</v>
      </c>
      <c r="G126" t="str">
        <f>VLOOKUP(F126,T!$A$2:$C$9,3,TRUE)</f>
        <v>4. 3-6 Months</v>
      </c>
    </row>
    <row r="127" spans="1:7" x14ac:dyDescent="0.3">
      <c r="A127" s="94" t="s">
        <v>795</v>
      </c>
      <c r="B127" t="s">
        <v>774</v>
      </c>
      <c r="C127" s="50">
        <v>20833333.333333328</v>
      </c>
      <c r="D127" s="95">
        <v>0.1075</v>
      </c>
      <c r="E127" s="94">
        <v>46018</v>
      </c>
      <c r="F127" s="50">
        <f t="shared" si="2"/>
        <v>118</v>
      </c>
      <c r="G127" t="str">
        <f>VLOOKUP(F127,T!$A$2:$C$9,3,TRUE)</f>
        <v>4. 3-6 Months</v>
      </c>
    </row>
    <row r="128" spans="1:7" x14ac:dyDescent="0.3">
      <c r="A128" s="94" t="s">
        <v>795</v>
      </c>
      <c r="B128" t="s">
        <v>774</v>
      </c>
      <c r="C128" s="50">
        <v>10416666.66666667</v>
      </c>
      <c r="D128" s="95">
        <v>0.1075</v>
      </c>
      <c r="E128" s="94">
        <v>46018</v>
      </c>
      <c r="F128" s="50">
        <f t="shared" si="2"/>
        <v>118</v>
      </c>
      <c r="G128" t="str">
        <f>VLOOKUP(F128,T!$A$2:$C$9,3,TRUE)</f>
        <v>4. 3-6 Months</v>
      </c>
    </row>
    <row r="129" spans="1:7" x14ac:dyDescent="0.3">
      <c r="A129" s="94" t="s">
        <v>795</v>
      </c>
      <c r="B129" t="s">
        <v>774</v>
      </c>
      <c r="C129" s="50">
        <v>10416666.66666667</v>
      </c>
      <c r="D129" s="95">
        <v>0.1075</v>
      </c>
      <c r="E129" s="94">
        <v>46018</v>
      </c>
      <c r="F129" s="50">
        <f t="shared" si="2"/>
        <v>118</v>
      </c>
      <c r="G129" t="str">
        <f>VLOOKUP(F129,T!$A$2:$C$9,3,TRUE)</f>
        <v>4. 3-6 Months</v>
      </c>
    </row>
    <row r="130" spans="1:7" x14ac:dyDescent="0.3">
      <c r="A130" s="94" t="s">
        <v>796</v>
      </c>
      <c r="B130" t="s">
        <v>774</v>
      </c>
      <c r="C130" s="50">
        <v>13888000</v>
      </c>
      <c r="D130" s="95">
        <v>8.2199999999999995E-2</v>
      </c>
      <c r="E130" s="94">
        <v>46019</v>
      </c>
      <c r="F130" s="50">
        <f t="shared" si="2"/>
        <v>119</v>
      </c>
      <c r="G130" t="str">
        <f>VLOOKUP(F130,T!$A$2:$C$9,3,TRUE)</f>
        <v>4. 3-6 Months</v>
      </c>
    </row>
    <row r="131" spans="1:7" x14ac:dyDescent="0.3">
      <c r="A131" s="94" t="s">
        <v>780</v>
      </c>
      <c r="B131" t="s">
        <v>774</v>
      </c>
      <c r="C131" s="50">
        <v>16666666.470000001</v>
      </c>
      <c r="D131" s="95">
        <v>8.0199999999999994E-2</v>
      </c>
      <c r="E131" s="94">
        <v>46020</v>
      </c>
      <c r="F131" s="50">
        <f t="shared" ref="F131:F194" si="3">E131-$F$1</f>
        <v>120</v>
      </c>
      <c r="G131" t="str">
        <f>VLOOKUP(F131,T!$A$2:$C$9,3,TRUE)</f>
        <v>4. 3-6 Months</v>
      </c>
    </row>
    <row r="132" spans="1:7" x14ac:dyDescent="0.3">
      <c r="A132" s="94" t="s">
        <v>782</v>
      </c>
      <c r="B132" t="s">
        <v>774</v>
      </c>
      <c r="C132" s="50">
        <v>25000000</v>
      </c>
      <c r="D132" s="95">
        <v>8.5000000000000006E-2</v>
      </c>
      <c r="E132" s="94">
        <v>46021</v>
      </c>
      <c r="F132" s="50">
        <f t="shared" si="3"/>
        <v>121</v>
      </c>
      <c r="G132" t="str">
        <f>VLOOKUP(F132,T!$A$2:$C$9,3,TRUE)</f>
        <v>4. 3-6 Months</v>
      </c>
    </row>
    <row r="133" spans="1:7" x14ac:dyDescent="0.3">
      <c r="A133" s="94" t="s">
        <v>798</v>
      </c>
      <c r="B133" t="s">
        <v>774</v>
      </c>
      <c r="C133" s="50">
        <v>145833333.34</v>
      </c>
      <c r="D133" s="95">
        <v>0.11</v>
      </c>
      <c r="E133" s="94">
        <v>46021</v>
      </c>
      <c r="F133" s="50">
        <f t="shared" si="3"/>
        <v>121</v>
      </c>
      <c r="G133" t="str">
        <f>VLOOKUP(F133,T!$A$2:$C$9,3,TRUE)</f>
        <v>4. 3-6 Months</v>
      </c>
    </row>
    <row r="134" spans="1:7" x14ac:dyDescent="0.3">
      <c r="A134" s="94" t="s">
        <v>797</v>
      </c>
      <c r="B134" t="s">
        <v>774</v>
      </c>
      <c r="C134" s="50">
        <v>8250000</v>
      </c>
      <c r="D134" s="95">
        <v>0.12</v>
      </c>
      <c r="E134" s="94">
        <v>46022</v>
      </c>
      <c r="F134" s="50">
        <f t="shared" si="3"/>
        <v>122</v>
      </c>
      <c r="G134" t="str">
        <f>VLOOKUP(F134,T!$A$2:$C$9,3,TRUE)</f>
        <v>4. 3-6 Months</v>
      </c>
    </row>
    <row r="135" spans="1:7" x14ac:dyDescent="0.3">
      <c r="A135" s="94" t="s">
        <v>797</v>
      </c>
      <c r="B135" t="s">
        <v>774</v>
      </c>
      <c r="C135" s="50">
        <v>8250000</v>
      </c>
      <c r="D135" s="95">
        <v>0.12</v>
      </c>
      <c r="E135" s="94">
        <v>46022</v>
      </c>
      <c r="F135" s="50">
        <f t="shared" si="3"/>
        <v>122</v>
      </c>
      <c r="G135" t="str">
        <f>VLOOKUP(F135,T!$A$2:$C$9,3,TRUE)</f>
        <v>4. 3-6 Months</v>
      </c>
    </row>
    <row r="136" spans="1:7" x14ac:dyDescent="0.3">
      <c r="A136" s="94" t="s">
        <v>797</v>
      </c>
      <c r="B136" t="s">
        <v>774</v>
      </c>
      <c r="C136" s="50">
        <v>8250000</v>
      </c>
      <c r="D136" s="95">
        <v>0.12</v>
      </c>
      <c r="E136" s="94">
        <v>46022</v>
      </c>
      <c r="F136" s="50">
        <f t="shared" si="3"/>
        <v>122</v>
      </c>
      <c r="G136" t="str">
        <f>VLOOKUP(F136,T!$A$2:$C$9,3,TRUE)</f>
        <v>4. 3-6 Months</v>
      </c>
    </row>
    <row r="137" spans="1:7" x14ac:dyDescent="0.3">
      <c r="A137" s="94" t="s">
        <v>797</v>
      </c>
      <c r="B137" t="s">
        <v>774</v>
      </c>
      <c r="C137" s="50">
        <v>8250000</v>
      </c>
      <c r="D137" s="95">
        <v>0.12</v>
      </c>
      <c r="E137" s="94">
        <v>46022</v>
      </c>
      <c r="F137" s="50">
        <f t="shared" si="3"/>
        <v>122</v>
      </c>
      <c r="G137" t="str">
        <f>VLOOKUP(F137,T!$A$2:$C$9,3,TRUE)</f>
        <v>4. 3-6 Months</v>
      </c>
    </row>
    <row r="138" spans="1:7" x14ac:dyDescent="0.3">
      <c r="A138" s="94" t="s">
        <v>780</v>
      </c>
      <c r="B138" t="s">
        <v>774</v>
      </c>
      <c r="C138" s="50">
        <v>16666666.67</v>
      </c>
      <c r="D138" s="95">
        <v>8.0199999999999994E-2</v>
      </c>
      <c r="E138" s="94">
        <v>46037</v>
      </c>
      <c r="F138" s="50">
        <f t="shared" si="3"/>
        <v>137</v>
      </c>
      <c r="G138" t="str">
        <f>VLOOKUP(F138,T!$A$2:$C$9,3,TRUE)</f>
        <v>4. 3-6 Months</v>
      </c>
    </row>
    <row r="139" spans="1:7" x14ac:dyDescent="0.3">
      <c r="A139" s="94" t="s">
        <v>777</v>
      </c>
      <c r="B139" t="s">
        <v>774</v>
      </c>
      <c r="C139" s="50">
        <v>12500000</v>
      </c>
      <c r="D139" s="95">
        <v>9.2499999999999999E-2</v>
      </c>
      <c r="E139" s="94">
        <v>46038</v>
      </c>
      <c r="F139" s="50">
        <f t="shared" si="3"/>
        <v>138</v>
      </c>
      <c r="G139" t="str">
        <f>VLOOKUP(F139,T!$A$2:$C$9,3,TRUE)</f>
        <v>4. 3-6 Months</v>
      </c>
    </row>
    <row r="140" spans="1:7" x14ac:dyDescent="0.3">
      <c r="A140" s="94" t="s">
        <v>777</v>
      </c>
      <c r="B140" t="s">
        <v>774</v>
      </c>
      <c r="C140" s="50">
        <v>12500000</v>
      </c>
      <c r="D140" s="95">
        <v>9.2499999999999999E-2</v>
      </c>
      <c r="E140" s="94">
        <v>46038</v>
      </c>
      <c r="F140" s="50">
        <f t="shared" si="3"/>
        <v>138</v>
      </c>
      <c r="G140" t="str">
        <f>VLOOKUP(F140,T!$A$2:$C$9,3,TRUE)</f>
        <v>4. 3-6 Months</v>
      </c>
    </row>
    <row r="141" spans="1:7" x14ac:dyDescent="0.3">
      <c r="A141" s="94" t="s">
        <v>777</v>
      </c>
      <c r="B141" t="s">
        <v>774</v>
      </c>
      <c r="C141" s="50">
        <v>8333334</v>
      </c>
      <c r="D141" s="95">
        <v>9.2499999999999999E-2</v>
      </c>
      <c r="E141" s="94">
        <v>46038</v>
      </c>
      <c r="F141" s="50">
        <f t="shared" si="3"/>
        <v>138</v>
      </c>
      <c r="G141" t="str">
        <f>VLOOKUP(F141,T!$A$2:$C$9,3,TRUE)</f>
        <v>4. 3-6 Months</v>
      </c>
    </row>
    <row r="142" spans="1:7" x14ac:dyDescent="0.3">
      <c r="A142" s="94" t="s">
        <v>785</v>
      </c>
      <c r="B142" t="s">
        <v>774</v>
      </c>
      <c r="C142" s="50">
        <v>25000000</v>
      </c>
      <c r="D142" s="95">
        <v>8.0199999999999994E-2</v>
      </c>
      <c r="E142" s="94">
        <v>46040</v>
      </c>
      <c r="F142" s="50">
        <f t="shared" si="3"/>
        <v>140</v>
      </c>
      <c r="G142" t="str">
        <f>VLOOKUP(F142,T!$A$2:$C$9,3,TRUE)</f>
        <v>4. 3-6 Months</v>
      </c>
    </row>
    <row r="143" spans="1:7" x14ac:dyDescent="0.3">
      <c r="A143" s="94" t="s">
        <v>790</v>
      </c>
      <c r="B143" t="s">
        <v>774</v>
      </c>
      <c r="C143" s="50">
        <v>14350933.49</v>
      </c>
      <c r="D143" s="95">
        <v>0.12</v>
      </c>
      <c r="E143" s="94">
        <v>46041</v>
      </c>
      <c r="F143" s="50">
        <f t="shared" si="3"/>
        <v>141</v>
      </c>
      <c r="G143" t="str">
        <f>VLOOKUP(F143,T!$A$2:$C$9,3,TRUE)</f>
        <v>4. 3-6 Months</v>
      </c>
    </row>
    <row r="144" spans="1:7" x14ac:dyDescent="0.3">
      <c r="A144" s="94" t="s">
        <v>792</v>
      </c>
      <c r="B144" t="s">
        <v>774</v>
      </c>
      <c r="C144" s="50">
        <v>20800000</v>
      </c>
      <c r="D144" s="95">
        <v>0.1075</v>
      </c>
      <c r="E144" s="94">
        <v>46044</v>
      </c>
      <c r="F144" s="50">
        <f t="shared" si="3"/>
        <v>144</v>
      </c>
      <c r="G144" t="str">
        <f>VLOOKUP(F144,T!$A$2:$C$9,3,TRUE)</f>
        <v>4. 3-6 Months</v>
      </c>
    </row>
    <row r="145" spans="1:7" x14ac:dyDescent="0.3">
      <c r="A145" s="94" t="s">
        <v>799</v>
      </c>
      <c r="B145" t="s">
        <v>774</v>
      </c>
      <c r="C145" s="50">
        <v>50000000</v>
      </c>
      <c r="D145" s="95">
        <v>0.12</v>
      </c>
      <c r="E145" s="94">
        <v>46045</v>
      </c>
      <c r="F145" s="50">
        <f t="shared" si="3"/>
        <v>145</v>
      </c>
      <c r="G145" t="str">
        <f>VLOOKUP(F145,T!$A$2:$C$9,3,TRUE)</f>
        <v>4. 3-6 Months</v>
      </c>
    </row>
    <row r="146" spans="1:7" x14ac:dyDescent="0.3">
      <c r="A146" s="94" t="s">
        <v>799</v>
      </c>
      <c r="B146" t="s">
        <v>774</v>
      </c>
      <c r="C146" s="50">
        <v>50000000</v>
      </c>
      <c r="D146" s="95">
        <v>0.12</v>
      </c>
      <c r="E146" s="94">
        <v>46045</v>
      </c>
      <c r="F146" s="50">
        <f t="shared" si="3"/>
        <v>145</v>
      </c>
      <c r="G146" t="str">
        <f>VLOOKUP(F146,T!$A$2:$C$9,3,TRUE)</f>
        <v>4. 3-6 Months</v>
      </c>
    </row>
    <row r="147" spans="1:7" x14ac:dyDescent="0.3">
      <c r="A147" s="94" t="s">
        <v>799</v>
      </c>
      <c r="B147" t="s">
        <v>774</v>
      </c>
      <c r="C147" s="50">
        <v>50000000</v>
      </c>
      <c r="D147" s="95">
        <v>0.12</v>
      </c>
      <c r="E147" s="94">
        <v>46045</v>
      </c>
      <c r="F147" s="50">
        <f t="shared" si="3"/>
        <v>145</v>
      </c>
      <c r="G147" t="str">
        <f>VLOOKUP(F147,T!$A$2:$C$9,3,TRUE)</f>
        <v>4. 3-6 Months</v>
      </c>
    </row>
    <row r="148" spans="1:7" x14ac:dyDescent="0.3">
      <c r="A148" s="94" t="s">
        <v>792</v>
      </c>
      <c r="B148" t="s">
        <v>774</v>
      </c>
      <c r="C148" s="50">
        <v>20800000</v>
      </c>
      <c r="D148" s="95">
        <v>0.1075</v>
      </c>
      <c r="E148" s="94">
        <v>46046</v>
      </c>
      <c r="F148" s="50">
        <f t="shared" si="3"/>
        <v>146</v>
      </c>
      <c r="G148" t="str">
        <f>VLOOKUP(F148,T!$A$2:$C$9,3,TRUE)</f>
        <v>4. 3-6 Months</v>
      </c>
    </row>
    <row r="149" spans="1:7" x14ac:dyDescent="0.3">
      <c r="A149" s="94" t="s">
        <v>793</v>
      </c>
      <c r="B149" t="s">
        <v>774</v>
      </c>
      <c r="C149" s="50">
        <v>16650000</v>
      </c>
      <c r="D149" s="95">
        <v>0.09</v>
      </c>
      <c r="E149" s="94">
        <v>46047</v>
      </c>
      <c r="F149" s="50">
        <f t="shared" si="3"/>
        <v>147</v>
      </c>
      <c r="G149" t="str">
        <f>VLOOKUP(F149,T!$A$2:$C$9,3,TRUE)</f>
        <v>4. 3-6 Months</v>
      </c>
    </row>
    <row r="150" spans="1:7" x14ac:dyDescent="0.3">
      <c r="A150" s="94" t="s">
        <v>793</v>
      </c>
      <c r="B150" t="s">
        <v>774</v>
      </c>
      <c r="C150" s="50">
        <v>16650000</v>
      </c>
      <c r="D150" s="95">
        <v>0.09</v>
      </c>
      <c r="E150" s="94">
        <v>46048</v>
      </c>
      <c r="F150" s="50">
        <f t="shared" si="3"/>
        <v>148</v>
      </c>
      <c r="G150" t="str">
        <f>VLOOKUP(F150,T!$A$2:$C$9,3,TRUE)</f>
        <v>4. 3-6 Months</v>
      </c>
    </row>
    <row r="151" spans="1:7" x14ac:dyDescent="0.3">
      <c r="A151" s="94" t="s">
        <v>794</v>
      </c>
      <c r="B151" t="s">
        <v>774</v>
      </c>
      <c r="C151" s="50">
        <v>20833000</v>
      </c>
      <c r="D151" s="95">
        <v>8.0699999999999994E-2</v>
      </c>
      <c r="E151" s="94">
        <v>46048</v>
      </c>
      <c r="F151" s="50">
        <f t="shared" si="3"/>
        <v>148</v>
      </c>
      <c r="G151" t="str">
        <f>VLOOKUP(F151,T!$A$2:$C$9,3,TRUE)</f>
        <v>4. 3-6 Months</v>
      </c>
    </row>
    <row r="152" spans="1:7" x14ac:dyDescent="0.3">
      <c r="A152" s="94" t="s">
        <v>794</v>
      </c>
      <c r="B152" t="s">
        <v>774</v>
      </c>
      <c r="C152" s="50">
        <v>20833000</v>
      </c>
      <c r="D152" s="95">
        <v>8.0699999999999994E-2</v>
      </c>
      <c r="E152" s="94">
        <v>46048</v>
      </c>
      <c r="F152" s="50">
        <f t="shared" si="3"/>
        <v>148</v>
      </c>
      <c r="G152" t="str">
        <f>VLOOKUP(F152,T!$A$2:$C$9,3,TRUE)</f>
        <v>4. 3-6 Months</v>
      </c>
    </row>
    <row r="153" spans="1:7" x14ac:dyDescent="0.3">
      <c r="A153" s="94" t="s">
        <v>794</v>
      </c>
      <c r="B153" t="s">
        <v>774</v>
      </c>
      <c r="C153" s="50">
        <v>20833000</v>
      </c>
      <c r="D153" s="95">
        <v>8.0699999999999994E-2</v>
      </c>
      <c r="E153" s="94">
        <v>46048</v>
      </c>
      <c r="F153" s="50">
        <f t="shared" si="3"/>
        <v>148</v>
      </c>
      <c r="G153" t="str">
        <f>VLOOKUP(F153,T!$A$2:$C$9,3,TRUE)</f>
        <v>4. 3-6 Months</v>
      </c>
    </row>
    <row r="154" spans="1:7" x14ac:dyDescent="0.3">
      <c r="A154" s="94" t="s">
        <v>795</v>
      </c>
      <c r="B154" t="s">
        <v>774</v>
      </c>
      <c r="C154" s="50">
        <v>20833333.333333328</v>
      </c>
      <c r="D154" s="95">
        <v>0.1075</v>
      </c>
      <c r="E154" s="94">
        <v>46049</v>
      </c>
      <c r="F154" s="50">
        <f t="shared" si="3"/>
        <v>149</v>
      </c>
      <c r="G154" t="str">
        <f>VLOOKUP(F154,T!$A$2:$C$9,3,TRUE)</f>
        <v>4. 3-6 Months</v>
      </c>
    </row>
    <row r="155" spans="1:7" x14ac:dyDescent="0.3">
      <c r="A155" s="94" t="s">
        <v>795</v>
      </c>
      <c r="B155" t="s">
        <v>774</v>
      </c>
      <c r="C155" s="50">
        <v>20833333.333333328</v>
      </c>
      <c r="D155" s="95">
        <v>0.1075</v>
      </c>
      <c r="E155" s="94">
        <v>46049</v>
      </c>
      <c r="F155" s="50">
        <f t="shared" si="3"/>
        <v>149</v>
      </c>
      <c r="G155" t="str">
        <f>VLOOKUP(F155,T!$A$2:$C$9,3,TRUE)</f>
        <v>4. 3-6 Months</v>
      </c>
    </row>
    <row r="156" spans="1:7" x14ac:dyDescent="0.3">
      <c r="A156" s="94" t="s">
        <v>795</v>
      </c>
      <c r="B156" t="s">
        <v>774</v>
      </c>
      <c r="C156" s="50">
        <v>10416666.66666667</v>
      </c>
      <c r="D156" s="95">
        <v>0.1075</v>
      </c>
      <c r="E156" s="94">
        <v>46049</v>
      </c>
      <c r="F156" s="50">
        <f t="shared" si="3"/>
        <v>149</v>
      </c>
      <c r="G156" t="str">
        <f>VLOOKUP(F156,T!$A$2:$C$9,3,TRUE)</f>
        <v>4. 3-6 Months</v>
      </c>
    </row>
    <row r="157" spans="1:7" x14ac:dyDescent="0.3">
      <c r="A157" s="94" t="s">
        <v>795</v>
      </c>
      <c r="B157" t="s">
        <v>774</v>
      </c>
      <c r="C157" s="50">
        <v>10416666.66666667</v>
      </c>
      <c r="D157" s="95">
        <v>0.1075</v>
      </c>
      <c r="E157" s="94">
        <v>46049</v>
      </c>
      <c r="F157" s="50">
        <f t="shared" si="3"/>
        <v>149</v>
      </c>
      <c r="G157" t="str">
        <f>VLOOKUP(F157,T!$A$2:$C$9,3,TRUE)</f>
        <v>4. 3-6 Months</v>
      </c>
    </row>
    <row r="158" spans="1:7" x14ac:dyDescent="0.3">
      <c r="A158" s="94" t="s">
        <v>796</v>
      </c>
      <c r="B158" t="s">
        <v>774</v>
      </c>
      <c r="C158" s="50">
        <v>13888000</v>
      </c>
      <c r="D158" s="95">
        <v>8.2199999999999995E-2</v>
      </c>
      <c r="E158" s="94">
        <v>46050</v>
      </c>
      <c r="F158" s="50">
        <f t="shared" si="3"/>
        <v>150</v>
      </c>
      <c r="G158" t="str">
        <f>VLOOKUP(F158,T!$A$2:$C$9,3,TRUE)</f>
        <v>4. 3-6 Months</v>
      </c>
    </row>
    <row r="159" spans="1:7" x14ac:dyDescent="0.3">
      <c r="A159" s="94" t="s">
        <v>780</v>
      </c>
      <c r="B159" t="s">
        <v>774</v>
      </c>
      <c r="C159" s="50">
        <v>16666666.470000001</v>
      </c>
      <c r="D159" s="95">
        <v>8.0199999999999994E-2</v>
      </c>
      <c r="E159" s="94">
        <v>46051</v>
      </c>
      <c r="F159" s="50">
        <f t="shared" si="3"/>
        <v>151</v>
      </c>
      <c r="G159" t="str">
        <f>VLOOKUP(F159,T!$A$2:$C$9,3,TRUE)</f>
        <v>4. 3-6 Months</v>
      </c>
    </row>
    <row r="160" spans="1:7" x14ac:dyDescent="0.3">
      <c r="A160" s="94" t="s">
        <v>797</v>
      </c>
      <c r="B160" t="s">
        <v>774</v>
      </c>
      <c r="C160" s="50">
        <v>8250000</v>
      </c>
      <c r="D160" s="95">
        <v>0.12</v>
      </c>
      <c r="E160" s="94">
        <v>46053</v>
      </c>
      <c r="F160" s="50">
        <f t="shared" si="3"/>
        <v>153</v>
      </c>
      <c r="G160" t="str">
        <f>VLOOKUP(F160,T!$A$2:$C$9,3,TRUE)</f>
        <v>4. 3-6 Months</v>
      </c>
    </row>
    <row r="161" spans="1:7" x14ac:dyDescent="0.3">
      <c r="A161" s="94" t="s">
        <v>797</v>
      </c>
      <c r="B161" t="s">
        <v>774</v>
      </c>
      <c r="C161" s="50">
        <v>8250000</v>
      </c>
      <c r="D161" s="95">
        <v>0.12</v>
      </c>
      <c r="E161" s="94">
        <v>46053</v>
      </c>
      <c r="F161" s="50">
        <f t="shared" si="3"/>
        <v>153</v>
      </c>
      <c r="G161" t="str">
        <f>VLOOKUP(F161,T!$A$2:$C$9,3,TRUE)</f>
        <v>4. 3-6 Months</v>
      </c>
    </row>
    <row r="162" spans="1:7" x14ac:dyDescent="0.3">
      <c r="A162" s="94" t="s">
        <v>797</v>
      </c>
      <c r="B162" t="s">
        <v>774</v>
      </c>
      <c r="C162" s="50">
        <v>8250000</v>
      </c>
      <c r="D162" s="95">
        <v>0.12</v>
      </c>
      <c r="E162" s="94">
        <v>46053</v>
      </c>
      <c r="F162" s="50">
        <f t="shared" si="3"/>
        <v>153</v>
      </c>
      <c r="G162" t="str">
        <f>VLOOKUP(F162,T!$A$2:$C$9,3,TRUE)</f>
        <v>4. 3-6 Months</v>
      </c>
    </row>
    <row r="163" spans="1:7" x14ac:dyDescent="0.3">
      <c r="A163" s="94" t="s">
        <v>797</v>
      </c>
      <c r="B163" t="s">
        <v>774</v>
      </c>
      <c r="C163" s="50">
        <v>8250000</v>
      </c>
      <c r="D163" s="95">
        <v>0.12</v>
      </c>
      <c r="E163" s="94">
        <v>46053</v>
      </c>
      <c r="F163" s="50">
        <f t="shared" si="3"/>
        <v>153</v>
      </c>
      <c r="G163" t="str">
        <f>VLOOKUP(F163,T!$A$2:$C$9,3,TRUE)</f>
        <v>4. 3-6 Months</v>
      </c>
    </row>
    <row r="164" spans="1:7" x14ac:dyDescent="0.3">
      <c r="A164" s="94" t="s">
        <v>780</v>
      </c>
      <c r="B164" t="s">
        <v>774</v>
      </c>
      <c r="C164" s="50">
        <v>16666666.67</v>
      </c>
      <c r="D164" s="95">
        <v>8.0199999999999994E-2</v>
      </c>
      <c r="E164" s="94">
        <v>46068</v>
      </c>
      <c r="F164" s="50">
        <f t="shared" si="3"/>
        <v>168</v>
      </c>
      <c r="G164" t="str">
        <f>VLOOKUP(F164,T!$A$2:$C$9,3,TRUE)</f>
        <v>4. 3-6 Months</v>
      </c>
    </row>
    <row r="165" spans="1:7" x14ac:dyDescent="0.3">
      <c r="A165" s="94" t="s">
        <v>777</v>
      </c>
      <c r="B165" t="s">
        <v>774</v>
      </c>
      <c r="C165" s="50">
        <v>12500000</v>
      </c>
      <c r="D165" s="95">
        <v>9.2499999999999999E-2</v>
      </c>
      <c r="E165" s="94">
        <v>46070</v>
      </c>
      <c r="F165" s="50">
        <f t="shared" si="3"/>
        <v>170</v>
      </c>
      <c r="G165" t="str">
        <f>VLOOKUP(F165,T!$A$2:$C$9,3,TRUE)</f>
        <v>4. 3-6 Months</v>
      </c>
    </row>
    <row r="166" spans="1:7" x14ac:dyDescent="0.3">
      <c r="A166" s="94" t="s">
        <v>777</v>
      </c>
      <c r="B166" t="s">
        <v>774</v>
      </c>
      <c r="C166" s="50">
        <v>12500000</v>
      </c>
      <c r="D166" s="95">
        <v>9.2499999999999999E-2</v>
      </c>
      <c r="E166" s="94">
        <v>46070</v>
      </c>
      <c r="F166" s="50">
        <f t="shared" si="3"/>
        <v>170</v>
      </c>
      <c r="G166" t="str">
        <f>VLOOKUP(F166,T!$A$2:$C$9,3,TRUE)</f>
        <v>4. 3-6 Months</v>
      </c>
    </row>
    <row r="167" spans="1:7" x14ac:dyDescent="0.3">
      <c r="A167" s="94" t="s">
        <v>777</v>
      </c>
      <c r="B167" t="s">
        <v>774</v>
      </c>
      <c r="C167" s="50">
        <v>8333334</v>
      </c>
      <c r="D167" s="95">
        <v>9.2499999999999999E-2</v>
      </c>
      <c r="E167" s="94">
        <v>46070</v>
      </c>
      <c r="F167" s="50">
        <f t="shared" si="3"/>
        <v>170</v>
      </c>
      <c r="G167" t="str">
        <f>VLOOKUP(F167,T!$A$2:$C$9,3,TRUE)</f>
        <v>4. 3-6 Months</v>
      </c>
    </row>
    <row r="168" spans="1:7" x14ac:dyDescent="0.3">
      <c r="A168" s="94" t="s">
        <v>785</v>
      </c>
      <c r="B168" t="s">
        <v>774</v>
      </c>
      <c r="C168" s="50">
        <v>25000000</v>
      </c>
      <c r="D168" s="95">
        <v>8.0199999999999994E-2</v>
      </c>
      <c r="E168" s="94">
        <v>46071</v>
      </c>
      <c r="F168" s="50">
        <f t="shared" si="3"/>
        <v>171</v>
      </c>
      <c r="G168" t="str">
        <f>VLOOKUP(F168,T!$A$2:$C$9,3,TRUE)</f>
        <v>4. 3-6 Months</v>
      </c>
    </row>
    <row r="169" spans="1:7" x14ac:dyDescent="0.3">
      <c r="A169" s="94" t="s">
        <v>790</v>
      </c>
      <c r="B169" t="s">
        <v>774</v>
      </c>
      <c r="C169" s="50">
        <v>14497194.9</v>
      </c>
      <c r="D169" s="95">
        <v>0.12</v>
      </c>
      <c r="E169" s="94">
        <v>46072</v>
      </c>
      <c r="F169" s="50">
        <f t="shared" si="3"/>
        <v>172</v>
      </c>
      <c r="G169" t="str">
        <f>VLOOKUP(F169,T!$A$2:$C$9,3,TRUE)</f>
        <v>4. 3-6 Months</v>
      </c>
    </row>
    <row r="170" spans="1:7" x14ac:dyDescent="0.3">
      <c r="A170" s="94" t="s">
        <v>782</v>
      </c>
      <c r="B170" t="s">
        <v>774</v>
      </c>
      <c r="C170" s="50">
        <v>25000000</v>
      </c>
      <c r="D170" s="95">
        <v>8.5000000000000006E-2</v>
      </c>
      <c r="E170" s="94">
        <v>46073</v>
      </c>
      <c r="F170" s="50">
        <f t="shared" si="3"/>
        <v>173</v>
      </c>
      <c r="G170" t="str">
        <f>VLOOKUP(F170,T!$A$2:$C$9,3,TRUE)</f>
        <v>4. 3-6 Months</v>
      </c>
    </row>
    <row r="171" spans="1:7" x14ac:dyDescent="0.3">
      <c r="A171" s="94" t="s">
        <v>800</v>
      </c>
      <c r="B171" t="s">
        <v>774</v>
      </c>
      <c r="C171" s="50">
        <v>50000000</v>
      </c>
      <c r="D171" s="95">
        <v>9.8500000000000004E-2</v>
      </c>
      <c r="E171" s="94">
        <v>46074</v>
      </c>
      <c r="F171" s="50">
        <f t="shared" si="3"/>
        <v>174</v>
      </c>
      <c r="G171" t="str">
        <f>VLOOKUP(F171,T!$A$2:$C$9,3,TRUE)</f>
        <v>4. 3-6 Months</v>
      </c>
    </row>
    <row r="172" spans="1:7" x14ac:dyDescent="0.3">
      <c r="A172" s="94" t="s">
        <v>792</v>
      </c>
      <c r="B172" t="s">
        <v>774</v>
      </c>
      <c r="C172" s="50">
        <v>20800000</v>
      </c>
      <c r="D172" s="95">
        <v>0.1075</v>
      </c>
      <c r="E172" s="94">
        <v>46075</v>
      </c>
      <c r="F172" s="50">
        <f t="shared" si="3"/>
        <v>175</v>
      </c>
      <c r="G172" t="str">
        <f>VLOOKUP(F172,T!$A$2:$C$9,3,TRUE)</f>
        <v>4. 3-6 Months</v>
      </c>
    </row>
    <row r="173" spans="1:7" x14ac:dyDescent="0.3">
      <c r="A173" s="94" t="s">
        <v>792</v>
      </c>
      <c r="B173" t="s">
        <v>774</v>
      </c>
      <c r="C173" s="50">
        <v>20800000</v>
      </c>
      <c r="D173" s="95">
        <v>0.1075</v>
      </c>
      <c r="E173" s="94">
        <v>46077</v>
      </c>
      <c r="F173" s="50">
        <f t="shared" si="3"/>
        <v>177</v>
      </c>
      <c r="G173" t="str">
        <f>VLOOKUP(F173,T!$A$2:$C$9,3,TRUE)</f>
        <v>4. 3-6 Months</v>
      </c>
    </row>
    <row r="174" spans="1:7" x14ac:dyDescent="0.3">
      <c r="A174" s="94" t="s">
        <v>793</v>
      </c>
      <c r="B174" t="s">
        <v>774</v>
      </c>
      <c r="C174" s="50">
        <v>16650000</v>
      </c>
      <c r="D174" s="95">
        <v>0.09</v>
      </c>
      <c r="E174" s="94">
        <v>46078</v>
      </c>
      <c r="F174" s="50">
        <f t="shared" si="3"/>
        <v>178</v>
      </c>
      <c r="G174" t="str">
        <f>VLOOKUP(F174,T!$A$2:$C$9,3,TRUE)</f>
        <v>4. 3-6 Months</v>
      </c>
    </row>
    <row r="175" spans="1:7" x14ac:dyDescent="0.3">
      <c r="A175" s="94" t="s">
        <v>793</v>
      </c>
      <c r="B175" t="s">
        <v>774</v>
      </c>
      <c r="C175" s="50">
        <v>16650000</v>
      </c>
      <c r="D175" s="95">
        <v>0.09</v>
      </c>
      <c r="E175" s="94">
        <v>46079</v>
      </c>
      <c r="F175" s="50">
        <f t="shared" si="3"/>
        <v>179</v>
      </c>
      <c r="G175" t="str">
        <f>VLOOKUP(F175,T!$A$2:$C$9,3,TRUE)</f>
        <v>4. 3-6 Months</v>
      </c>
    </row>
    <row r="176" spans="1:7" x14ac:dyDescent="0.3">
      <c r="A176" s="94" t="s">
        <v>794</v>
      </c>
      <c r="B176" t="s">
        <v>774</v>
      </c>
      <c r="C176" s="50">
        <v>20833000</v>
      </c>
      <c r="D176" s="95">
        <v>8.0699999999999994E-2</v>
      </c>
      <c r="E176" s="94">
        <v>46079</v>
      </c>
      <c r="F176" s="50">
        <f t="shared" si="3"/>
        <v>179</v>
      </c>
      <c r="G176" t="str">
        <f>VLOOKUP(F176,T!$A$2:$C$9,3,TRUE)</f>
        <v>4. 3-6 Months</v>
      </c>
    </row>
    <row r="177" spans="1:7" x14ac:dyDescent="0.3">
      <c r="A177" s="94" t="s">
        <v>794</v>
      </c>
      <c r="B177" t="s">
        <v>774</v>
      </c>
      <c r="C177" s="50">
        <v>20833000</v>
      </c>
      <c r="D177" s="95">
        <v>8.0699999999999994E-2</v>
      </c>
      <c r="E177" s="94">
        <v>46079</v>
      </c>
      <c r="F177" s="50">
        <f t="shared" si="3"/>
        <v>179</v>
      </c>
      <c r="G177" t="str">
        <f>VLOOKUP(F177,T!$A$2:$C$9,3,TRUE)</f>
        <v>4. 3-6 Months</v>
      </c>
    </row>
    <row r="178" spans="1:7" x14ac:dyDescent="0.3">
      <c r="A178" s="94" t="s">
        <v>794</v>
      </c>
      <c r="B178" t="s">
        <v>774</v>
      </c>
      <c r="C178" s="50">
        <v>20833000</v>
      </c>
      <c r="D178" s="95">
        <v>8.0699999999999994E-2</v>
      </c>
      <c r="E178" s="94">
        <v>46079</v>
      </c>
      <c r="F178" s="50">
        <f t="shared" si="3"/>
        <v>179</v>
      </c>
      <c r="G178" t="str">
        <f>VLOOKUP(F178,T!$A$2:$C$9,3,TRUE)</f>
        <v>4. 3-6 Months</v>
      </c>
    </row>
    <row r="179" spans="1:7" x14ac:dyDescent="0.3">
      <c r="A179" s="94" t="s">
        <v>795</v>
      </c>
      <c r="B179" t="s">
        <v>774</v>
      </c>
      <c r="C179" s="50">
        <v>20833333.333333328</v>
      </c>
      <c r="D179" s="95">
        <v>0.1075</v>
      </c>
      <c r="E179" s="94">
        <v>46080</v>
      </c>
      <c r="F179" s="50">
        <f t="shared" si="3"/>
        <v>180</v>
      </c>
      <c r="G179" t="str">
        <f>VLOOKUP(F179,T!$A$2:$C$9,3,TRUE)</f>
        <v>4. 3-6 Months</v>
      </c>
    </row>
    <row r="180" spans="1:7" x14ac:dyDescent="0.3">
      <c r="A180" s="94" t="s">
        <v>795</v>
      </c>
      <c r="B180" t="s">
        <v>774</v>
      </c>
      <c r="C180" s="50">
        <v>20833333.333333328</v>
      </c>
      <c r="D180" s="95">
        <v>0.1075</v>
      </c>
      <c r="E180" s="94">
        <v>46080</v>
      </c>
      <c r="F180" s="50">
        <f t="shared" si="3"/>
        <v>180</v>
      </c>
      <c r="G180" t="str">
        <f>VLOOKUP(F180,T!$A$2:$C$9,3,TRUE)</f>
        <v>4. 3-6 Months</v>
      </c>
    </row>
    <row r="181" spans="1:7" x14ac:dyDescent="0.3">
      <c r="A181" s="94" t="s">
        <v>795</v>
      </c>
      <c r="B181" t="s">
        <v>774</v>
      </c>
      <c r="C181" s="50">
        <v>10416666.66666667</v>
      </c>
      <c r="D181" s="95">
        <v>0.1075</v>
      </c>
      <c r="E181" s="94">
        <v>46080</v>
      </c>
      <c r="F181" s="50">
        <f t="shared" si="3"/>
        <v>180</v>
      </c>
      <c r="G181" t="str">
        <f>VLOOKUP(F181,T!$A$2:$C$9,3,TRUE)</f>
        <v>4. 3-6 Months</v>
      </c>
    </row>
    <row r="182" spans="1:7" x14ac:dyDescent="0.3">
      <c r="A182" s="94" t="s">
        <v>795</v>
      </c>
      <c r="B182" t="s">
        <v>774</v>
      </c>
      <c r="C182" s="50">
        <v>10416666.66666667</v>
      </c>
      <c r="D182" s="95">
        <v>0.1075</v>
      </c>
      <c r="E182" s="94">
        <v>46080</v>
      </c>
      <c r="F182" s="50">
        <f t="shared" si="3"/>
        <v>180</v>
      </c>
      <c r="G182" t="str">
        <f>VLOOKUP(F182,T!$A$2:$C$9,3,TRUE)</f>
        <v>4. 3-6 Months</v>
      </c>
    </row>
    <row r="183" spans="1:7" x14ac:dyDescent="0.3">
      <c r="A183" s="94" t="s">
        <v>797</v>
      </c>
      <c r="B183" t="s">
        <v>774</v>
      </c>
      <c r="C183" s="50">
        <v>8250000</v>
      </c>
      <c r="D183" s="95">
        <v>0.12</v>
      </c>
      <c r="E183" s="94">
        <v>46081</v>
      </c>
      <c r="F183" s="50">
        <f t="shared" si="3"/>
        <v>181</v>
      </c>
      <c r="G183" t="str">
        <f>VLOOKUP(F183,T!$A$2:$C$9,3,TRUE)</f>
        <v>5. 6-12 Months</v>
      </c>
    </row>
    <row r="184" spans="1:7" x14ac:dyDescent="0.3">
      <c r="A184" s="94" t="s">
        <v>797</v>
      </c>
      <c r="B184" t="s">
        <v>774</v>
      </c>
      <c r="C184" s="50">
        <v>8250000</v>
      </c>
      <c r="D184" s="95">
        <v>0.12</v>
      </c>
      <c r="E184" s="94">
        <v>46081</v>
      </c>
      <c r="F184" s="50">
        <f t="shared" si="3"/>
        <v>181</v>
      </c>
      <c r="G184" t="str">
        <f>VLOOKUP(F184,T!$A$2:$C$9,3,TRUE)</f>
        <v>5. 6-12 Months</v>
      </c>
    </row>
    <row r="185" spans="1:7" x14ac:dyDescent="0.3">
      <c r="A185" s="94" t="s">
        <v>797</v>
      </c>
      <c r="B185" t="s">
        <v>774</v>
      </c>
      <c r="C185" s="50">
        <v>8250000</v>
      </c>
      <c r="D185" s="95">
        <v>0.12</v>
      </c>
      <c r="E185" s="94">
        <v>46081</v>
      </c>
      <c r="F185" s="50">
        <f t="shared" si="3"/>
        <v>181</v>
      </c>
      <c r="G185" t="str">
        <f>VLOOKUP(F185,T!$A$2:$C$9,3,TRUE)</f>
        <v>5. 6-12 Months</v>
      </c>
    </row>
    <row r="186" spans="1:7" x14ac:dyDescent="0.3">
      <c r="A186" s="94" t="s">
        <v>797</v>
      </c>
      <c r="B186" t="s">
        <v>774</v>
      </c>
      <c r="C186" s="50">
        <v>8250000</v>
      </c>
      <c r="D186" s="95">
        <v>0.12</v>
      </c>
      <c r="E186" s="94">
        <v>46081</v>
      </c>
      <c r="F186" s="50">
        <f t="shared" si="3"/>
        <v>181</v>
      </c>
      <c r="G186" t="str">
        <f>VLOOKUP(F186,T!$A$2:$C$9,3,TRUE)</f>
        <v>5. 6-12 Months</v>
      </c>
    </row>
    <row r="187" spans="1:7" x14ac:dyDescent="0.3">
      <c r="A187" s="94" t="s">
        <v>780</v>
      </c>
      <c r="B187" t="s">
        <v>774</v>
      </c>
      <c r="C187" s="50">
        <v>16666666.470000001</v>
      </c>
      <c r="D187" s="95">
        <v>8.0199999999999994E-2</v>
      </c>
      <c r="E187" s="94">
        <v>46081</v>
      </c>
      <c r="F187" s="50">
        <f t="shared" si="3"/>
        <v>181</v>
      </c>
      <c r="G187" t="str">
        <f>VLOOKUP(F187,T!$A$2:$C$9,3,TRUE)</f>
        <v>5. 6-12 Months</v>
      </c>
    </row>
    <row r="188" spans="1:7" x14ac:dyDescent="0.3">
      <c r="A188" s="94" t="s">
        <v>796</v>
      </c>
      <c r="B188" t="s">
        <v>774</v>
      </c>
      <c r="C188" s="50">
        <v>13888000</v>
      </c>
      <c r="D188" s="95">
        <v>8.2199999999999995E-2</v>
      </c>
      <c r="E188" s="94">
        <v>46081</v>
      </c>
      <c r="F188" s="50">
        <f t="shared" si="3"/>
        <v>181</v>
      </c>
      <c r="G188" t="str">
        <f>VLOOKUP(F188,T!$A$2:$C$9,3,TRUE)</f>
        <v>5. 6-12 Months</v>
      </c>
    </row>
    <row r="189" spans="1:7" x14ac:dyDescent="0.3">
      <c r="A189" s="94" t="s">
        <v>800</v>
      </c>
      <c r="B189" t="s">
        <v>774</v>
      </c>
      <c r="C189" s="50">
        <v>50000000</v>
      </c>
      <c r="D189" s="95">
        <v>9.8500000000000004E-2</v>
      </c>
      <c r="E189" s="94">
        <v>46081</v>
      </c>
      <c r="F189" s="50">
        <f t="shared" si="3"/>
        <v>181</v>
      </c>
      <c r="G189" t="str">
        <f>VLOOKUP(F189,T!$A$2:$C$9,3,TRUE)</f>
        <v>5. 6-12 Months</v>
      </c>
    </row>
    <row r="190" spans="1:7" x14ac:dyDescent="0.3">
      <c r="A190" s="94" t="s">
        <v>773</v>
      </c>
      <c r="B190" t="s">
        <v>774</v>
      </c>
      <c r="C190" s="50">
        <v>50000000</v>
      </c>
      <c r="D190" s="95">
        <v>0.12</v>
      </c>
      <c r="E190" s="94">
        <v>46094</v>
      </c>
      <c r="F190" s="50">
        <f t="shared" si="3"/>
        <v>194</v>
      </c>
      <c r="G190" t="str">
        <f>VLOOKUP(F190,T!$A$2:$C$9,3,TRUE)</f>
        <v>5. 6-12 Months</v>
      </c>
    </row>
    <row r="191" spans="1:7" x14ac:dyDescent="0.3">
      <c r="A191" s="94" t="s">
        <v>773</v>
      </c>
      <c r="B191" t="s">
        <v>774</v>
      </c>
      <c r="C191" s="50">
        <v>25000000</v>
      </c>
      <c r="D191" s="95">
        <v>0.12</v>
      </c>
      <c r="E191" s="94">
        <v>46095</v>
      </c>
      <c r="F191" s="50">
        <f t="shared" si="3"/>
        <v>195</v>
      </c>
      <c r="G191" t="str">
        <f>VLOOKUP(F191,T!$A$2:$C$9,3,TRUE)</f>
        <v>5. 6-12 Months</v>
      </c>
    </row>
    <row r="192" spans="1:7" x14ac:dyDescent="0.3">
      <c r="A192" s="94" t="s">
        <v>780</v>
      </c>
      <c r="B192" t="s">
        <v>774</v>
      </c>
      <c r="C192" s="50">
        <v>16666666.67</v>
      </c>
      <c r="D192" s="95">
        <v>8.0199999999999994E-2</v>
      </c>
      <c r="E192" s="94">
        <v>46096</v>
      </c>
      <c r="F192" s="50">
        <f t="shared" si="3"/>
        <v>196</v>
      </c>
      <c r="G192" t="str">
        <f>VLOOKUP(F192,T!$A$2:$C$9,3,TRUE)</f>
        <v>5. 6-12 Months</v>
      </c>
    </row>
    <row r="193" spans="1:7" x14ac:dyDescent="0.3">
      <c r="A193" s="94" t="s">
        <v>782</v>
      </c>
      <c r="B193" t="s">
        <v>774</v>
      </c>
      <c r="C193" s="50">
        <v>25000000</v>
      </c>
      <c r="D193" s="95">
        <v>8.5000000000000006E-2</v>
      </c>
      <c r="E193" s="94">
        <v>46096</v>
      </c>
      <c r="F193" s="50">
        <f t="shared" si="3"/>
        <v>196</v>
      </c>
      <c r="G193" t="str">
        <f>VLOOKUP(F193,T!$A$2:$C$9,3,TRUE)</f>
        <v>5. 6-12 Months</v>
      </c>
    </row>
    <row r="194" spans="1:7" x14ac:dyDescent="0.3">
      <c r="A194" s="94" t="s">
        <v>777</v>
      </c>
      <c r="B194" t="s">
        <v>774</v>
      </c>
      <c r="C194" s="50">
        <v>12500000</v>
      </c>
      <c r="D194" s="95">
        <v>9.2499999999999999E-2</v>
      </c>
      <c r="E194" s="94">
        <v>46097</v>
      </c>
      <c r="F194" s="50">
        <f t="shared" si="3"/>
        <v>197</v>
      </c>
      <c r="G194" t="str">
        <f>VLOOKUP(F194,T!$A$2:$C$9,3,TRUE)</f>
        <v>5. 6-12 Months</v>
      </c>
    </row>
    <row r="195" spans="1:7" x14ac:dyDescent="0.3">
      <c r="A195" s="94" t="s">
        <v>777</v>
      </c>
      <c r="B195" t="s">
        <v>774</v>
      </c>
      <c r="C195" s="50">
        <v>12500000</v>
      </c>
      <c r="D195" s="95">
        <v>9.2499999999999999E-2</v>
      </c>
      <c r="E195" s="94">
        <v>46097</v>
      </c>
      <c r="F195" s="50">
        <f t="shared" ref="F195:F258" si="4">E195-$F$1</f>
        <v>197</v>
      </c>
      <c r="G195" t="str">
        <f>VLOOKUP(F195,T!$A$2:$C$9,3,TRUE)</f>
        <v>5. 6-12 Months</v>
      </c>
    </row>
    <row r="196" spans="1:7" x14ac:dyDescent="0.3">
      <c r="A196" s="94" t="s">
        <v>777</v>
      </c>
      <c r="B196" t="s">
        <v>774</v>
      </c>
      <c r="C196" s="50">
        <v>8333334</v>
      </c>
      <c r="D196" s="95">
        <v>9.2499999999999999E-2</v>
      </c>
      <c r="E196" s="94">
        <v>46097</v>
      </c>
      <c r="F196" s="50">
        <f t="shared" si="4"/>
        <v>197</v>
      </c>
      <c r="G196" t="str">
        <f>VLOOKUP(F196,T!$A$2:$C$9,3,TRUE)</f>
        <v>5. 6-12 Months</v>
      </c>
    </row>
    <row r="197" spans="1:7" x14ac:dyDescent="0.3">
      <c r="A197" s="94" t="s">
        <v>785</v>
      </c>
      <c r="B197" t="s">
        <v>774</v>
      </c>
      <c r="C197" s="50">
        <v>25000000</v>
      </c>
      <c r="D197" s="95">
        <v>8.0199999999999994E-2</v>
      </c>
      <c r="E197" s="94">
        <v>46099</v>
      </c>
      <c r="F197" s="50">
        <f t="shared" si="4"/>
        <v>199</v>
      </c>
      <c r="G197" t="str">
        <f>VLOOKUP(F197,T!$A$2:$C$9,3,TRUE)</f>
        <v>5. 6-12 Months</v>
      </c>
    </row>
    <row r="198" spans="1:7" x14ac:dyDescent="0.3">
      <c r="A198" s="94" t="s">
        <v>790</v>
      </c>
      <c r="B198" t="s">
        <v>774</v>
      </c>
      <c r="C198" s="50">
        <v>15380382.640000001</v>
      </c>
      <c r="D198" s="95">
        <v>0.12</v>
      </c>
      <c r="E198" s="94">
        <v>46100</v>
      </c>
      <c r="F198" s="50">
        <f t="shared" si="4"/>
        <v>200</v>
      </c>
      <c r="G198" t="str">
        <f>VLOOKUP(F198,T!$A$2:$C$9,3,TRUE)</f>
        <v>5. 6-12 Months</v>
      </c>
    </row>
    <row r="199" spans="1:7" x14ac:dyDescent="0.3">
      <c r="A199" s="94" t="s">
        <v>782</v>
      </c>
      <c r="B199" t="s">
        <v>774</v>
      </c>
      <c r="C199" s="50">
        <v>25000000</v>
      </c>
      <c r="D199" s="95">
        <v>8.5000000000000006E-2</v>
      </c>
      <c r="E199" s="94">
        <v>46102</v>
      </c>
      <c r="F199" s="50">
        <f t="shared" si="4"/>
        <v>202</v>
      </c>
      <c r="G199" t="str">
        <f>VLOOKUP(F199,T!$A$2:$C$9,3,TRUE)</f>
        <v>5. 6-12 Months</v>
      </c>
    </row>
    <row r="200" spans="1:7" x14ac:dyDescent="0.3">
      <c r="A200" s="94" t="s">
        <v>792</v>
      </c>
      <c r="B200" t="s">
        <v>774</v>
      </c>
      <c r="C200" s="50">
        <v>20800000</v>
      </c>
      <c r="D200" s="95">
        <v>0.1075</v>
      </c>
      <c r="E200" s="94">
        <v>46103</v>
      </c>
      <c r="F200" s="50">
        <f t="shared" si="4"/>
        <v>203</v>
      </c>
      <c r="G200" t="str">
        <f>VLOOKUP(F200,T!$A$2:$C$9,3,TRUE)</f>
        <v>5. 6-12 Months</v>
      </c>
    </row>
    <row r="201" spans="1:7" x14ac:dyDescent="0.3">
      <c r="A201" s="94" t="s">
        <v>792</v>
      </c>
      <c r="B201" t="s">
        <v>774</v>
      </c>
      <c r="C201" s="50">
        <v>20800000</v>
      </c>
      <c r="D201" s="95">
        <v>0.1075</v>
      </c>
      <c r="E201" s="94">
        <v>46105</v>
      </c>
      <c r="F201" s="50">
        <f t="shared" si="4"/>
        <v>205</v>
      </c>
      <c r="G201" t="str">
        <f>VLOOKUP(F201,T!$A$2:$C$9,3,TRUE)</f>
        <v>5. 6-12 Months</v>
      </c>
    </row>
    <row r="202" spans="1:7" x14ac:dyDescent="0.3">
      <c r="A202" s="94" t="s">
        <v>793</v>
      </c>
      <c r="B202" t="s">
        <v>774</v>
      </c>
      <c r="C202" s="50">
        <v>16650000</v>
      </c>
      <c r="D202" s="95">
        <v>0.09</v>
      </c>
      <c r="E202" s="94">
        <v>46106</v>
      </c>
      <c r="F202" s="50">
        <f t="shared" si="4"/>
        <v>206</v>
      </c>
      <c r="G202" t="str">
        <f>VLOOKUP(F202,T!$A$2:$C$9,3,TRUE)</f>
        <v>5. 6-12 Months</v>
      </c>
    </row>
    <row r="203" spans="1:7" x14ac:dyDescent="0.3">
      <c r="A203" s="94" t="s">
        <v>793</v>
      </c>
      <c r="B203" t="s">
        <v>774</v>
      </c>
      <c r="C203" s="50">
        <v>16650000</v>
      </c>
      <c r="D203" s="95">
        <v>0.09</v>
      </c>
      <c r="E203" s="94">
        <v>46107</v>
      </c>
      <c r="F203" s="50">
        <f t="shared" si="4"/>
        <v>207</v>
      </c>
      <c r="G203" t="str">
        <f>VLOOKUP(F203,T!$A$2:$C$9,3,TRUE)</f>
        <v>5. 6-12 Months</v>
      </c>
    </row>
    <row r="204" spans="1:7" x14ac:dyDescent="0.3">
      <c r="A204" s="94" t="s">
        <v>794</v>
      </c>
      <c r="B204" t="s">
        <v>774</v>
      </c>
      <c r="C204" s="50">
        <v>20833000</v>
      </c>
      <c r="D204" s="95">
        <v>8.0699999999999994E-2</v>
      </c>
      <c r="E204" s="94">
        <v>46107</v>
      </c>
      <c r="F204" s="50">
        <f t="shared" si="4"/>
        <v>207</v>
      </c>
      <c r="G204" t="str">
        <f>VLOOKUP(F204,T!$A$2:$C$9,3,TRUE)</f>
        <v>5. 6-12 Months</v>
      </c>
    </row>
    <row r="205" spans="1:7" x14ac:dyDescent="0.3">
      <c r="A205" s="94" t="s">
        <v>794</v>
      </c>
      <c r="B205" t="s">
        <v>774</v>
      </c>
      <c r="C205" s="50">
        <v>20833000</v>
      </c>
      <c r="D205" s="95">
        <v>8.0699999999999994E-2</v>
      </c>
      <c r="E205" s="94">
        <v>46107</v>
      </c>
      <c r="F205" s="50">
        <f t="shared" si="4"/>
        <v>207</v>
      </c>
      <c r="G205" t="str">
        <f>VLOOKUP(F205,T!$A$2:$C$9,3,TRUE)</f>
        <v>5. 6-12 Months</v>
      </c>
    </row>
    <row r="206" spans="1:7" x14ac:dyDescent="0.3">
      <c r="A206" s="94" t="s">
        <v>794</v>
      </c>
      <c r="B206" t="s">
        <v>774</v>
      </c>
      <c r="C206" s="50">
        <v>20833000</v>
      </c>
      <c r="D206" s="95">
        <v>8.0699999999999994E-2</v>
      </c>
      <c r="E206" s="94">
        <v>46107</v>
      </c>
      <c r="F206" s="50">
        <f t="shared" si="4"/>
        <v>207</v>
      </c>
      <c r="G206" t="str">
        <f>VLOOKUP(F206,T!$A$2:$C$9,3,TRUE)</f>
        <v>5. 6-12 Months</v>
      </c>
    </row>
    <row r="207" spans="1:7" x14ac:dyDescent="0.3">
      <c r="A207" s="94" t="s">
        <v>795</v>
      </c>
      <c r="B207" t="s">
        <v>774</v>
      </c>
      <c r="C207" s="50">
        <v>20833333.333333328</v>
      </c>
      <c r="D207" s="95">
        <v>0.1075</v>
      </c>
      <c r="E207" s="94">
        <v>46108</v>
      </c>
      <c r="F207" s="50">
        <f t="shared" si="4"/>
        <v>208</v>
      </c>
      <c r="G207" t="str">
        <f>VLOOKUP(F207,T!$A$2:$C$9,3,TRUE)</f>
        <v>5. 6-12 Months</v>
      </c>
    </row>
    <row r="208" spans="1:7" x14ac:dyDescent="0.3">
      <c r="A208" s="94" t="s">
        <v>795</v>
      </c>
      <c r="B208" t="s">
        <v>774</v>
      </c>
      <c r="C208" s="50">
        <v>20833333.333333328</v>
      </c>
      <c r="D208" s="95">
        <v>0.1075</v>
      </c>
      <c r="E208" s="94">
        <v>46108</v>
      </c>
      <c r="F208" s="50">
        <f t="shared" si="4"/>
        <v>208</v>
      </c>
      <c r="G208" t="str">
        <f>VLOOKUP(F208,T!$A$2:$C$9,3,TRUE)</f>
        <v>5. 6-12 Months</v>
      </c>
    </row>
    <row r="209" spans="1:7" x14ac:dyDescent="0.3">
      <c r="A209" s="94" t="s">
        <v>795</v>
      </c>
      <c r="B209" t="s">
        <v>774</v>
      </c>
      <c r="C209" s="50">
        <v>10416666.66666667</v>
      </c>
      <c r="D209" s="95">
        <v>0.1075</v>
      </c>
      <c r="E209" s="94">
        <v>46108</v>
      </c>
      <c r="F209" s="50">
        <f t="shared" si="4"/>
        <v>208</v>
      </c>
      <c r="G209" t="str">
        <f>VLOOKUP(F209,T!$A$2:$C$9,3,TRUE)</f>
        <v>5. 6-12 Months</v>
      </c>
    </row>
    <row r="210" spans="1:7" x14ac:dyDescent="0.3">
      <c r="A210" s="94" t="s">
        <v>795</v>
      </c>
      <c r="B210" t="s">
        <v>774</v>
      </c>
      <c r="C210" s="50">
        <v>10416666.66666667</v>
      </c>
      <c r="D210" s="95">
        <v>0.1075</v>
      </c>
      <c r="E210" s="94">
        <v>46108</v>
      </c>
      <c r="F210" s="50">
        <f t="shared" si="4"/>
        <v>208</v>
      </c>
      <c r="G210" t="str">
        <f>VLOOKUP(F210,T!$A$2:$C$9,3,TRUE)</f>
        <v>5. 6-12 Months</v>
      </c>
    </row>
    <row r="211" spans="1:7" x14ac:dyDescent="0.3">
      <c r="A211" s="94" t="s">
        <v>796</v>
      </c>
      <c r="B211" t="s">
        <v>774</v>
      </c>
      <c r="C211" s="50">
        <v>13888000</v>
      </c>
      <c r="D211" s="95">
        <v>8.2199999999999995E-2</v>
      </c>
      <c r="E211" s="94">
        <v>46109</v>
      </c>
      <c r="F211" s="50">
        <f t="shared" si="4"/>
        <v>209</v>
      </c>
      <c r="G211" t="str">
        <f>VLOOKUP(F211,T!$A$2:$C$9,3,TRUE)</f>
        <v>5. 6-12 Months</v>
      </c>
    </row>
    <row r="212" spans="1:7" x14ac:dyDescent="0.3">
      <c r="A212" s="94" t="s">
        <v>780</v>
      </c>
      <c r="B212" t="s">
        <v>774</v>
      </c>
      <c r="C212" s="50">
        <v>16666666.470000001</v>
      </c>
      <c r="D212" s="95">
        <v>8.0199999999999994E-2</v>
      </c>
      <c r="E212" s="94">
        <v>46110</v>
      </c>
      <c r="F212" s="50">
        <f t="shared" si="4"/>
        <v>210</v>
      </c>
      <c r="G212" t="str">
        <f>VLOOKUP(F212,T!$A$2:$C$9,3,TRUE)</f>
        <v>5. 6-12 Months</v>
      </c>
    </row>
    <row r="213" spans="1:7" x14ac:dyDescent="0.3">
      <c r="A213" s="94" t="s">
        <v>782</v>
      </c>
      <c r="B213" t="s">
        <v>774</v>
      </c>
      <c r="C213" s="50">
        <v>25000000</v>
      </c>
      <c r="D213" s="95">
        <v>8.5000000000000006E-2</v>
      </c>
      <c r="E213" s="94">
        <v>46111</v>
      </c>
      <c r="F213" s="50">
        <f t="shared" si="4"/>
        <v>211</v>
      </c>
      <c r="G213" t="str">
        <f>VLOOKUP(F213,T!$A$2:$C$9,3,TRUE)</f>
        <v>5. 6-12 Months</v>
      </c>
    </row>
    <row r="214" spans="1:7" x14ac:dyDescent="0.3">
      <c r="A214" s="94" t="s">
        <v>798</v>
      </c>
      <c r="B214" t="s">
        <v>774</v>
      </c>
      <c r="C214" s="50">
        <v>145833333.34</v>
      </c>
      <c r="D214" s="95">
        <v>0.11</v>
      </c>
      <c r="E214" s="94">
        <v>46111</v>
      </c>
      <c r="F214" s="50">
        <f t="shared" si="4"/>
        <v>211</v>
      </c>
      <c r="G214" t="str">
        <f>VLOOKUP(F214,T!$A$2:$C$9,3,TRUE)</f>
        <v>5. 6-12 Months</v>
      </c>
    </row>
    <row r="215" spans="1:7" x14ac:dyDescent="0.3">
      <c r="A215" s="94" t="s">
        <v>797</v>
      </c>
      <c r="B215" t="s">
        <v>774</v>
      </c>
      <c r="C215" s="50">
        <v>8250000</v>
      </c>
      <c r="D215" s="95">
        <v>0.12</v>
      </c>
      <c r="E215" s="94">
        <v>46112</v>
      </c>
      <c r="F215" s="50">
        <f t="shared" si="4"/>
        <v>212</v>
      </c>
      <c r="G215" t="str">
        <f>VLOOKUP(F215,T!$A$2:$C$9,3,TRUE)</f>
        <v>5. 6-12 Months</v>
      </c>
    </row>
    <row r="216" spans="1:7" x14ac:dyDescent="0.3">
      <c r="A216" s="94" t="s">
        <v>797</v>
      </c>
      <c r="B216" t="s">
        <v>774</v>
      </c>
      <c r="C216" s="50">
        <v>8250000</v>
      </c>
      <c r="D216" s="95">
        <v>0.12</v>
      </c>
      <c r="E216" s="94">
        <v>46112</v>
      </c>
      <c r="F216" s="50">
        <f t="shared" si="4"/>
        <v>212</v>
      </c>
      <c r="G216" t="str">
        <f>VLOOKUP(F216,T!$A$2:$C$9,3,TRUE)</f>
        <v>5. 6-12 Months</v>
      </c>
    </row>
    <row r="217" spans="1:7" x14ac:dyDescent="0.3">
      <c r="A217" s="94" t="s">
        <v>797</v>
      </c>
      <c r="B217" t="s">
        <v>774</v>
      </c>
      <c r="C217" s="50">
        <v>8250000</v>
      </c>
      <c r="D217" s="95">
        <v>0.12</v>
      </c>
      <c r="E217" s="94">
        <v>46112</v>
      </c>
      <c r="F217" s="50">
        <f t="shared" si="4"/>
        <v>212</v>
      </c>
      <c r="G217" t="str">
        <f>VLOOKUP(F217,T!$A$2:$C$9,3,TRUE)</f>
        <v>5. 6-12 Months</v>
      </c>
    </row>
    <row r="218" spans="1:7" x14ac:dyDescent="0.3">
      <c r="A218" s="94" t="s">
        <v>797</v>
      </c>
      <c r="B218" t="s">
        <v>774</v>
      </c>
      <c r="C218" s="50">
        <v>8250000</v>
      </c>
      <c r="D218" s="95">
        <v>0.12</v>
      </c>
      <c r="E218" s="94">
        <v>46112</v>
      </c>
      <c r="F218" s="50">
        <f t="shared" si="4"/>
        <v>212</v>
      </c>
      <c r="G218" t="str">
        <f>VLOOKUP(F218,T!$A$2:$C$9,3,TRUE)</f>
        <v>5. 6-12 Months</v>
      </c>
    </row>
    <row r="219" spans="1:7" x14ac:dyDescent="0.3">
      <c r="A219" s="94" t="s">
        <v>777</v>
      </c>
      <c r="B219" t="s">
        <v>774</v>
      </c>
      <c r="C219" s="50">
        <v>12500000</v>
      </c>
      <c r="D219" s="95">
        <v>9.2499999999999999E-2</v>
      </c>
      <c r="E219" s="94">
        <v>46127</v>
      </c>
      <c r="F219" s="50">
        <f t="shared" si="4"/>
        <v>227</v>
      </c>
      <c r="G219" t="str">
        <f>VLOOKUP(F219,T!$A$2:$C$9,3,TRUE)</f>
        <v>5. 6-12 Months</v>
      </c>
    </row>
    <row r="220" spans="1:7" x14ac:dyDescent="0.3">
      <c r="A220" s="94" t="s">
        <v>777</v>
      </c>
      <c r="B220" t="s">
        <v>774</v>
      </c>
      <c r="C220" s="50">
        <v>12500000</v>
      </c>
      <c r="D220" s="95">
        <v>9.2499999999999999E-2</v>
      </c>
      <c r="E220" s="94">
        <v>46127</v>
      </c>
      <c r="F220" s="50">
        <f t="shared" si="4"/>
        <v>227</v>
      </c>
      <c r="G220" t="str">
        <f>VLOOKUP(F220,T!$A$2:$C$9,3,TRUE)</f>
        <v>5. 6-12 Months</v>
      </c>
    </row>
    <row r="221" spans="1:7" x14ac:dyDescent="0.3">
      <c r="A221" s="94" t="s">
        <v>777</v>
      </c>
      <c r="B221" t="s">
        <v>774</v>
      </c>
      <c r="C221" s="50">
        <v>8333334</v>
      </c>
      <c r="D221" s="95">
        <v>9.2499999999999999E-2</v>
      </c>
      <c r="E221" s="94">
        <v>46127</v>
      </c>
      <c r="F221" s="50">
        <f t="shared" si="4"/>
        <v>227</v>
      </c>
      <c r="G221" t="str">
        <f>VLOOKUP(F221,T!$A$2:$C$9,3,TRUE)</f>
        <v>5. 6-12 Months</v>
      </c>
    </row>
    <row r="222" spans="1:7" x14ac:dyDescent="0.3">
      <c r="A222" t="s">
        <v>780</v>
      </c>
      <c r="B222" t="s">
        <v>774</v>
      </c>
      <c r="C222" s="50">
        <v>16666666.67</v>
      </c>
      <c r="D222" s="95">
        <v>8.0199999999999994E-2</v>
      </c>
      <c r="E222" s="94">
        <v>46127</v>
      </c>
      <c r="F222" s="50">
        <f t="shared" si="4"/>
        <v>227</v>
      </c>
      <c r="G222" t="str">
        <f>VLOOKUP(F222,T!$A$2:$C$9,3,TRUE)</f>
        <v>5. 6-12 Months</v>
      </c>
    </row>
    <row r="223" spans="1:7" x14ac:dyDescent="0.3">
      <c r="A223" t="s">
        <v>785</v>
      </c>
      <c r="B223" t="s">
        <v>774</v>
      </c>
      <c r="C223" s="50">
        <v>25000000</v>
      </c>
      <c r="D223" s="95">
        <v>8.0199999999999994E-2</v>
      </c>
      <c r="E223" s="94">
        <v>46130</v>
      </c>
      <c r="F223" s="50">
        <f t="shared" si="4"/>
        <v>230</v>
      </c>
      <c r="G223" t="str">
        <f>VLOOKUP(F223,T!$A$2:$C$9,3,TRUE)</f>
        <v>5. 6-12 Months</v>
      </c>
    </row>
    <row r="224" spans="1:7" x14ac:dyDescent="0.3">
      <c r="A224" t="s">
        <v>790</v>
      </c>
      <c r="B224" t="s">
        <v>774</v>
      </c>
      <c r="C224" s="50">
        <v>14801700.77</v>
      </c>
      <c r="D224" s="95">
        <v>0.12</v>
      </c>
      <c r="E224" s="94">
        <v>46131</v>
      </c>
      <c r="F224" s="50">
        <f t="shared" si="4"/>
        <v>231</v>
      </c>
      <c r="G224" t="str">
        <f>VLOOKUP(F224,T!$A$2:$C$9,3,TRUE)</f>
        <v>5. 6-12 Months</v>
      </c>
    </row>
    <row r="225" spans="1:7" x14ac:dyDescent="0.3">
      <c r="A225" t="s">
        <v>792</v>
      </c>
      <c r="B225" t="s">
        <v>774</v>
      </c>
      <c r="C225" s="50">
        <v>20800000</v>
      </c>
      <c r="D225" s="95">
        <v>0.1075</v>
      </c>
      <c r="E225" s="94">
        <v>46134</v>
      </c>
      <c r="F225" s="50">
        <f t="shared" si="4"/>
        <v>234</v>
      </c>
      <c r="G225" t="str">
        <f>VLOOKUP(F225,T!$A$2:$C$9,3,TRUE)</f>
        <v>5. 6-12 Months</v>
      </c>
    </row>
    <row r="226" spans="1:7" x14ac:dyDescent="0.3">
      <c r="A226" t="s">
        <v>799</v>
      </c>
      <c r="B226" t="s">
        <v>774</v>
      </c>
      <c r="C226" s="50">
        <v>50000000</v>
      </c>
      <c r="D226" s="95">
        <v>0.12</v>
      </c>
      <c r="E226" s="94">
        <v>46135</v>
      </c>
      <c r="F226" s="50">
        <f t="shared" si="4"/>
        <v>235</v>
      </c>
      <c r="G226" t="str">
        <f>VLOOKUP(F226,T!$A$2:$C$9,3,TRUE)</f>
        <v>5. 6-12 Months</v>
      </c>
    </row>
    <row r="227" spans="1:7" x14ac:dyDescent="0.3">
      <c r="A227" t="s">
        <v>799</v>
      </c>
      <c r="B227" t="s">
        <v>774</v>
      </c>
      <c r="C227" s="50">
        <v>50000000</v>
      </c>
      <c r="D227" s="95">
        <v>0.12</v>
      </c>
      <c r="E227" s="94">
        <v>46135</v>
      </c>
      <c r="F227" s="50">
        <f t="shared" si="4"/>
        <v>235</v>
      </c>
      <c r="G227" t="str">
        <f>VLOOKUP(F227,T!$A$2:$C$9,3,TRUE)</f>
        <v>5. 6-12 Months</v>
      </c>
    </row>
    <row r="228" spans="1:7" x14ac:dyDescent="0.3">
      <c r="A228" t="s">
        <v>799</v>
      </c>
      <c r="B228" t="s">
        <v>774</v>
      </c>
      <c r="C228" s="50">
        <v>50000000</v>
      </c>
      <c r="D228" s="95">
        <v>0.12</v>
      </c>
      <c r="E228" s="94">
        <v>46135</v>
      </c>
      <c r="F228" s="50">
        <f t="shared" si="4"/>
        <v>235</v>
      </c>
      <c r="G228" t="str">
        <f>VLOOKUP(F228,T!$A$2:$C$9,3,TRUE)</f>
        <v>5. 6-12 Months</v>
      </c>
    </row>
    <row r="229" spans="1:7" x14ac:dyDescent="0.3">
      <c r="A229" t="s">
        <v>792</v>
      </c>
      <c r="B229" t="s">
        <v>774</v>
      </c>
      <c r="C229" s="50">
        <v>20800000</v>
      </c>
      <c r="D229" s="95">
        <v>0.1075</v>
      </c>
      <c r="E229" s="94">
        <v>46136</v>
      </c>
      <c r="F229" s="50">
        <f t="shared" si="4"/>
        <v>236</v>
      </c>
      <c r="G229" t="str">
        <f>VLOOKUP(F229,T!$A$2:$C$9,3,TRUE)</f>
        <v>5. 6-12 Months</v>
      </c>
    </row>
    <row r="230" spans="1:7" x14ac:dyDescent="0.3">
      <c r="A230" t="s">
        <v>793</v>
      </c>
      <c r="B230" t="s">
        <v>774</v>
      </c>
      <c r="C230" s="50">
        <v>16650000</v>
      </c>
      <c r="D230" s="95">
        <v>0.09</v>
      </c>
      <c r="E230" s="94">
        <v>46137</v>
      </c>
      <c r="F230" s="50">
        <f t="shared" si="4"/>
        <v>237</v>
      </c>
      <c r="G230" t="str">
        <f>VLOOKUP(F230,T!$A$2:$C$9,3,TRUE)</f>
        <v>5. 6-12 Months</v>
      </c>
    </row>
    <row r="231" spans="1:7" x14ac:dyDescent="0.3">
      <c r="A231" t="s">
        <v>793</v>
      </c>
      <c r="B231" t="s">
        <v>774</v>
      </c>
      <c r="C231" s="50">
        <v>16650000</v>
      </c>
      <c r="D231" s="95">
        <v>0.09</v>
      </c>
      <c r="E231" s="94">
        <v>46138</v>
      </c>
      <c r="F231" s="50">
        <f t="shared" si="4"/>
        <v>238</v>
      </c>
      <c r="G231" t="str">
        <f>VLOOKUP(F231,T!$A$2:$C$9,3,TRUE)</f>
        <v>5. 6-12 Months</v>
      </c>
    </row>
    <row r="232" spans="1:7" x14ac:dyDescent="0.3">
      <c r="A232" t="s">
        <v>794</v>
      </c>
      <c r="B232" t="s">
        <v>774</v>
      </c>
      <c r="C232" s="50">
        <v>20833000</v>
      </c>
      <c r="D232" s="95">
        <v>8.0699999999999994E-2</v>
      </c>
      <c r="E232" s="94">
        <v>46138</v>
      </c>
      <c r="F232" s="50">
        <f t="shared" si="4"/>
        <v>238</v>
      </c>
      <c r="G232" t="str">
        <f>VLOOKUP(F232,T!$A$2:$C$9,3,TRUE)</f>
        <v>5. 6-12 Months</v>
      </c>
    </row>
    <row r="233" spans="1:7" x14ac:dyDescent="0.3">
      <c r="A233" t="s">
        <v>794</v>
      </c>
      <c r="B233" t="s">
        <v>774</v>
      </c>
      <c r="C233" s="50">
        <v>20833000</v>
      </c>
      <c r="D233" s="95">
        <v>8.0699999999999994E-2</v>
      </c>
      <c r="E233" s="94">
        <v>46138</v>
      </c>
      <c r="F233" s="50">
        <f t="shared" si="4"/>
        <v>238</v>
      </c>
      <c r="G233" t="str">
        <f>VLOOKUP(F233,T!$A$2:$C$9,3,TRUE)</f>
        <v>5. 6-12 Months</v>
      </c>
    </row>
    <row r="234" spans="1:7" x14ac:dyDescent="0.3">
      <c r="A234" t="s">
        <v>794</v>
      </c>
      <c r="B234" t="s">
        <v>774</v>
      </c>
      <c r="C234" s="50">
        <v>20833000</v>
      </c>
      <c r="D234" s="95">
        <v>8.0699999999999994E-2</v>
      </c>
      <c r="E234" s="94">
        <v>46138</v>
      </c>
      <c r="F234" s="50">
        <f t="shared" si="4"/>
        <v>238</v>
      </c>
      <c r="G234" t="str">
        <f>VLOOKUP(F234,T!$A$2:$C$9,3,TRUE)</f>
        <v>5. 6-12 Months</v>
      </c>
    </row>
    <row r="235" spans="1:7" x14ac:dyDescent="0.3">
      <c r="A235" t="s">
        <v>795</v>
      </c>
      <c r="B235" t="s">
        <v>774</v>
      </c>
      <c r="C235" s="50">
        <v>20833333.333333328</v>
      </c>
      <c r="D235" s="95">
        <v>0.1075</v>
      </c>
      <c r="E235" s="94">
        <v>46139</v>
      </c>
      <c r="F235" s="50">
        <f t="shared" si="4"/>
        <v>239</v>
      </c>
      <c r="G235" t="str">
        <f>VLOOKUP(F235,T!$A$2:$C$9,3,TRUE)</f>
        <v>5. 6-12 Months</v>
      </c>
    </row>
    <row r="236" spans="1:7" x14ac:dyDescent="0.3">
      <c r="A236" t="s">
        <v>795</v>
      </c>
      <c r="B236" t="s">
        <v>774</v>
      </c>
      <c r="C236" s="50">
        <v>20833333.333333328</v>
      </c>
      <c r="D236" s="95">
        <v>0.1075</v>
      </c>
      <c r="E236" s="94">
        <v>46139</v>
      </c>
      <c r="F236" s="50">
        <f t="shared" si="4"/>
        <v>239</v>
      </c>
      <c r="G236" t="str">
        <f>VLOOKUP(F236,T!$A$2:$C$9,3,TRUE)</f>
        <v>5. 6-12 Months</v>
      </c>
    </row>
    <row r="237" spans="1:7" x14ac:dyDescent="0.3">
      <c r="A237" t="s">
        <v>795</v>
      </c>
      <c r="B237" t="s">
        <v>774</v>
      </c>
      <c r="C237" s="50">
        <v>10416666.66666667</v>
      </c>
      <c r="D237" s="95">
        <v>0.1075</v>
      </c>
      <c r="E237" s="94">
        <v>46139</v>
      </c>
      <c r="F237" s="50">
        <f t="shared" si="4"/>
        <v>239</v>
      </c>
      <c r="G237" t="str">
        <f>VLOOKUP(F237,T!$A$2:$C$9,3,TRUE)</f>
        <v>5. 6-12 Months</v>
      </c>
    </row>
    <row r="238" spans="1:7" x14ac:dyDescent="0.3">
      <c r="A238" t="s">
        <v>795</v>
      </c>
      <c r="B238" t="s">
        <v>774</v>
      </c>
      <c r="C238" s="50">
        <v>10416666.66666667</v>
      </c>
      <c r="D238" s="95">
        <v>0.1075</v>
      </c>
      <c r="E238" s="94">
        <v>46139</v>
      </c>
      <c r="F238" s="50">
        <f t="shared" si="4"/>
        <v>239</v>
      </c>
      <c r="G238" t="str">
        <f>VLOOKUP(F238,T!$A$2:$C$9,3,TRUE)</f>
        <v>5. 6-12 Months</v>
      </c>
    </row>
    <row r="239" spans="1:7" x14ac:dyDescent="0.3">
      <c r="A239" t="s">
        <v>796</v>
      </c>
      <c r="B239" t="s">
        <v>774</v>
      </c>
      <c r="C239" s="50">
        <v>13888000</v>
      </c>
      <c r="D239" s="95">
        <v>8.2199999999999995E-2</v>
      </c>
      <c r="E239" s="94">
        <v>46140</v>
      </c>
      <c r="F239" s="50">
        <f t="shared" si="4"/>
        <v>240</v>
      </c>
      <c r="G239" t="str">
        <f>VLOOKUP(F239,T!$A$2:$C$9,3,TRUE)</f>
        <v>5. 6-12 Months</v>
      </c>
    </row>
    <row r="240" spans="1:7" x14ac:dyDescent="0.3">
      <c r="A240" t="s">
        <v>780</v>
      </c>
      <c r="B240" t="s">
        <v>774</v>
      </c>
      <c r="C240" s="50">
        <v>16666666.470000001</v>
      </c>
      <c r="D240" s="95">
        <v>8.0199999999999994E-2</v>
      </c>
      <c r="E240" s="94">
        <v>46141</v>
      </c>
      <c r="F240" s="50">
        <f t="shared" si="4"/>
        <v>241</v>
      </c>
      <c r="G240" t="str">
        <f>VLOOKUP(F240,T!$A$2:$C$9,3,TRUE)</f>
        <v>5. 6-12 Months</v>
      </c>
    </row>
    <row r="241" spans="1:7" x14ac:dyDescent="0.3">
      <c r="A241" t="s">
        <v>797</v>
      </c>
      <c r="B241" t="s">
        <v>774</v>
      </c>
      <c r="C241" s="50">
        <v>8250000</v>
      </c>
      <c r="D241" s="95">
        <v>0.12</v>
      </c>
      <c r="E241" s="94">
        <v>46142</v>
      </c>
      <c r="F241" s="50">
        <f t="shared" si="4"/>
        <v>242</v>
      </c>
      <c r="G241" t="str">
        <f>VLOOKUP(F241,T!$A$2:$C$9,3,TRUE)</f>
        <v>5. 6-12 Months</v>
      </c>
    </row>
    <row r="242" spans="1:7" x14ac:dyDescent="0.3">
      <c r="A242" t="s">
        <v>797</v>
      </c>
      <c r="B242" t="s">
        <v>774</v>
      </c>
      <c r="C242" s="50">
        <v>8250000</v>
      </c>
      <c r="D242" s="95">
        <v>0.12</v>
      </c>
      <c r="E242" s="94">
        <v>46142</v>
      </c>
      <c r="F242" s="50">
        <f t="shared" si="4"/>
        <v>242</v>
      </c>
      <c r="G242" t="str">
        <f>VLOOKUP(F242,T!$A$2:$C$9,3,TRUE)</f>
        <v>5. 6-12 Months</v>
      </c>
    </row>
    <row r="243" spans="1:7" x14ac:dyDescent="0.3">
      <c r="A243" t="s">
        <v>797</v>
      </c>
      <c r="B243" t="s">
        <v>774</v>
      </c>
      <c r="C243" s="50">
        <v>8250000</v>
      </c>
      <c r="D243" s="95">
        <v>0.12</v>
      </c>
      <c r="E243" s="94">
        <v>46142</v>
      </c>
      <c r="F243" s="50">
        <f t="shared" si="4"/>
        <v>242</v>
      </c>
      <c r="G243" t="str">
        <f>VLOOKUP(F243,T!$A$2:$C$9,3,TRUE)</f>
        <v>5. 6-12 Months</v>
      </c>
    </row>
    <row r="244" spans="1:7" x14ac:dyDescent="0.3">
      <c r="A244" t="s">
        <v>797</v>
      </c>
      <c r="B244" t="s">
        <v>774</v>
      </c>
      <c r="C244" s="50">
        <v>8250000</v>
      </c>
      <c r="D244" s="95">
        <v>0.12</v>
      </c>
      <c r="E244" s="94">
        <v>46142</v>
      </c>
      <c r="F244" s="50">
        <f t="shared" si="4"/>
        <v>242</v>
      </c>
      <c r="G244" t="str">
        <f>VLOOKUP(F244,T!$A$2:$C$9,3,TRUE)</f>
        <v>5. 6-12 Months</v>
      </c>
    </row>
    <row r="245" spans="1:7" x14ac:dyDescent="0.3">
      <c r="A245" t="s">
        <v>777</v>
      </c>
      <c r="B245" t="s">
        <v>774</v>
      </c>
      <c r="C245" s="50">
        <v>12500000</v>
      </c>
      <c r="D245" s="95">
        <v>9.2499999999999999E-2</v>
      </c>
      <c r="E245" s="94">
        <v>46157</v>
      </c>
      <c r="F245" s="50">
        <f t="shared" si="4"/>
        <v>257</v>
      </c>
      <c r="G245" t="str">
        <f>VLOOKUP(F245,T!$A$2:$C$9,3,TRUE)</f>
        <v>5. 6-12 Months</v>
      </c>
    </row>
    <row r="246" spans="1:7" x14ac:dyDescent="0.3">
      <c r="A246" t="s">
        <v>777</v>
      </c>
      <c r="B246" t="s">
        <v>774</v>
      </c>
      <c r="C246" s="50">
        <v>12500000</v>
      </c>
      <c r="D246" s="95">
        <v>9.2499999999999999E-2</v>
      </c>
      <c r="E246" s="94">
        <v>46157</v>
      </c>
      <c r="F246" s="50">
        <f t="shared" si="4"/>
        <v>257</v>
      </c>
      <c r="G246" t="str">
        <f>VLOOKUP(F246,T!$A$2:$C$9,3,TRUE)</f>
        <v>5. 6-12 Months</v>
      </c>
    </row>
    <row r="247" spans="1:7" x14ac:dyDescent="0.3">
      <c r="A247" t="s">
        <v>777</v>
      </c>
      <c r="B247" t="s">
        <v>774</v>
      </c>
      <c r="C247" s="50">
        <v>8333334</v>
      </c>
      <c r="D247" s="95">
        <v>9.2499999999999999E-2</v>
      </c>
      <c r="E247" s="94">
        <v>46157</v>
      </c>
      <c r="F247" s="50">
        <f t="shared" si="4"/>
        <v>257</v>
      </c>
      <c r="G247" t="str">
        <f>VLOOKUP(F247,T!$A$2:$C$9,3,TRUE)</f>
        <v>5. 6-12 Months</v>
      </c>
    </row>
    <row r="248" spans="1:7" x14ac:dyDescent="0.3">
      <c r="A248" t="s">
        <v>780</v>
      </c>
      <c r="B248" t="s">
        <v>774</v>
      </c>
      <c r="C248" s="50">
        <v>16666666.67</v>
      </c>
      <c r="D248" s="95">
        <v>8.0199999999999994E-2</v>
      </c>
      <c r="E248" s="94">
        <v>46157</v>
      </c>
      <c r="F248" s="50">
        <f t="shared" si="4"/>
        <v>257</v>
      </c>
      <c r="G248" t="str">
        <f>VLOOKUP(F248,T!$A$2:$C$9,3,TRUE)</f>
        <v>5. 6-12 Months</v>
      </c>
    </row>
    <row r="249" spans="1:7" x14ac:dyDescent="0.3">
      <c r="A249" t="s">
        <v>785</v>
      </c>
      <c r="B249" t="s">
        <v>774</v>
      </c>
      <c r="C249" s="50">
        <v>25000000</v>
      </c>
      <c r="D249" s="95">
        <v>8.0199999999999994E-2</v>
      </c>
      <c r="E249" s="94">
        <v>46160</v>
      </c>
      <c r="F249" s="50">
        <f t="shared" si="4"/>
        <v>260</v>
      </c>
      <c r="G249" t="str">
        <f>VLOOKUP(F249,T!$A$2:$C$9,3,TRUE)</f>
        <v>5. 6-12 Months</v>
      </c>
    </row>
    <row r="250" spans="1:7" x14ac:dyDescent="0.3">
      <c r="A250" t="s">
        <v>790</v>
      </c>
      <c r="B250" t="s">
        <v>774</v>
      </c>
      <c r="C250" s="50">
        <v>15187778.68</v>
      </c>
      <c r="D250" s="95">
        <v>0.12</v>
      </c>
      <c r="E250" s="94">
        <v>46161</v>
      </c>
      <c r="F250" s="50">
        <f t="shared" si="4"/>
        <v>261</v>
      </c>
      <c r="G250" t="str">
        <f>VLOOKUP(F250,T!$A$2:$C$9,3,TRUE)</f>
        <v>5. 6-12 Months</v>
      </c>
    </row>
    <row r="251" spans="1:7" x14ac:dyDescent="0.3">
      <c r="A251" t="s">
        <v>782</v>
      </c>
      <c r="B251" t="s">
        <v>774</v>
      </c>
      <c r="C251" s="50">
        <v>25000000</v>
      </c>
      <c r="D251" s="95">
        <v>8.5000000000000006E-2</v>
      </c>
      <c r="E251" s="94">
        <v>46162</v>
      </c>
      <c r="F251" s="50">
        <f t="shared" si="4"/>
        <v>262</v>
      </c>
      <c r="G251" t="str">
        <f>VLOOKUP(F251,T!$A$2:$C$9,3,TRUE)</f>
        <v>5. 6-12 Months</v>
      </c>
    </row>
    <row r="252" spans="1:7" x14ac:dyDescent="0.3">
      <c r="A252" t="s">
        <v>800</v>
      </c>
      <c r="B252" t="s">
        <v>774</v>
      </c>
      <c r="C252" s="50">
        <v>50000000</v>
      </c>
      <c r="D252" s="95">
        <v>9.8500000000000004E-2</v>
      </c>
      <c r="E252" s="94">
        <v>46163</v>
      </c>
      <c r="F252" s="50">
        <f t="shared" si="4"/>
        <v>263</v>
      </c>
      <c r="G252" t="str">
        <f>VLOOKUP(F252,T!$A$2:$C$9,3,TRUE)</f>
        <v>5. 6-12 Months</v>
      </c>
    </row>
    <row r="253" spans="1:7" x14ac:dyDescent="0.3">
      <c r="A253" t="s">
        <v>792</v>
      </c>
      <c r="B253" t="s">
        <v>774</v>
      </c>
      <c r="C253" s="50">
        <v>20800000</v>
      </c>
      <c r="D253" s="95">
        <v>0.1075</v>
      </c>
      <c r="E253" s="94">
        <v>46164</v>
      </c>
      <c r="F253" s="50">
        <f t="shared" si="4"/>
        <v>264</v>
      </c>
      <c r="G253" t="str">
        <f>VLOOKUP(F253,T!$A$2:$C$9,3,TRUE)</f>
        <v>5. 6-12 Months</v>
      </c>
    </row>
    <row r="254" spans="1:7" x14ac:dyDescent="0.3">
      <c r="A254" t="s">
        <v>792</v>
      </c>
      <c r="B254" t="s">
        <v>774</v>
      </c>
      <c r="C254" s="50">
        <v>20800000</v>
      </c>
      <c r="D254" s="95">
        <v>0.1075</v>
      </c>
      <c r="E254" s="94">
        <v>46166</v>
      </c>
      <c r="F254" s="50">
        <f t="shared" si="4"/>
        <v>266</v>
      </c>
      <c r="G254" t="str">
        <f>VLOOKUP(F254,T!$A$2:$C$9,3,TRUE)</f>
        <v>5. 6-12 Months</v>
      </c>
    </row>
    <row r="255" spans="1:7" x14ac:dyDescent="0.3">
      <c r="A255" t="s">
        <v>793</v>
      </c>
      <c r="B255" t="s">
        <v>774</v>
      </c>
      <c r="C255" s="50">
        <v>16650000</v>
      </c>
      <c r="D255" s="95">
        <v>0.09</v>
      </c>
      <c r="E255" s="94">
        <v>46167</v>
      </c>
      <c r="F255" s="50">
        <f t="shared" si="4"/>
        <v>267</v>
      </c>
      <c r="G255" t="str">
        <f>VLOOKUP(F255,T!$A$2:$C$9,3,TRUE)</f>
        <v>5. 6-12 Months</v>
      </c>
    </row>
    <row r="256" spans="1:7" x14ac:dyDescent="0.3">
      <c r="A256" t="s">
        <v>793</v>
      </c>
      <c r="B256" t="s">
        <v>774</v>
      </c>
      <c r="C256" s="50">
        <v>16650000</v>
      </c>
      <c r="D256" s="95">
        <v>0.09</v>
      </c>
      <c r="E256" s="94">
        <v>46168</v>
      </c>
      <c r="F256" s="50">
        <f t="shared" si="4"/>
        <v>268</v>
      </c>
      <c r="G256" t="str">
        <f>VLOOKUP(F256,T!$A$2:$C$9,3,TRUE)</f>
        <v>5. 6-12 Months</v>
      </c>
    </row>
    <row r="257" spans="1:7" x14ac:dyDescent="0.3">
      <c r="A257" t="s">
        <v>794</v>
      </c>
      <c r="B257" t="s">
        <v>774</v>
      </c>
      <c r="C257" s="50">
        <v>20833000</v>
      </c>
      <c r="D257" s="95">
        <v>8.0699999999999994E-2</v>
      </c>
      <c r="E257" s="94">
        <v>46168</v>
      </c>
      <c r="F257" s="50">
        <f t="shared" si="4"/>
        <v>268</v>
      </c>
      <c r="G257" t="str">
        <f>VLOOKUP(F257,T!$A$2:$C$9,3,TRUE)</f>
        <v>5. 6-12 Months</v>
      </c>
    </row>
    <row r="258" spans="1:7" x14ac:dyDescent="0.3">
      <c r="A258" t="s">
        <v>794</v>
      </c>
      <c r="B258" t="s">
        <v>774</v>
      </c>
      <c r="C258" s="50">
        <v>20833000</v>
      </c>
      <c r="D258" s="95">
        <v>8.0699999999999994E-2</v>
      </c>
      <c r="E258" s="94">
        <v>46168</v>
      </c>
      <c r="F258" s="50">
        <f t="shared" si="4"/>
        <v>268</v>
      </c>
      <c r="G258" t="str">
        <f>VLOOKUP(F258,T!$A$2:$C$9,3,TRUE)</f>
        <v>5. 6-12 Months</v>
      </c>
    </row>
    <row r="259" spans="1:7" x14ac:dyDescent="0.3">
      <c r="A259" t="s">
        <v>794</v>
      </c>
      <c r="B259" t="s">
        <v>774</v>
      </c>
      <c r="C259" s="50">
        <v>20833000</v>
      </c>
      <c r="D259" s="95">
        <v>8.0699999999999994E-2</v>
      </c>
      <c r="E259" s="94">
        <v>46168</v>
      </c>
      <c r="F259" s="50">
        <f t="shared" ref="F259:F322" si="5">E259-$F$1</f>
        <v>268</v>
      </c>
      <c r="G259" t="str">
        <f>VLOOKUP(F259,T!$A$2:$C$9,3,TRUE)</f>
        <v>5. 6-12 Months</v>
      </c>
    </row>
    <row r="260" spans="1:7" x14ac:dyDescent="0.3">
      <c r="A260" t="s">
        <v>795</v>
      </c>
      <c r="B260" t="s">
        <v>774</v>
      </c>
      <c r="C260" s="50">
        <v>20833333.333333328</v>
      </c>
      <c r="D260" s="95">
        <v>0.1075</v>
      </c>
      <c r="E260" s="94">
        <v>46169</v>
      </c>
      <c r="F260" s="50">
        <f t="shared" si="5"/>
        <v>269</v>
      </c>
      <c r="G260" t="str">
        <f>VLOOKUP(F260,T!$A$2:$C$9,3,TRUE)</f>
        <v>5. 6-12 Months</v>
      </c>
    </row>
    <row r="261" spans="1:7" x14ac:dyDescent="0.3">
      <c r="A261" t="s">
        <v>795</v>
      </c>
      <c r="B261" t="s">
        <v>774</v>
      </c>
      <c r="C261" s="50">
        <v>20833333.333333328</v>
      </c>
      <c r="D261" s="95">
        <v>0.1075</v>
      </c>
      <c r="E261" s="94">
        <v>46169</v>
      </c>
      <c r="F261" s="50">
        <f t="shared" si="5"/>
        <v>269</v>
      </c>
      <c r="G261" t="str">
        <f>VLOOKUP(F261,T!$A$2:$C$9,3,TRUE)</f>
        <v>5. 6-12 Months</v>
      </c>
    </row>
    <row r="262" spans="1:7" x14ac:dyDescent="0.3">
      <c r="A262" t="s">
        <v>795</v>
      </c>
      <c r="B262" t="s">
        <v>774</v>
      </c>
      <c r="C262" s="50">
        <v>10416666.66666667</v>
      </c>
      <c r="D262" s="95">
        <v>0.1075</v>
      </c>
      <c r="E262" s="94">
        <v>46169</v>
      </c>
      <c r="F262" s="50">
        <f t="shared" si="5"/>
        <v>269</v>
      </c>
      <c r="G262" t="str">
        <f>VLOOKUP(F262,T!$A$2:$C$9,3,TRUE)</f>
        <v>5. 6-12 Months</v>
      </c>
    </row>
    <row r="263" spans="1:7" x14ac:dyDescent="0.3">
      <c r="A263" t="s">
        <v>795</v>
      </c>
      <c r="B263" t="s">
        <v>774</v>
      </c>
      <c r="C263" s="50">
        <v>10416666.66666667</v>
      </c>
      <c r="D263" s="95">
        <v>0.1075</v>
      </c>
      <c r="E263" s="94">
        <v>46169</v>
      </c>
      <c r="F263" s="50">
        <f t="shared" si="5"/>
        <v>269</v>
      </c>
      <c r="G263" t="str">
        <f>VLOOKUP(F263,T!$A$2:$C$9,3,TRUE)</f>
        <v>5. 6-12 Months</v>
      </c>
    </row>
    <row r="264" spans="1:7" x14ac:dyDescent="0.3">
      <c r="A264" t="s">
        <v>796</v>
      </c>
      <c r="B264" t="s">
        <v>774</v>
      </c>
      <c r="C264" s="50">
        <v>13888000</v>
      </c>
      <c r="D264" s="95">
        <v>8.2199999999999995E-2</v>
      </c>
      <c r="E264" s="94">
        <v>46170</v>
      </c>
      <c r="F264" s="50">
        <f t="shared" si="5"/>
        <v>270</v>
      </c>
      <c r="G264" t="str">
        <f>VLOOKUP(F264,T!$A$2:$C$9,3,TRUE)</f>
        <v>5. 6-12 Months</v>
      </c>
    </row>
    <row r="265" spans="1:7" x14ac:dyDescent="0.3">
      <c r="A265" t="s">
        <v>800</v>
      </c>
      <c r="B265" t="s">
        <v>774</v>
      </c>
      <c r="C265" s="50">
        <v>50000000</v>
      </c>
      <c r="D265" s="95">
        <v>9.8500000000000004E-2</v>
      </c>
      <c r="E265" s="94">
        <v>46170</v>
      </c>
      <c r="F265" s="50">
        <f t="shared" si="5"/>
        <v>270</v>
      </c>
      <c r="G265" t="str">
        <f>VLOOKUP(F265,T!$A$2:$C$9,3,TRUE)</f>
        <v>5. 6-12 Months</v>
      </c>
    </row>
    <row r="266" spans="1:7" x14ac:dyDescent="0.3">
      <c r="A266" t="s">
        <v>780</v>
      </c>
      <c r="B266" t="s">
        <v>774</v>
      </c>
      <c r="C266" s="50">
        <v>16666666.470000001</v>
      </c>
      <c r="D266" s="95">
        <v>8.0199999999999994E-2</v>
      </c>
      <c r="E266" s="94">
        <v>46171</v>
      </c>
      <c r="F266" s="50">
        <f t="shared" si="5"/>
        <v>271</v>
      </c>
      <c r="G266" t="str">
        <f>VLOOKUP(F266,T!$A$2:$C$9,3,TRUE)</f>
        <v>5. 6-12 Months</v>
      </c>
    </row>
    <row r="267" spans="1:7" x14ac:dyDescent="0.3">
      <c r="A267" t="s">
        <v>797</v>
      </c>
      <c r="B267" t="s">
        <v>774</v>
      </c>
      <c r="C267" s="50">
        <v>8250000</v>
      </c>
      <c r="D267" s="95">
        <v>0.12</v>
      </c>
      <c r="E267" s="94">
        <v>46173</v>
      </c>
      <c r="F267" s="50">
        <f t="shared" si="5"/>
        <v>273</v>
      </c>
      <c r="G267" t="str">
        <f>VLOOKUP(F267,T!$A$2:$C$9,3,TRUE)</f>
        <v>5. 6-12 Months</v>
      </c>
    </row>
    <row r="268" spans="1:7" x14ac:dyDescent="0.3">
      <c r="A268" t="s">
        <v>797</v>
      </c>
      <c r="B268" t="s">
        <v>774</v>
      </c>
      <c r="C268" s="50">
        <v>8250000</v>
      </c>
      <c r="D268" s="95">
        <v>0.12</v>
      </c>
      <c r="E268" s="94">
        <v>46173</v>
      </c>
      <c r="F268" s="50">
        <f t="shared" si="5"/>
        <v>273</v>
      </c>
      <c r="G268" t="str">
        <f>VLOOKUP(F268,T!$A$2:$C$9,3,TRUE)</f>
        <v>5. 6-12 Months</v>
      </c>
    </row>
    <row r="269" spans="1:7" x14ac:dyDescent="0.3">
      <c r="A269" t="s">
        <v>797</v>
      </c>
      <c r="B269" t="s">
        <v>774</v>
      </c>
      <c r="C269" s="50">
        <v>8250000</v>
      </c>
      <c r="D269" s="95">
        <v>0.12</v>
      </c>
      <c r="E269" s="94">
        <v>46173</v>
      </c>
      <c r="F269" s="50">
        <f t="shared" si="5"/>
        <v>273</v>
      </c>
      <c r="G269" t="str">
        <f>VLOOKUP(F269,T!$A$2:$C$9,3,TRUE)</f>
        <v>5. 6-12 Months</v>
      </c>
    </row>
    <row r="270" spans="1:7" x14ac:dyDescent="0.3">
      <c r="A270" t="s">
        <v>797</v>
      </c>
      <c r="B270" t="s">
        <v>774</v>
      </c>
      <c r="C270" s="50">
        <v>8250000</v>
      </c>
      <c r="D270" s="95">
        <v>0.12</v>
      </c>
      <c r="E270" s="94">
        <v>46173</v>
      </c>
      <c r="F270" s="50">
        <f t="shared" si="5"/>
        <v>273</v>
      </c>
      <c r="G270" t="str">
        <f>VLOOKUP(F270,T!$A$2:$C$9,3,TRUE)</f>
        <v>5. 6-12 Months</v>
      </c>
    </row>
    <row r="271" spans="1:7" x14ac:dyDescent="0.3">
      <c r="A271" t="s">
        <v>773</v>
      </c>
      <c r="B271" t="s">
        <v>774</v>
      </c>
      <c r="C271" s="50">
        <v>50000000</v>
      </c>
      <c r="D271" s="95">
        <v>0.12</v>
      </c>
      <c r="E271" s="94">
        <v>46186</v>
      </c>
      <c r="F271" s="50">
        <f t="shared" si="5"/>
        <v>286</v>
      </c>
      <c r="G271" t="str">
        <f>VLOOKUP(F271,T!$A$2:$C$9,3,TRUE)</f>
        <v>5. 6-12 Months</v>
      </c>
    </row>
    <row r="272" spans="1:7" x14ac:dyDescent="0.3">
      <c r="A272" t="s">
        <v>773</v>
      </c>
      <c r="B272" t="s">
        <v>774</v>
      </c>
      <c r="C272" s="50">
        <v>25000000</v>
      </c>
      <c r="D272" s="95">
        <v>0.12</v>
      </c>
      <c r="E272" s="94">
        <v>46187</v>
      </c>
      <c r="F272" s="50">
        <f t="shared" si="5"/>
        <v>287</v>
      </c>
      <c r="G272" t="str">
        <f>VLOOKUP(F272,T!$A$2:$C$9,3,TRUE)</f>
        <v>5. 6-12 Months</v>
      </c>
    </row>
    <row r="273" spans="1:7" x14ac:dyDescent="0.3">
      <c r="A273" t="s">
        <v>777</v>
      </c>
      <c r="B273" t="s">
        <v>774</v>
      </c>
      <c r="C273" s="50">
        <v>12500000</v>
      </c>
      <c r="D273" s="95">
        <v>9.2499999999999999E-2</v>
      </c>
      <c r="E273" s="94">
        <v>46188</v>
      </c>
      <c r="F273" s="50">
        <f t="shared" si="5"/>
        <v>288</v>
      </c>
      <c r="G273" t="str">
        <f>VLOOKUP(F273,T!$A$2:$C$9,3,TRUE)</f>
        <v>5. 6-12 Months</v>
      </c>
    </row>
    <row r="274" spans="1:7" x14ac:dyDescent="0.3">
      <c r="A274" t="s">
        <v>777</v>
      </c>
      <c r="B274" t="s">
        <v>774</v>
      </c>
      <c r="C274" s="50">
        <v>12500000</v>
      </c>
      <c r="D274" s="95">
        <v>9.2499999999999999E-2</v>
      </c>
      <c r="E274" s="94">
        <v>46188</v>
      </c>
      <c r="F274" s="50">
        <f t="shared" si="5"/>
        <v>288</v>
      </c>
      <c r="G274" t="str">
        <f>VLOOKUP(F274,T!$A$2:$C$9,3,TRUE)</f>
        <v>5. 6-12 Months</v>
      </c>
    </row>
    <row r="275" spans="1:7" x14ac:dyDescent="0.3">
      <c r="A275" t="s">
        <v>777</v>
      </c>
      <c r="B275" t="s">
        <v>774</v>
      </c>
      <c r="C275" s="50">
        <v>8333334</v>
      </c>
      <c r="D275" s="95">
        <v>9.2499999999999999E-2</v>
      </c>
      <c r="E275" s="94">
        <v>46188</v>
      </c>
      <c r="F275" s="50">
        <f t="shared" si="5"/>
        <v>288</v>
      </c>
      <c r="G275" t="str">
        <f>VLOOKUP(F275,T!$A$2:$C$9,3,TRUE)</f>
        <v>5. 6-12 Months</v>
      </c>
    </row>
    <row r="276" spans="1:7" x14ac:dyDescent="0.3">
      <c r="A276" t="s">
        <v>780</v>
      </c>
      <c r="B276" t="s">
        <v>774</v>
      </c>
      <c r="C276" s="50">
        <v>16666666.67</v>
      </c>
      <c r="D276" s="95">
        <v>8.0199999999999994E-2</v>
      </c>
      <c r="E276" s="94">
        <v>46188</v>
      </c>
      <c r="F276" s="50">
        <f t="shared" si="5"/>
        <v>288</v>
      </c>
      <c r="G276" t="str">
        <f>VLOOKUP(F276,T!$A$2:$C$9,3,TRUE)</f>
        <v>5. 6-12 Months</v>
      </c>
    </row>
    <row r="277" spans="1:7" x14ac:dyDescent="0.3">
      <c r="A277" t="s">
        <v>785</v>
      </c>
      <c r="B277" t="s">
        <v>774</v>
      </c>
      <c r="C277" s="50">
        <v>25000000</v>
      </c>
      <c r="D277" s="95">
        <v>8.0199999999999994E-2</v>
      </c>
      <c r="E277" s="94">
        <v>46191</v>
      </c>
      <c r="F277" s="50">
        <f t="shared" si="5"/>
        <v>291</v>
      </c>
      <c r="G277" t="str">
        <f>VLOOKUP(F277,T!$A$2:$C$9,3,TRUE)</f>
        <v>5. 6-12 Months</v>
      </c>
    </row>
    <row r="278" spans="1:7" x14ac:dyDescent="0.3">
      <c r="A278" t="s">
        <v>790</v>
      </c>
      <c r="B278" t="s">
        <v>774</v>
      </c>
      <c r="C278" s="50">
        <v>15107346.82</v>
      </c>
      <c r="D278" s="95">
        <v>0.12</v>
      </c>
      <c r="E278" s="94">
        <v>46192</v>
      </c>
      <c r="F278" s="50">
        <f t="shared" si="5"/>
        <v>292</v>
      </c>
      <c r="G278" t="str">
        <f>VLOOKUP(F278,T!$A$2:$C$9,3,TRUE)</f>
        <v>5. 6-12 Months</v>
      </c>
    </row>
    <row r="279" spans="1:7" x14ac:dyDescent="0.3">
      <c r="A279" t="s">
        <v>782</v>
      </c>
      <c r="B279" t="s">
        <v>774</v>
      </c>
      <c r="C279" s="50">
        <v>25000000</v>
      </c>
      <c r="D279" s="95">
        <v>8.5000000000000006E-2</v>
      </c>
      <c r="E279" s="94">
        <v>46194</v>
      </c>
      <c r="F279" s="50">
        <f t="shared" si="5"/>
        <v>294</v>
      </c>
      <c r="G279" t="str">
        <f>VLOOKUP(F279,T!$A$2:$C$9,3,TRUE)</f>
        <v>5. 6-12 Months</v>
      </c>
    </row>
    <row r="280" spans="1:7" x14ac:dyDescent="0.3">
      <c r="A280" t="s">
        <v>792</v>
      </c>
      <c r="B280" t="s">
        <v>774</v>
      </c>
      <c r="C280" s="50">
        <v>20800000</v>
      </c>
      <c r="D280" s="95">
        <v>0.1075</v>
      </c>
      <c r="E280" s="94">
        <v>46195</v>
      </c>
      <c r="F280" s="50">
        <f t="shared" si="5"/>
        <v>295</v>
      </c>
      <c r="G280" t="str">
        <f>VLOOKUP(F280,T!$A$2:$C$9,3,TRUE)</f>
        <v>5. 6-12 Months</v>
      </c>
    </row>
    <row r="281" spans="1:7" x14ac:dyDescent="0.3">
      <c r="A281" t="s">
        <v>792</v>
      </c>
      <c r="B281" t="s">
        <v>774</v>
      </c>
      <c r="C281" s="50">
        <v>20800000</v>
      </c>
      <c r="D281" s="95">
        <v>0.1075</v>
      </c>
      <c r="E281" s="94">
        <v>46197</v>
      </c>
      <c r="F281" s="50">
        <f t="shared" si="5"/>
        <v>297</v>
      </c>
      <c r="G281" t="str">
        <f>VLOOKUP(F281,T!$A$2:$C$9,3,TRUE)</f>
        <v>5. 6-12 Months</v>
      </c>
    </row>
    <row r="282" spans="1:7" x14ac:dyDescent="0.3">
      <c r="A282" t="s">
        <v>793</v>
      </c>
      <c r="B282" t="s">
        <v>774</v>
      </c>
      <c r="C282" s="50">
        <v>16650000</v>
      </c>
      <c r="D282" s="95">
        <v>0.09</v>
      </c>
      <c r="E282" s="94">
        <v>46198</v>
      </c>
      <c r="F282" s="50">
        <f t="shared" si="5"/>
        <v>298</v>
      </c>
      <c r="G282" t="str">
        <f>VLOOKUP(F282,T!$A$2:$C$9,3,TRUE)</f>
        <v>5. 6-12 Months</v>
      </c>
    </row>
    <row r="283" spans="1:7" x14ac:dyDescent="0.3">
      <c r="A283" t="s">
        <v>793</v>
      </c>
      <c r="B283" t="s">
        <v>774</v>
      </c>
      <c r="C283" s="50">
        <v>16650000</v>
      </c>
      <c r="D283" s="95">
        <v>0.09</v>
      </c>
      <c r="E283" s="94">
        <v>46199</v>
      </c>
      <c r="F283" s="50">
        <f t="shared" si="5"/>
        <v>299</v>
      </c>
      <c r="G283" t="str">
        <f>VLOOKUP(F283,T!$A$2:$C$9,3,TRUE)</f>
        <v>5. 6-12 Months</v>
      </c>
    </row>
    <row r="284" spans="1:7" x14ac:dyDescent="0.3">
      <c r="A284" t="s">
        <v>794</v>
      </c>
      <c r="B284" t="s">
        <v>774</v>
      </c>
      <c r="C284" s="50">
        <v>20833000</v>
      </c>
      <c r="D284" s="95">
        <v>8.0699999999999994E-2</v>
      </c>
      <c r="E284" s="94">
        <v>46199</v>
      </c>
      <c r="F284" s="50">
        <f t="shared" si="5"/>
        <v>299</v>
      </c>
      <c r="G284" t="str">
        <f>VLOOKUP(F284,T!$A$2:$C$9,3,TRUE)</f>
        <v>5. 6-12 Months</v>
      </c>
    </row>
    <row r="285" spans="1:7" x14ac:dyDescent="0.3">
      <c r="A285" t="s">
        <v>794</v>
      </c>
      <c r="B285" t="s">
        <v>774</v>
      </c>
      <c r="C285" s="50">
        <v>20833000</v>
      </c>
      <c r="D285" s="95">
        <v>8.0699999999999994E-2</v>
      </c>
      <c r="E285" s="94">
        <v>46199</v>
      </c>
      <c r="F285" s="50">
        <f t="shared" si="5"/>
        <v>299</v>
      </c>
      <c r="G285" t="str">
        <f>VLOOKUP(F285,T!$A$2:$C$9,3,TRUE)</f>
        <v>5. 6-12 Months</v>
      </c>
    </row>
    <row r="286" spans="1:7" x14ac:dyDescent="0.3">
      <c r="A286" t="s">
        <v>794</v>
      </c>
      <c r="B286" t="s">
        <v>774</v>
      </c>
      <c r="C286" s="50">
        <v>20833000</v>
      </c>
      <c r="D286" s="95">
        <v>8.0699999999999994E-2</v>
      </c>
      <c r="E286" s="94">
        <v>46199</v>
      </c>
      <c r="F286" s="50">
        <f t="shared" si="5"/>
        <v>299</v>
      </c>
      <c r="G286" t="str">
        <f>VLOOKUP(F286,T!$A$2:$C$9,3,TRUE)</f>
        <v>5. 6-12 Months</v>
      </c>
    </row>
    <row r="287" spans="1:7" x14ac:dyDescent="0.3">
      <c r="A287" t="s">
        <v>795</v>
      </c>
      <c r="B287" t="s">
        <v>774</v>
      </c>
      <c r="C287" s="50">
        <v>20833333.333333328</v>
      </c>
      <c r="D287" s="95">
        <v>0.1075</v>
      </c>
      <c r="E287" s="94">
        <v>46200</v>
      </c>
      <c r="F287" s="50">
        <f t="shared" si="5"/>
        <v>300</v>
      </c>
      <c r="G287" t="str">
        <f>VLOOKUP(F287,T!$A$2:$C$9,3,TRUE)</f>
        <v>5. 6-12 Months</v>
      </c>
    </row>
    <row r="288" spans="1:7" x14ac:dyDescent="0.3">
      <c r="A288" t="s">
        <v>795</v>
      </c>
      <c r="B288" t="s">
        <v>774</v>
      </c>
      <c r="C288" s="50">
        <v>20833333.333333328</v>
      </c>
      <c r="D288" s="95">
        <v>0.1075</v>
      </c>
      <c r="E288" s="94">
        <v>46200</v>
      </c>
      <c r="F288" s="50">
        <f t="shared" si="5"/>
        <v>300</v>
      </c>
      <c r="G288" t="str">
        <f>VLOOKUP(F288,T!$A$2:$C$9,3,TRUE)</f>
        <v>5. 6-12 Months</v>
      </c>
    </row>
    <row r="289" spans="1:7" x14ac:dyDescent="0.3">
      <c r="A289" t="s">
        <v>795</v>
      </c>
      <c r="B289" t="s">
        <v>774</v>
      </c>
      <c r="C289" s="50">
        <v>10416666.66666667</v>
      </c>
      <c r="D289" s="95">
        <v>0.1075</v>
      </c>
      <c r="E289" s="94">
        <v>46200</v>
      </c>
      <c r="F289" s="50">
        <f t="shared" si="5"/>
        <v>300</v>
      </c>
      <c r="G289" t="str">
        <f>VLOOKUP(F289,T!$A$2:$C$9,3,TRUE)</f>
        <v>5. 6-12 Months</v>
      </c>
    </row>
    <row r="290" spans="1:7" x14ac:dyDescent="0.3">
      <c r="A290" t="s">
        <v>795</v>
      </c>
      <c r="B290" t="s">
        <v>774</v>
      </c>
      <c r="C290" s="50">
        <v>10416666.66666667</v>
      </c>
      <c r="D290" s="95">
        <v>0.1075</v>
      </c>
      <c r="E290" s="94">
        <v>46200</v>
      </c>
      <c r="F290" s="50">
        <f t="shared" si="5"/>
        <v>300</v>
      </c>
      <c r="G290" t="str">
        <f>VLOOKUP(F290,T!$A$2:$C$9,3,TRUE)</f>
        <v>5. 6-12 Months</v>
      </c>
    </row>
    <row r="291" spans="1:7" x14ac:dyDescent="0.3">
      <c r="A291" t="s">
        <v>796</v>
      </c>
      <c r="B291" t="s">
        <v>774</v>
      </c>
      <c r="C291" s="50">
        <v>13888000</v>
      </c>
      <c r="D291" s="95">
        <v>8.2199999999999995E-2</v>
      </c>
      <c r="E291" s="94">
        <v>46201</v>
      </c>
      <c r="F291" s="50">
        <f t="shared" si="5"/>
        <v>301</v>
      </c>
      <c r="G291" t="str">
        <f>VLOOKUP(F291,T!$A$2:$C$9,3,TRUE)</f>
        <v>5. 6-12 Months</v>
      </c>
    </row>
    <row r="292" spans="1:7" x14ac:dyDescent="0.3">
      <c r="A292" t="s">
        <v>780</v>
      </c>
      <c r="B292" t="s">
        <v>774</v>
      </c>
      <c r="C292" s="50">
        <v>16666666.470000001</v>
      </c>
      <c r="D292" s="95">
        <v>8.0199999999999994E-2</v>
      </c>
      <c r="E292" s="94">
        <v>46202</v>
      </c>
      <c r="F292" s="50">
        <f t="shared" si="5"/>
        <v>302</v>
      </c>
      <c r="G292" t="str">
        <f>VLOOKUP(F292,T!$A$2:$C$9,3,TRUE)</f>
        <v>5. 6-12 Months</v>
      </c>
    </row>
    <row r="293" spans="1:7" x14ac:dyDescent="0.3">
      <c r="A293" t="s">
        <v>797</v>
      </c>
      <c r="B293" t="s">
        <v>774</v>
      </c>
      <c r="C293" s="50">
        <v>8250000</v>
      </c>
      <c r="D293" s="95">
        <v>0.12</v>
      </c>
      <c r="E293" s="94">
        <v>46203</v>
      </c>
      <c r="F293" s="50">
        <f t="shared" si="5"/>
        <v>303</v>
      </c>
      <c r="G293" t="str">
        <f>VLOOKUP(F293,T!$A$2:$C$9,3,TRUE)</f>
        <v>5. 6-12 Months</v>
      </c>
    </row>
    <row r="294" spans="1:7" x14ac:dyDescent="0.3">
      <c r="A294" t="s">
        <v>797</v>
      </c>
      <c r="B294" t="s">
        <v>774</v>
      </c>
      <c r="C294" s="50">
        <v>8250000</v>
      </c>
      <c r="D294" s="95">
        <v>0.12</v>
      </c>
      <c r="E294" s="94">
        <v>46203</v>
      </c>
      <c r="F294" s="50">
        <f t="shared" si="5"/>
        <v>303</v>
      </c>
      <c r="G294" t="str">
        <f>VLOOKUP(F294,T!$A$2:$C$9,3,TRUE)</f>
        <v>5. 6-12 Months</v>
      </c>
    </row>
    <row r="295" spans="1:7" x14ac:dyDescent="0.3">
      <c r="A295" t="s">
        <v>797</v>
      </c>
      <c r="B295" t="s">
        <v>774</v>
      </c>
      <c r="C295" s="50">
        <v>8250000</v>
      </c>
      <c r="D295" s="95">
        <v>0.12</v>
      </c>
      <c r="E295" s="94">
        <v>46203</v>
      </c>
      <c r="F295" s="50">
        <f t="shared" si="5"/>
        <v>303</v>
      </c>
      <c r="G295" t="str">
        <f>VLOOKUP(F295,T!$A$2:$C$9,3,TRUE)</f>
        <v>5. 6-12 Months</v>
      </c>
    </row>
    <row r="296" spans="1:7" x14ac:dyDescent="0.3">
      <c r="A296" t="s">
        <v>797</v>
      </c>
      <c r="B296" t="s">
        <v>774</v>
      </c>
      <c r="C296" s="50">
        <v>8250000</v>
      </c>
      <c r="D296" s="95">
        <v>0.12</v>
      </c>
      <c r="E296" s="94">
        <v>46203</v>
      </c>
      <c r="F296" s="50">
        <f t="shared" si="5"/>
        <v>303</v>
      </c>
      <c r="G296" t="str">
        <f>VLOOKUP(F296,T!$A$2:$C$9,3,TRUE)</f>
        <v>5. 6-12 Months</v>
      </c>
    </row>
    <row r="297" spans="1:7" x14ac:dyDescent="0.3">
      <c r="A297" t="s">
        <v>798</v>
      </c>
      <c r="B297" t="s">
        <v>774</v>
      </c>
      <c r="C297" s="50">
        <v>145833333.34</v>
      </c>
      <c r="D297" s="95">
        <v>0.11</v>
      </c>
      <c r="E297" s="94">
        <v>46203</v>
      </c>
      <c r="F297" s="50">
        <f t="shared" si="5"/>
        <v>303</v>
      </c>
      <c r="G297" t="str">
        <f>VLOOKUP(F297,T!$A$2:$C$9,3,TRUE)</f>
        <v>5. 6-12 Months</v>
      </c>
    </row>
    <row r="298" spans="1:7" x14ac:dyDescent="0.3">
      <c r="A298" t="s">
        <v>777</v>
      </c>
      <c r="B298" t="s">
        <v>774</v>
      </c>
      <c r="C298" s="50">
        <v>12500000</v>
      </c>
      <c r="D298" s="95">
        <v>9.2499999999999999E-2</v>
      </c>
      <c r="E298" s="94">
        <v>46218</v>
      </c>
      <c r="F298" s="50">
        <f t="shared" si="5"/>
        <v>318</v>
      </c>
      <c r="G298" t="str">
        <f>VLOOKUP(F298,T!$A$2:$C$9,3,TRUE)</f>
        <v>5. 6-12 Months</v>
      </c>
    </row>
    <row r="299" spans="1:7" x14ac:dyDescent="0.3">
      <c r="A299" t="s">
        <v>777</v>
      </c>
      <c r="B299" t="s">
        <v>774</v>
      </c>
      <c r="C299" s="50">
        <v>12500000</v>
      </c>
      <c r="D299" s="95">
        <v>9.2499999999999999E-2</v>
      </c>
      <c r="E299" s="94">
        <v>46218</v>
      </c>
      <c r="F299" s="50">
        <f t="shared" si="5"/>
        <v>318</v>
      </c>
      <c r="G299" t="str">
        <f>VLOOKUP(F299,T!$A$2:$C$9,3,TRUE)</f>
        <v>5. 6-12 Months</v>
      </c>
    </row>
    <row r="300" spans="1:7" x14ac:dyDescent="0.3">
      <c r="A300" t="s">
        <v>777</v>
      </c>
      <c r="B300" t="s">
        <v>774</v>
      </c>
      <c r="C300" s="50">
        <v>8333334</v>
      </c>
      <c r="D300" s="95">
        <v>9.2499999999999999E-2</v>
      </c>
      <c r="E300" s="94">
        <v>46218</v>
      </c>
      <c r="F300" s="50">
        <f t="shared" si="5"/>
        <v>318</v>
      </c>
      <c r="G300" t="str">
        <f>VLOOKUP(F300,T!$A$2:$C$9,3,TRUE)</f>
        <v>5. 6-12 Months</v>
      </c>
    </row>
    <row r="301" spans="1:7" x14ac:dyDescent="0.3">
      <c r="A301" t="s">
        <v>780</v>
      </c>
      <c r="B301" t="s">
        <v>774</v>
      </c>
      <c r="C301" s="50">
        <v>16666666.67</v>
      </c>
      <c r="D301" s="95">
        <v>8.0199999999999994E-2</v>
      </c>
      <c r="E301" s="94">
        <v>46218</v>
      </c>
      <c r="F301" s="50">
        <f t="shared" si="5"/>
        <v>318</v>
      </c>
      <c r="G301" t="str">
        <f>VLOOKUP(F301,T!$A$2:$C$9,3,TRUE)</f>
        <v>5. 6-12 Months</v>
      </c>
    </row>
    <row r="302" spans="1:7" x14ac:dyDescent="0.3">
      <c r="A302" t="s">
        <v>785</v>
      </c>
      <c r="B302" t="s">
        <v>774</v>
      </c>
      <c r="C302" s="50">
        <v>25000000</v>
      </c>
      <c r="D302" s="95">
        <v>8.0199999999999994E-2</v>
      </c>
      <c r="E302" s="94">
        <v>46221</v>
      </c>
      <c r="F302" s="50">
        <f t="shared" si="5"/>
        <v>321</v>
      </c>
      <c r="G302" t="str">
        <f>VLOOKUP(F302,T!$A$2:$C$9,3,TRUE)</f>
        <v>5. 6-12 Months</v>
      </c>
    </row>
    <row r="303" spans="1:7" x14ac:dyDescent="0.3">
      <c r="A303" t="s">
        <v>790</v>
      </c>
      <c r="B303" t="s">
        <v>774</v>
      </c>
      <c r="C303" s="50">
        <v>15486579.880000001</v>
      </c>
      <c r="D303" s="95">
        <v>0.12</v>
      </c>
      <c r="E303" s="94">
        <v>46222</v>
      </c>
      <c r="F303" s="50">
        <f t="shared" si="5"/>
        <v>322</v>
      </c>
      <c r="G303" t="str">
        <f>VLOOKUP(F303,T!$A$2:$C$9,3,TRUE)</f>
        <v>5. 6-12 Months</v>
      </c>
    </row>
    <row r="304" spans="1:7" x14ac:dyDescent="0.3">
      <c r="A304" t="s">
        <v>792</v>
      </c>
      <c r="B304" t="s">
        <v>774</v>
      </c>
      <c r="C304" s="50">
        <v>20800000</v>
      </c>
      <c r="D304" s="95">
        <v>0.1075</v>
      </c>
      <c r="E304" s="94">
        <v>46225</v>
      </c>
      <c r="F304" s="50">
        <f t="shared" si="5"/>
        <v>325</v>
      </c>
      <c r="G304" t="str">
        <f>VLOOKUP(F304,T!$A$2:$C$9,3,TRUE)</f>
        <v>5. 6-12 Months</v>
      </c>
    </row>
    <row r="305" spans="1:7" x14ac:dyDescent="0.3">
      <c r="A305" t="s">
        <v>799</v>
      </c>
      <c r="B305" t="s">
        <v>774</v>
      </c>
      <c r="C305" s="50">
        <v>50000000</v>
      </c>
      <c r="D305" s="95">
        <v>0.12</v>
      </c>
      <c r="E305" s="94">
        <v>46226</v>
      </c>
      <c r="F305" s="50">
        <f t="shared" si="5"/>
        <v>326</v>
      </c>
      <c r="G305" t="str">
        <f>VLOOKUP(F305,T!$A$2:$C$9,3,TRUE)</f>
        <v>5. 6-12 Months</v>
      </c>
    </row>
    <row r="306" spans="1:7" x14ac:dyDescent="0.3">
      <c r="A306" t="s">
        <v>799</v>
      </c>
      <c r="B306" t="s">
        <v>774</v>
      </c>
      <c r="C306" s="50">
        <v>50000000</v>
      </c>
      <c r="D306" s="95">
        <v>0.12</v>
      </c>
      <c r="E306" s="94">
        <v>46226</v>
      </c>
      <c r="F306" s="50">
        <f t="shared" si="5"/>
        <v>326</v>
      </c>
      <c r="G306" t="str">
        <f>VLOOKUP(F306,T!$A$2:$C$9,3,TRUE)</f>
        <v>5. 6-12 Months</v>
      </c>
    </row>
    <row r="307" spans="1:7" x14ac:dyDescent="0.3">
      <c r="A307" t="s">
        <v>799</v>
      </c>
      <c r="B307" t="s">
        <v>774</v>
      </c>
      <c r="C307" s="50">
        <v>50000000</v>
      </c>
      <c r="D307" s="95">
        <v>0.12</v>
      </c>
      <c r="E307" s="94">
        <v>46226</v>
      </c>
      <c r="F307" s="50">
        <f t="shared" si="5"/>
        <v>326</v>
      </c>
      <c r="G307" t="str">
        <f>VLOOKUP(F307,T!$A$2:$C$9,3,TRUE)</f>
        <v>5. 6-12 Months</v>
      </c>
    </row>
    <row r="308" spans="1:7" x14ac:dyDescent="0.3">
      <c r="A308" t="s">
        <v>792</v>
      </c>
      <c r="B308" t="s">
        <v>774</v>
      </c>
      <c r="C308" s="50">
        <v>20800000</v>
      </c>
      <c r="D308" s="95">
        <v>0.1075</v>
      </c>
      <c r="E308" s="94">
        <v>46227</v>
      </c>
      <c r="F308" s="50">
        <f t="shared" si="5"/>
        <v>327</v>
      </c>
      <c r="G308" t="str">
        <f>VLOOKUP(F308,T!$A$2:$C$9,3,TRUE)</f>
        <v>5. 6-12 Months</v>
      </c>
    </row>
    <row r="309" spans="1:7" x14ac:dyDescent="0.3">
      <c r="A309" t="s">
        <v>793</v>
      </c>
      <c r="B309" t="s">
        <v>774</v>
      </c>
      <c r="C309" s="50">
        <v>16650000</v>
      </c>
      <c r="D309" s="95">
        <v>0.09</v>
      </c>
      <c r="E309" s="94">
        <v>46228</v>
      </c>
      <c r="F309" s="50">
        <f t="shared" si="5"/>
        <v>328</v>
      </c>
      <c r="G309" t="str">
        <f>VLOOKUP(F309,T!$A$2:$C$9,3,TRUE)</f>
        <v>5. 6-12 Months</v>
      </c>
    </row>
    <row r="310" spans="1:7" x14ac:dyDescent="0.3">
      <c r="A310" t="s">
        <v>793</v>
      </c>
      <c r="B310" t="s">
        <v>774</v>
      </c>
      <c r="C310" s="50">
        <v>16650000</v>
      </c>
      <c r="D310" s="95">
        <v>0.09</v>
      </c>
      <c r="E310" s="94">
        <v>46229</v>
      </c>
      <c r="F310" s="50">
        <f t="shared" si="5"/>
        <v>329</v>
      </c>
      <c r="G310" t="str">
        <f>VLOOKUP(F310,T!$A$2:$C$9,3,TRUE)</f>
        <v>5. 6-12 Months</v>
      </c>
    </row>
    <row r="311" spans="1:7" x14ac:dyDescent="0.3">
      <c r="A311" t="s">
        <v>794</v>
      </c>
      <c r="B311" t="s">
        <v>774</v>
      </c>
      <c r="C311" s="50">
        <v>20833000</v>
      </c>
      <c r="D311" s="95">
        <v>8.0699999999999994E-2</v>
      </c>
      <c r="E311" s="94">
        <v>46229</v>
      </c>
      <c r="F311" s="50">
        <f t="shared" si="5"/>
        <v>329</v>
      </c>
      <c r="G311" t="str">
        <f>VLOOKUP(F311,T!$A$2:$C$9,3,TRUE)</f>
        <v>5. 6-12 Months</v>
      </c>
    </row>
    <row r="312" spans="1:7" x14ac:dyDescent="0.3">
      <c r="A312" t="s">
        <v>794</v>
      </c>
      <c r="B312" t="s">
        <v>774</v>
      </c>
      <c r="C312" s="50">
        <v>20833000</v>
      </c>
      <c r="D312" s="95">
        <v>8.0699999999999994E-2</v>
      </c>
      <c r="E312" s="94">
        <v>46229</v>
      </c>
      <c r="F312" s="50">
        <f t="shared" si="5"/>
        <v>329</v>
      </c>
      <c r="G312" t="str">
        <f>VLOOKUP(F312,T!$A$2:$C$9,3,TRUE)</f>
        <v>5. 6-12 Months</v>
      </c>
    </row>
    <row r="313" spans="1:7" x14ac:dyDescent="0.3">
      <c r="A313" t="s">
        <v>794</v>
      </c>
      <c r="B313" t="s">
        <v>774</v>
      </c>
      <c r="C313" s="50">
        <v>20833000</v>
      </c>
      <c r="D313" s="95">
        <v>8.0699999999999994E-2</v>
      </c>
      <c r="E313" s="94">
        <v>46229</v>
      </c>
      <c r="F313" s="50">
        <f t="shared" si="5"/>
        <v>329</v>
      </c>
      <c r="G313" t="str">
        <f>VLOOKUP(F313,T!$A$2:$C$9,3,TRUE)</f>
        <v>5. 6-12 Months</v>
      </c>
    </row>
    <row r="314" spans="1:7" x14ac:dyDescent="0.3">
      <c r="A314" t="s">
        <v>795</v>
      </c>
      <c r="B314" t="s">
        <v>774</v>
      </c>
      <c r="C314" s="50">
        <v>20833333.333333328</v>
      </c>
      <c r="D314" s="95">
        <v>0.1075</v>
      </c>
      <c r="E314" s="94">
        <v>46230</v>
      </c>
      <c r="F314" s="50">
        <f t="shared" si="5"/>
        <v>330</v>
      </c>
      <c r="G314" t="str">
        <f>VLOOKUP(F314,T!$A$2:$C$9,3,TRUE)</f>
        <v>5. 6-12 Months</v>
      </c>
    </row>
    <row r="315" spans="1:7" x14ac:dyDescent="0.3">
      <c r="A315" t="s">
        <v>795</v>
      </c>
      <c r="B315" t="s">
        <v>774</v>
      </c>
      <c r="C315" s="50">
        <v>20833333.333333328</v>
      </c>
      <c r="D315" s="95">
        <v>0.1075</v>
      </c>
      <c r="E315" s="94">
        <v>46230</v>
      </c>
      <c r="F315" s="50">
        <f t="shared" si="5"/>
        <v>330</v>
      </c>
      <c r="G315" t="str">
        <f>VLOOKUP(F315,T!$A$2:$C$9,3,TRUE)</f>
        <v>5. 6-12 Months</v>
      </c>
    </row>
    <row r="316" spans="1:7" x14ac:dyDescent="0.3">
      <c r="A316" t="s">
        <v>795</v>
      </c>
      <c r="B316" t="s">
        <v>774</v>
      </c>
      <c r="C316" s="50">
        <v>10416666.66666667</v>
      </c>
      <c r="D316" s="95">
        <v>0.1075</v>
      </c>
      <c r="E316" s="94">
        <v>46230</v>
      </c>
      <c r="F316" s="50">
        <f t="shared" si="5"/>
        <v>330</v>
      </c>
      <c r="G316" t="str">
        <f>VLOOKUP(F316,T!$A$2:$C$9,3,TRUE)</f>
        <v>5. 6-12 Months</v>
      </c>
    </row>
    <row r="317" spans="1:7" x14ac:dyDescent="0.3">
      <c r="A317" t="s">
        <v>795</v>
      </c>
      <c r="B317" t="s">
        <v>774</v>
      </c>
      <c r="C317" s="50">
        <v>10416666.66666667</v>
      </c>
      <c r="D317" s="95">
        <v>0.1075</v>
      </c>
      <c r="E317" s="94">
        <v>46230</v>
      </c>
      <c r="F317" s="50">
        <f t="shared" si="5"/>
        <v>330</v>
      </c>
      <c r="G317" t="str">
        <f>VLOOKUP(F317,T!$A$2:$C$9,3,TRUE)</f>
        <v>5. 6-12 Months</v>
      </c>
    </row>
    <row r="318" spans="1:7" x14ac:dyDescent="0.3">
      <c r="A318" t="s">
        <v>796</v>
      </c>
      <c r="B318" t="s">
        <v>774</v>
      </c>
      <c r="C318" s="50">
        <v>13888000</v>
      </c>
      <c r="D318" s="95">
        <v>8.2199999999999995E-2</v>
      </c>
      <c r="E318" s="94">
        <v>46231</v>
      </c>
      <c r="F318" s="50">
        <f t="shared" si="5"/>
        <v>331</v>
      </c>
      <c r="G318" t="str">
        <f>VLOOKUP(F318,T!$A$2:$C$9,3,TRUE)</f>
        <v>5. 6-12 Months</v>
      </c>
    </row>
    <row r="319" spans="1:7" x14ac:dyDescent="0.3">
      <c r="A319" t="s">
        <v>780</v>
      </c>
      <c r="B319" t="s">
        <v>774</v>
      </c>
      <c r="C319" s="50">
        <v>16666666.470000001</v>
      </c>
      <c r="D319" s="95">
        <v>8.0199999999999994E-2</v>
      </c>
      <c r="E319" s="94">
        <v>46232</v>
      </c>
      <c r="F319" s="50">
        <f t="shared" si="5"/>
        <v>332</v>
      </c>
      <c r="G319" t="str">
        <f>VLOOKUP(F319,T!$A$2:$C$9,3,TRUE)</f>
        <v>5. 6-12 Months</v>
      </c>
    </row>
    <row r="320" spans="1:7" x14ac:dyDescent="0.3">
      <c r="A320" t="s">
        <v>797</v>
      </c>
      <c r="B320" t="s">
        <v>774</v>
      </c>
      <c r="C320" s="50">
        <v>8250000</v>
      </c>
      <c r="D320" s="95">
        <v>0.12</v>
      </c>
      <c r="E320" s="94">
        <v>46234</v>
      </c>
      <c r="F320" s="50">
        <f t="shared" si="5"/>
        <v>334</v>
      </c>
      <c r="G320" t="str">
        <f>VLOOKUP(F320,T!$A$2:$C$9,3,TRUE)</f>
        <v>5. 6-12 Months</v>
      </c>
    </row>
    <row r="321" spans="1:7" x14ac:dyDescent="0.3">
      <c r="A321" t="s">
        <v>797</v>
      </c>
      <c r="B321" t="s">
        <v>774</v>
      </c>
      <c r="C321" s="50">
        <v>8250000</v>
      </c>
      <c r="D321" s="95">
        <v>0.12</v>
      </c>
      <c r="E321" s="94">
        <v>46234</v>
      </c>
      <c r="F321" s="50">
        <f t="shared" si="5"/>
        <v>334</v>
      </c>
      <c r="G321" t="str">
        <f>VLOOKUP(F321,T!$A$2:$C$9,3,TRUE)</f>
        <v>5. 6-12 Months</v>
      </c>
    </row>
    <row r="322" spans="1:7" x14ac:dyDescent="0.3">
      <c r="A322" t="s">
        <v>797</v>
      </c>
      <c r="B322" t="s">
        <v>774</v>
      </c>
      <c r="C322" s="50">
        <v>8250000</v>
      </c>
      <c r="D322" s="95">
        <v>0.12</v>
      </c>
      <c r="E322" s="94">
        <v>46234</v>
      </c>
      <c r="F322" s="50">
        <f t="shared" si="5"/>
        <v>334</v>
      </c>
      <c r="G322" t="str">
        <f>VLOOKUP(F322,T!$A$2:$C$9,3,TRUE)</f>
        <v>5. 6-12 Months</v>
      </c>
    </row>
    <row r="323" spans="1:7" x14ac:dyDescent="0.3">
      <c r="A323" t="s">
        <v>797</v>
      </c>
      <c r="B323" t="s">
        <v>774</v>
      </c>
      <c r="C323" s="50">
        <v>8250000</v>
      </c>
      <c r="D323" s="95">
        <v>0.12</v>
      </c>
      <c r="E323" s="94">
        <v>46234</v>
      </c>
      <c r="F323" s="50">
        <f t="shared" ref="F323:F386" si="6">E323-$F$1</f>
        <v>334</v>
      </c>
      <c r="G323" t="str">
        <f>VLOOKUP(F323,T!$A$2:$C$9,3,TRUE)</f>
        <v>5. 6-12 Months</v>
      </c>
    </row>
    <row r="324" spans="1:7" x14ac:dyDescent="0.3">
      <c r="A324" t="s">
        <v>780</v>
      </c>
      <c r="B324" t="s">
        <v>774</v>
      </c>
      <c r="C324" s="50">
        <v>16666666.67</v>
      </c>
      <c r="D324" s="95">
        <v>8.0199999999999994E-2</v>
      </c>
      <c r="E324" s="94">
        <v>46249</v>
      </c>
      <c r="F324" s="50">
        <f t="shared" si="6"/>
        <v>349</v>
      </c>
      <c r="G324" t="str">
        <f>VLOOKUP(F324,T!$A$2:$C$9,3,TRUE)</f>
        <v>5. 6-12 Months</v>
      </c>
    </row>
    <row r="325" spans="1:7" x14ac:dyDescent="0.3">
      <c r="A325" t="s">
        <v>777</v>
      </c>
      <c r="B325" t="s">
        <v>774</v>
      </c>
      <c r="C325" s="50">
        <v>12500000</v>
      </c>
      <c r="D325" s="95">
        <v>9.2499999999999999E-2</v>
      </c>
      <c r="E325" s="94">
        <v>46251</v>
      </c>
      <c r="F325" s="50">
        <f t="shared" si="6"/>
        <v>351</v>
      </c>
      <c r="G325" t="str">
        <f>VLOOKUP(F325,T!$A$2:$C$9,3,TRUE)</f>
        <v>5. 6-12 Months</v>
      </c>
    </row>
    <row r="326" spans="1:7" x14ac:dyDescent="0.3">
      <c r="A326" t="s">
        <v>777</v>
      </c>
      <c r="B326" t="s">
        <v>774</v>
      </c>
      <c r="C326" s="50">
        <v>12500000</v>
      </c>
      <c r="D326" s="95">
        <v>9.2499999999999999E-2</v>
      </c>
      <c r="E326" s="94">
        <v>46251</v>
      </c>
      <c r="F326" s="50">
        <f t="shared" si="6"/>
        <v>351</v>
      </c>
      <c r="G326" t="str">
        <f>VLOOKUP(F326,T!$A$2:$C$9,3,TRUE)</f>
        <v>5. 6-12 Months</v>
      </c>
    </row>
    <row r="327" spans="1:7" x14ac:dyDescent="0.3">
      <c r="A327" t="s">
        <v>777</v>
      </c>
      <c r="B327" t="s">
        <v>774</v>
      </c>
      <c r="C327" s="50">
        <v>8333334</v>
      </c>
      <c r="D327" s="95">
        <v>9.2499999999999999E-2</v>
      </c>
      <c r="E327" s="94">
        <v>46251</v>
      </c>
      <c r="F327" s="50">
        <f t="shared" si="6"/>
        <v>351</v>
      </c>
      <c r="G327" t="str">
        <f>VLOOKUP(F327,T!$A$2:$C$9,3,TRUE)</f>
        <v>5. 6-12 Months</v>
      </c>
    </row>
    <row r="328" spans="1:7" x14ac:dyDescent="0.3">
      <c r="A328" t="s">
        <v>785</v>
      </c>
      <c r="B328" t="s">
        <v>774</v>
      </c>
      <c r="C328" s="50">
        <v>25000000</v>
      </c>
      <c r="D328" s="95">
        <v>8.0199999999999994E-2</v>
      </c>
      <c r="E328" s="94">
        <v>46252</v>
      </c>
      <c r="F328" s="50">
        <f t="shared" si="6"/>
        <v>352</v>
      </c>
      <c r="G328" t="str">
        <f>VLOOKUP(F328,T!$A$2:$C$9,3,TRUE)</f>
        <v>5. 6-12 Months</v>
      </c>
    </row>
    <row r="329" spans="1:7" x14ac:dyDescent="0.3">
      <c r="A329" t="s">
        <v>790</v>
      </c>
      <c r="B329" t="s">
        <v>774</v>
      </c>
      <c r="C329" s="50">
        <v>15419153.5</v>
      </c>
      <c r="D329" s="95">
        <v>0.12</v>
      </c>
      <c r="E329" s="94">
        <v>46253</v>
      </c>
      <c r="F329" s="50">
        <f t="shared" si="6"/>
        <v>353</v>
      </c>
      <c r="G329" t="str">
        <f>VLOOKUP(F329,T!$A$2:$C$9,3,TRUE)</f>
        <v>5. 6-12 Months</v>
      </c>
    </row>
    <row r="330" spans="1:7" x14ac:dyDescent="0.3">
      <c r="A330" t="s">
        <v>800</v>
      </c>
      <c r="B330" t="s">
        <v>774</v>
      </c>
      <c r="C330" s="50">
        <v>50000000</v>
      </c>
      <c r="D330" s="95">
        <v>9.8500000000000004E-2</v>
      </c>
      <c r="E330" s="94">
        <v>46255</v>
      </c>
      <c r="F330" s="50">
        <f t="shared" si="6"/>
        <v>355</v>
      </c>
      <c r="G330" t="str">
        <f>VLOOKUP(F330,T!$A$2:$C$9,3,TRUE)</f>
        <v>5. 6-12 Months</v>
      </c>
    </row>
    <row r="331" spans="1:7" x14ac:dyDescent="0.3">
      <c r="A331" t="s">
        <v>792</v>
      </c>
      <c r="B331" t="s">
        <v>774</v>
      </c>
      <c r="C331" s="50">
        <v>20800000</v>
      </c>
      <c r="D331" s="95">
        <v>0.1075</v>
      </c>
      <c r="E331" s="94">
        <v>46256</v>
      </c>
      <c r="F331" s="50">
        <f t="shared" si="6"/>
        <v>356</v>
      </c>
      <c r="G331" t="str">
        <f>VLOOKUP(F331,T!$A$2:$C$9,3,TRUE)</f>
        <v>5. 6-12 Months</v>
      </c>
    </row>
    <row r="332" spans="1:7" x14ac:dyDescent="0.3">
      <c r="A332" t="s">
        <v>792</v>
      </c>
      <c r="B332" t="s">
        <v>774</v>
      </c>
      <c r="C332" s="50">
        <v>20800000</v>
      </c>
      <c r="D332" s="95">
        <v>0.1075</v>
      </c>
      <c r="E332" s="94">
        <v>46258</v>
      </c>
      <c r="F332" s="50">
        <f t="shared" si="6"/>
        <v>358</v>
      </c>
      <c r="G332" t="str">
        <f>VLOOKUP(F332,T!$A$2:$C$9,3,TRUE)</f>
        <v>5. 6-12 Months</v>
      </c>
    </row>
    <row r="333" spans="1:7" x14ac:dyDescent="0.3">
      <c r="A333" t="s">
        <v>793</v>
      </c>
      <c r="B333" t="s">
        <v>774</v>
      </c>
      <c r="C333" s="50">
        <v>16650000</v>
      </c>
      <c r="D333" s="95">
        <v>0.09</v>
      </c>
      <c r="E333" s="94">
        <v>46259</v>
      </c>
      <c r="F333" s="50">
        <f t="shared" si="6"/>
        <v>359</v>
      </c>
      <c r="G333" t="str">
        <f>VLOOKUP(F333,T!$A$2:$C$9,3,TRUE)</f>
        <v>5. 6-12 Months</v>
      </c>
    </row>
    <row r="334" spans="1:7" x14ac:dyDescent="0.3">
      <c r="A334" t="s">
        <v>793</v>
      </c>
      <c r="B334" t="s">
        <v>774</v>
      </c>
      <c r="C334" s="50">
        <v>16650000</v>
      </c>
      <c r="D334" s="95">
        <v>0.09</v>
      </c>
      <c r="E334" s="94">
        <v>46260</v>
      </c>
      <c r="F334" s="50">
        <f t="shared" si="6"/>
        <v>360</v>
      </c>
      <c r="G334" t="str">
        <f>VLOOKUP(F334,T!$A$2:$C$9,3,TRUE)</f>
        <v>5. 6-12 Months</v>
      </c>
    </row>
    <row r="335" spans="1:7" x14ac:dyDescent="0.3">
      <c r="A335" t="s">
        <v>794</v>
      </c>
      <c r="B335" t="s">
        <v>774</v>
      </c>
      <c r="C335" s="50">
        <v>20833000</v>
      </c>
      <c r="D335" s="95">
        <v>8.0699999999999994E-2</v>
      </c>
      <c r="E335" s="94">
        <v>46260</v>
      </c>
      <c r="F335" s="50">
        <f t="shared" si="6"/>
        <v>360</v>
      </c>
      <c r="G335" t="str">
        <f>VLOOKUP(F335,T!$A$2:$C$9,3,TRUE)</f>
        <v>5. 6-12 Months</v>
      </c>
    </row>
    <row r="336" spans="1:7" x14ac:dyDescent="0.3">
      <c r="A336" t="s">
        <v>794</v>
      </c>
      <c r="B336" t="s">
        <v>774</v>
      </c>
      <c r="C336" s="50">
        <v>20833000</v>
      </c>
      <c r="D336" s="95">
        <v>8.0699999999999994E-2</v>
      </c>
      <c r="E336" s="94">
        <v>46260</v>
      </c>
      <c r="F336" s="50">
        <f t="shared" si="6"/>
        <v>360</v>
      </c>
      <c r="G336" t="str">
        <f>VLOOKUP(F336,T!$A$2:$C$9,3,TRUE)</f>
        <v>5. 6-12 Months</v>
      </c>
    </row>
    <row r="337" spans="1:7" x14ac:dyDescent="0.3">
      <c r="A337" t="s">
        <v>794</v>
      </c>
      <c r="B337" t="s">
        <v>774</v>
      </c>
      <c r="C337" s="50">
        <v>20833000</v>
      </c>
      <c r="D337" s="95">
        <v>8.0699999999999994E-2</v>
      </c>
      <c r="E337" s="94">
        <v>46260</v>
      </c>
      <c r="F337" s="50">
        <f t="shared" si="6"/>
        <v>360</v>
      </c>
      <c r="G337" t="str">
        <f>VLOOKUP(F337,T!$A$2:$C$9,3,TRUE)</f>
        <v>5. 6-12 Months</v>
      </c>
    </row>
    <row r="338" spans="1:7" x14ac:dyDescent="0.3">
      <c r="A338" t="s">
        <v>795</v>
      </c>
      <c r="B338" t="s">
        <v>774</v>
      </c>
      <c r="C338" s="50">
        <v>20833333.333333328</v>
      </c>
      <c r="D338" s="95">
        <v>0.1075</v>
      </c>
      <c r="E338" s="94">
        <v>46261</v>
      </c>
      <c r="F338" s="50">
        <f t="shared" si="6"/>
        <v>361</v>
      </c>
      <c r="G338" t="str">
        <f>VLOOKUP(F338,T!$A$2:$C$9,3,TRUE)</f>
        <v>5. 6-12 Months</v>
      </c>
    </row>
    <row r="339" spans="1:7" x14ac:dyDescent="0.3">
      <c r="A339" t="s">
        <v>795</v>
      </c>
      <c r="B339" t="s">
        <v>774</v>
      </c>
      <c r="C339" s="50">
        <v>20833333.333333328</v>
      </c>
      <c r="D339" s="95">
        <v>0.1075</v>
      </c>
      <c r="E339" s="94">
        <v>46261</v>
      </c>
      <c r="F339" s="50">
        <f t="shared" si="6"/>
        <v>361</v>
      </c>
      <c r="G339" t="str">
        <f>VLOOKUP(F339,T!$A$2:$C$9,3,TRUE)</f>
        <v>5. 6-12 Months</v>
      </c>
    </row>
    <row r="340" spans="1:7" x14ac:dyDescent="0.3">
      <c r="A340" t="s">
        <v>795</v>
      </c>
      <c r="B340" t="s">
        <v>774</v>
      </c>
      <c r="C340" s="50">
        <v>10416666.66666667</v>
      </c>
      <c r="D340" s="95">
        <v>0.1075</v>
      </c>
      <c r="E340" s="94">
        <v>46261</v>
      </c>
      <c r="F340" s="50">
        <f t="shared" si="6"/>
        <v>361</v>
      </c>
      <c r="G340" t="str">
        <f>VLOOKUP(F340,T!$A$2:$C$9,3,TRUE)</f>
        <v>5. 6-12 Months</v>
      </c>
    </row>
    <row r="341" spans="1:7" x14ac:dyDescent="0.3">
      <c r="A341" t="s">
        <v>795</v>
      </c>
      <c r="B341" t="s">
        <v>774</v>
      </c>
      <c r="C341" s="50">
        <v>10416666.66666667</v>
      </c>
      <c r="D341" s="95">
        <v>0.1075</v>
      </c>
      <c r="E341" s="94">
        <v>46261</v>
      </c>
      <c r="F341" s="50">
        <f t="shared" si="6"/>
        <v>361</v>
      </c>
      <c r="G341" t="str">
        <f>VLOOKUP(F341,T!$A$2:$C$9,3,TRUE)</f>
        <v>5. 6-12 Months</v>
      </c>
    </row>
    <row r="342" spans="1:7" x14ac:dyDescent="0.3">
      <c r="A342" t="s">
        <v>796</v>
      </c>
      <c r="B342" t="s">
        <v>774</v>
      </c>
      <c r="C342" s="50">
        <v>13888000</v>
      </c>
      <c r="D342" s="95">
        <v>8.2199999999999995E-2</v>
      </c>
      <c r="E342" s="94">
        <v>46262</v>
      </c>
      <c r="F342" s="50">
        <f t="shared" si="6"/>
        <v>362</v>
      </c>
      <c r="G342" t="str">
        <f>VLOOKUP(F342,T!$A$2:$C$9,3,TRUE)</f>
        <v>5. 6-12 Months</v>
      </c>
    </row>
    <row r="343" spans="1:7" x14ac:dyDescent="0.3">
      <c r="A343" t="s">
        <v>800</v>
      </c>
      <c r="B343" t="s">
        <v>774</v>
      </c>
      <c r="C343" s="50">
        <v>50000000</v>
      </c>
      <c r="D343" s="95">
        <v>9.8500000000000004E-2</v>
      </c>
      <c r="E343" s="94">
        <v>46262</v>
      </c>
      <c r="F343" s="50">
        <f t="shared" si="6"/>
        <v>362</v>
      </c>
      <c r="G343" t="str">
        <f>VLOOKUP(F343,T!$A$2:$C$9,3,TRUE)</f>
        <v>5. 6-12 Months</v>
      </c>
    </row>
    <row r="344" spans="1:7" x14ac:dyDescent="0.3">
      <c r="A344" t="s">
        <v>780</v>
      </c>
      <c r="B344" t="s">
        <v>774</v>
      </c>
      <c r="C344" s="50">
        <v>16666666.470000001</v>
      </c>
      <c r="D344" s="95">
        <v>8.0199999999999994E-2</v>
      </c>
      <c r="E344" s="94">
        <v>46263</v>
      </c>
      <c r="F344" s="50">
        <f t="shared" si="6"/>
        <v>363</v>
      </c>
      <c r="G344" t="str">
        <f>VLOOKUP(F344,T!$A$2:$C$9,3,TRUE)</f>
        <v>5. 6-12 Months</v>
      </c>
    </row>
    <row r="345" spans="1:7" x14ac:dyDescent="0.3">
      <c r="A345" t="s">
        <v>797</v>
      </c>
      <c r="B345" t="s">
        <v>774</v>
      </c>
      <c r="C345" s="50">
        <v>8250000</v>
      </c>
      <c r="D345" s="95">
        <v>0.12</v>
      </c>
      <c r="E345" s="94">
        <v>46265</v>
      </c>
      <c r="F345" s="50">
        <f t="shared" si="6"/>
        <v>365</v>
      </c>
      <c r="G345" t="str">
        <f>VLOOKUP(F345,T!$A$2:$C$9,3,TRUE)</f>
        <v>5. 6-12 Months</v>
      </c>
    </row>
    <row r="346" spans="1:7" x14ac:dyDescent="0.3">
      <c r="A346" t="s">
        <v>797</v>
      </c>
      <c r="B346" t="s">
        <v>774</v>
      </c>
      <c r="C346" s="50">
        <v>8250000</v>
      </c>
      <c r="D346" s="95">
        <v>0.12</v>
      </c>
      <c r="E346" s="94">
        <v>46265</v>
      </c>
      <c r="F346" s="50">
        <f t="shared" si="6"/>
        <v>365</v>
      </c>
      <c r="G346" t="str">
        <f>VLOOKUP(F346,T!$A$2:$C$9,3,TRUE)</f>
        <v>5. 6-12 Months</v>
      </c>
    </row>
    <row r="347" spans="1:7" x14ac:dyDescent="0.3">
      <c r="A347" t="s">
        <v>797</v>
      </c>
      <c r="B347" t="s">
        <v>774</v>
      </c>
      <c r="C347" s="50">
        <v>8250000</v>
      </c>
      <c r="D347" s="95">
        <v>0.12</v>
      </c>
      <c r="E347" s="94">
        <v>46265</v>
      </c>
      <c r="F347" s="50">
        <f t="shared" si="6"/>
        <v>365</v>
      </c>
      <c r="G347" t="str">
        <f>VLOOKUP(F347,T!$A$2:$C$9,3,TRUE)</f>
        <v>5. 6-12 Months</v>
      </c>
    </row>
    <row r="348" spans="1:7" x14ac:dyDescent="0.3">
      <c r="A348" t="s">
        <v>797</v>
      </c>
      <c r="B348" t="s">
        <v>774</v>
      </c>
      <c r="C348" s="50">
        <v>8250000</v>
      </c>
      <c r="D348" s="95">
        <v>0.12</v>
      </c>
      <c r="E348" s="94">
        <v>46265</v>
      </c>
      <c r="F348" s="50">
        <f t="shared" si="6"/>
        <v>365</v>
      </c>
      <c r="G348" t="str">
        <f>VLOOKUP(F348,T!$A$2:$C$9,3,TRUE)</f>
        <v>5. 6-12 Months</v>
      </c>
    </row>
    <row r="349" spans="1:7" x14ac:dyDescent="0.3">
      <c r="A349" t="s">
        <v>773</v>
      </c>
      <c r="B349" t="s">
        <v>774</v>
      </c>
      <c r="C349" s="50">
        <v>50000000</v>
      </c>
      <c r="D349" s="95">
        <v>0.12</v>
      </c>
      <c r="E349" s="94">
        <v>46278</v>
      </c>
      <c r="F349" s="50">
        <f t="shared" si="6"/>
        <v>378</v>
      </c>
      <c r="G349" t="str">
        <f>VLOOKUP(F349,T!$A$2:$C$9,3,TRUE)</f>
        <v>6. 1-3 Years</v>
      </c>
    </row>
    <row r="350" spans="1:7" x14ac:dyDescent="0.3">
      <c r="A350" t="s">
        <v>773</v>
      </c>
      <c r="B350" t="s">
        <v>774</v>
      </c>
      <c r="C350" s="50">
        <v>25000000</v>
      </c>
      <c r="D350" s="95">
        <v>0.12</v>
      </c>
      <c r="E350" s="94">
        <v>46279</v>
      </c>
      <c r="F350" s="50">
        <f t="shared" si="6"/>
        <v>379</v>
      </c>
      <c r="G350" t="str">
        <f>VLOOKUP(F350,T!$A$2:$C$9,3,TRUE)</f>
        <v>6. 1-3 Years</v>
      </c>
    </row>
    <row r="351" spans="1:7" x14ac:dyDescent="0.3">
      <c r="A351" t="s">
        <v>777</v>
      </c>
      <c r="B351" t="s">
        <v>774</v>
      </c>
      <c r="C351" s="50">
        <v>12500000</v>
      </c>
      <c r="D351" s="95">
        <v>9.2499999999999999E-2</v>
      </c>
      <c r="E351" s="94">
        <v>46280</v>
      </c>
      <c r="F351" s="50">
        <f t="shared" si="6"/>
        <v>380</v>
      </c>
      <c r="G351" t="str">
        <f>VLOOKUP(F351,T!$A$2:$C$9,3,TRUE)</f>
        <v>6. 1-3 Years</v>
      </c>
    </row>
    <row r="352" spans="1:7" x14ac:dyDescent="0.3">
      <c r="A352" t="s">
        <v>777</v>
      </c>
      <c r="B352" t="s">
        <v>774</v>
      </c>
      <c r="C352" s="50">
        <v>12500000</v>
      </c>
      <c r="D352" s="95">
        <v>9.2499999999999999E-2</v>
      </c>
      <c r="E352" s="94">
        <v>46280</v>
      </c>
      <c r="F352" s="50">
        <f t="shared" si="6"/>
        <v>380</v>
      </c>
      <c r="G352" t="str">
        <f>VLOOKUP(F352,T!$A$2:$C$9,3,TRUE)</f>
        <v>6. 1-3 Years</v>
      </c>
    </row>
    <row r="353" spans="1:7" x14ac:dyDescent="0.3">
      <c r="A353" t="s">
        <v>777</v>
      </c>
      <c r="B353" t="s">
        <v>774</v>
      </c>
      <c r="C353" s="50">
        <v>8333294</v>
      </c>
      <c r="D353" s="95">
        <v>9.2499999999999999E-2</v>
      </c>
      <c r="E353" s="94">
        <v>46280</v>
      </c>
      <c r="F353" s="50">
        <f t="shared" si="6"/>
        <v>380</v>
      </c>
      <c r="G353" t="str">
        <f>VLOOKUP(F353,T!$A$2:$C$9,3,TRUE)</f>
        <v>6. 1-3 Years</v>
      </c>
    </row>
    <row r="354" spans="1:7" x14ac:dyDescent="0.3">
      <c r="A354" t="s">
        <v>780</v>
      </c>
      <c r="B354" t="s">
        <v>774</v>
      </c>
      <c r="C354" s="50">
        <v>16666666.67</v>
      </c>
      <c r="D354" s="95">
        <v>8.0199999999999994E-2</v>
      </c>
      <c r="E354" s="94">
        <v>46280</v>
      </c>
      <c r="F354" s="50">
        <f t="shared" si="6"/>
        <v>380</v>
      </c>
      <c r="G354" t="str">
        <f>VLOOKUP(F354,T!$A$2:$C$9,3,TRUE)</f>
        <v>6. 1-3 Years</v>
      </c>
    </row>
    <row r="355" spans="1:7" x14ac:dyDescent="0.3">
      <c r="A355" t="s">
        <v>785</v>
      </c>
      <c r="B355" t="s">
        <v>774</v>
      </c>
      <c r="C355" s="50">
        <v>25000000</v>
      </c>
      <c r="D355" s="95">
        <v>8.0199999999999994E-2</v>
      </c>
      <c r="E355" s="94">
        <v>46283</v>
      </c>
      <c r="F355" s="50">
        <f t="shared" si="6"/>
        <v>383</v>
      </c>
      <c r="G355" t="str">
        <f>VLOOKUP(F355,T!$A$2:$C$9,3,TRUE)</f>
        <v>6. 1-3 Years</v>
      </c>
    </row>
    <row r="356" spans="1:7" x14ac:dyDescent="0.3">
      <c r="A356" t="s">
        <v>790</v>
      </c>
      <c r="B356" t="s">
        <v>774</v>
      </c>
      <c r="C356" s="50">
        <v>15576302.109999999</v>
      </c>
      <c r="D356" s="95">
        <v>0.12</v>
      </c>
      <c r="E356" s="94">
        <v>46284</v>
      </c>
      <c r="F356" s="50">
        <f t="shared" si="6"/>
        <v>384</v>
      </c>
      <c r="G356" t="str">
        <f>VLOOKUP(F356,T!$A$2:$C$9,3,TRUE)</f>
        <v>6. 1-3 Years</v>
      </c>
    </row>
    <row r="357" spans="1:7" x14ac:dyDescent="0.3">
      <c r="A357" t="s">
        <v>792</v>
      </c>
      <c r="B357" t="s">
        <v>774</v>
      </c>
      <c r="C357" s="50">
        <v>20800000</v>
      </c>
      <c r="D357" s="95">
        <v>0.1075</v>
      </c>
      <c r="E357" s="94">
        <v>46287</v>
      </c>
      <c r="F357" s="50">
        <f t="shared" si="6"/>
        <v>387</v>
      </c>
      <c r="G357" t="str">
        <f>VLOOKUP(F357,T!$A$2:$C$9,3,TRUE)</f>
        <v>6. 1-3 Years</v>
      </c>
    </row>
    <row r="358" spans="1:7" x14ac:dyDescent="0.3">
      <c r="A358" t="s">
        <v>792</v>
      </c>
      <c r="B358" t="s">
        <v>774</v>
      </c>
      <c r="C358" s="50">
        <v>20800000</v>
      </c>
      <c r="D358" s="95">
        <v>0.1075</v>
      </c>
      <c r="E358" s="94">
        <v>46289</v>
      </c>
      <c r="F358" s="50">
        <f t="shared" si="6"/>
        <v>389</v>
      </c>
      <c r="G358" t="str">
        <f>VLOOKUP(F358,T!$A$2:$C$9,3,TRUE)</f>
        <v>6. 1-3 Years</v>
      </c>
    </row>
    <row r="359" spans="1:7" x14ac:dyDescent="0.3">
      <c r="A359" t="s">
        <v>793</v>
      </c>
      <c r="B359" t="s">
        <v>774</v>
      </c>
      <c r="C359" s="50">
        <v>16650000</v>
      </c>
      <c r="D359" s="95">
        <v>0.09</v>
      </c>
      <c r="E359" s="94">
        <v>46290</v>
      </c>
      <c r="F359" s="50">
        <f t="shared" si="6"/>
        <v>390</v>
      </c>
      <c r="G359" t="str">
        <f>VLOOKUP(F359,T!$A$2:$C$9,3,TRUE)</f>
        <v>6. 1-3 Years</v>
      </c>
    </row>
    <row r="360" spans="1:7" x14ac:dyDescent="0.3">
      <c r="A360" t="s">
        <v>793</v>
      </c>
      <c r="B360" t="s">
        <v>774</v>
      </c>
      <c r="C360" s="50">
        <v>16650000</v>
      </c>
      <c r="D360" s="95">
        <v>0.09</v>
      </c>
      <c r="E360" s="94">
        <v>46291</v>
      </c>
      <c r="F360" s="50">
        <f t="shared" si="6"/>
        <v>391</v>
      </c>
      <c r="G360" t="str">
        <f>VLOOKUP(F360,T!$A$2:$C$9,3,TRUE)</f>
        <v>6. 1-3 Years</v>
      </c>
    </row>
    <row r="361" spans="1:7" x14ac:dyDescent="0.3">
      <c r="A361" t="s">
        <v>794</v>
      </c>
      <c r="B361" t="s">
        <v>774</v>
      </c>
      <c r="C361" s="50">
        <v>20833000</v>
      </c>
      <c r="D361" s="95">
        <v>8.0699999999999994E-2</v>
      </c>
      <c r="E361" s="94">
        <v>46291</v>
      </c>
      <c r="F361" s="50">
        <f t="shared" si="6"/>
        <v>391</v>
      </c>
      <c r="G361" t="str">
        <f>VLOOKUP(F361,T!$A$2:$C$9,3,TRUE)</f>
        <v>6. 1-3 Years</v>
      </c>
    </row>
    <row r="362" spans="1:7" x14ac:dyDescent="0.3">
      <c r="A362" t="s">
        <v>794</v>
      </c>
      <c r="B362" t="s">
        <v>774</v>
      </c>
      <c r="C362" s="50">
        <v>20833000</v>
      </c>
      <c r="D362" s="95">
        <v>8.0699999999999994E-2</v>
      </c>
      <c r="E362" s="94">
        <v>46291</v>
      </c>
      <c r="F362" s="50">
        <f t="shared" si="6"/>
        <v>391</v>
      </c>
      <c r="G362" t="str">
        <f>VLOOKUP(F362,T!$A$2:$C$9,3,TRUE)</f>
        <v>6. 1-3 Years</v>
      </c>
    </row>
    <row r="363" spans="1:7" x14ac:dyDescent="0.3">
      <c r="A363" t="s">
        <v>794</v>
      </c>
      <c r="B363" t="s">
        <v>774</v>
      </c>
      <c r="C363" s="50">
        <v>20833000</v>
      </c>
      <c r="D363" s="95">
        <v>8.0699999999999994E-2</v>
      </c>
      <c r="E363" s="94">
        <v>46291</v>
      </c>
      <c r="F363" s="50">
        <f t="shared" si="6"/>
        <v>391</v>
      </c>
      <c r="G363" t="str">
        <f>VLOOKUP(F363,T!$A$2:$C$9,3,TRUE)</f>
        <v>6. 1-3 Years</v>
      </c>
    </row>
    <row r="364" spans="1:7" x14ac:dyDescent="0.3">
      <c r="A364" t="s">
        <v>795</v>
      </c>
      <c r="B364" t="s">
        <v>774</v>
      </c>
      <c r="C364" s="50">
        <v>20833333.333333328</v>
      </c>
      <c r="D364" s="95">
        <v>0.1075</v>
      </c>
      <c r="E364" s="94">
        <v>46292</v>
      </c>
      <c r="F364" s="50">
        <f t="shared" si="6"/>
        <v>392</v>
      </c>
      <c r="G364" t="str">
        <f>VLOOKUP(F364,T!$A$2:$C$9,3,TRUE)</f>
        <v>6. 1-3 Years</v>
      </c>
    </row>
    <row r="365" spans="1:7" x14ac:dyDescent="0.3">
      <c r="A365" t="s">
        <v>795</v>
      </c>
      <c r="B365" t="s">
        <v>774</v>
      </c>
      <c r="C365" s="50">
        <v>20833333.333333328</v>
      </c>
      <c r="D365" s="95">
        <v>0.1075</v>
      </c>
      <c r="E365" s="94">
        <v>46292</v>
      </c>
      <c r="F365" s="50">
        <f t="shared" si="6"/>
        <v>392</v>
      </c>
      <c r="G365" t="str">
        <f>VLOOKUP(F365,T!$A$2:$C$9,3,TRUE)</f>
        <v>6. 1-3 Years</v>
      </c>
    </row>
    <row r="366" spans="1:7" x14ac:dyDescent="0.3">
      <c r="A366" t="s">
        <v>795</v>
      </c>
      <c r="B366" t="s">
        <v>774</v>
      </c>
      <c r="C366" s="50">
        <v>10416666.66666667</v>
      </c>
      <c r="D366" s="95">
        <v>0.1075</v>
      </c>
      <c r="E366" s="94">
        <v>46292</v>
      </c>
      <c r="F366" s="50">
        <f t="shared" si="6"/>
        <v>392</v>
      </c>
      <c r="G366" t="str">
        <f>VLOOKUP(F366,T!$A$2:$C$9,3,TRUE)</f>
        <v>6. 1-3 Years</v>
      </c>
    </row>
    <row r="367" spans="1:7" x14ac:dyDescent="0.3">
      <c r="A367" s="94" t="s">
        <v>795</v>
      </c>
      <c r="B367" t="s">
        <v>774</v>
      </c>
      <c r="C367" s="50">
        <v>10416666.66666667</v>
      </c>
      <c r="D367" s="95">
        <v>0.1075</v>
      </c>
      <c r="E367" s="94">
        <v>46292</v>
      </c>
      <c r="F367" s="50">
        <f t="shared" si="6"/>
        <v>392</v>
      </c>
      <c r="G367" t="str">
        <f>VLOOKUP(F367,T!$A$2:$C$9,3,TRUE)</f>
        <v>6. 1-3 Years</v>
      </c>
    </row>
    <row r="368" spans="1:7" x14ac:dyDescent="0.3">
      <c r="A368" s="94" t="s">
        <v>796</v>
      </c>
      <c r="B368" t="s">
        <v>774</v>
      </c>
      <c r="C368" s="50">
        <v>13888000</v>
      </c>
      <c r="D368" s="95">
        <v>8.2199999999999995E-2</v>
      </c>
      <c r="E368" s="94">
        <v>46293</v>
      </c>
      <c r="F368" s="50">
        <f t="shared" si="6"/>
        <v>393</v>
      </c>
      <c r="G368" t="str">
        <f>VLOOKUP(F368,T!$A$2:$C$9,3,TRUE)</f>
        <v>6. 1-3 Years</v>
      </c>
    </row>
    <row r="369" spans="1:7" x14ac:dyDescent="0.3">
      <c r="A369" s="94" t="s">
        <v>780</v>
      </c>
      <c r="B369" t="s">
        <v>774</v>
      </c>
      <c r="C369" s="50">
        <v>16666666.470000001</v>
      </c>
      <c r="D369" s="95">
        <v>8.0199999999999994E-2</v>
      </c>
      <c r="E369" s="94">
        <v>46294</v>
      </c>
      <c r="F369" s="50">
        <f t="shared" si="6"/>
        <v>394</v>
      </c>
      <c r="G369" t="str">
        <f>VLOOKUP(F369,T!$A$2:$C$9,3,TRUE)</f>
        <v>6. 1-3 Years</v>
      </c>
    </row>
    <row r="370" spans="1:7" x14ac:dyDescent="0.3">
      <c r="A370" s="94" t="s">
        <v>797</v>
      </c>
      <c r="B370" t="s">
        <v>774</v>
      </c>
      <c r="C370" s="50">
        <v>8250000</v>
      </c>
      <c r="D370" s="95">
        <v>0.12</v>
      </c>
      <c r="E370" s="94">
        <v>46295</v>
      </c>
      <c r="F370" s="50">
        <f t="shared" si="6"/>
        <v>395</v>
      </c>
      <c r="G370" t="str">
        <f>VLOOKUP(F370,T!$A$2:$C$9,3,TRUE)</f>
        <v>6. 1-3 Years</v>
      </c>
    </row>
    <row r="371" spans="1:7" x14ac:dyDescent="0.3">
      <c r="A371" s="94" t="s">
        <v>797</v>
      </c>
      <c r="B371" t="s">
        <v>774</v>
      </c>
      <c r="C371" s="50">
        <v>8250000</v>
      </c>
      <c r="D371" s="95">
        <v>0.12</v>
      </c>
      <c r="E371" s="94">
        <v>46295</v>
      </c>
      <c r="F371" s="50">
        <f t="shared" si="6"/>
        <v>395</v>
      </c>
      <c r="G371" t="str">
        <f>VLOOKUP(F371,T!$A$2:$C$9,3,TRUE)</f>
        <v>6. 1-3 Years</v>
      </c>
    </row>
    <row r="372" spans="1:7" x14ac:dyDescent="0.3">
      <c r="A372" s="94" t="s">
        <v>797</v>
      </c>
      <c r="B372" t="s">
        <v>774</v>
      </c>
      <c r="C372" s="50">
        <v>8250000</v>
      </c>
      <c r="D372" s="95">
        <v>0.12</v>
      </c>
      <c r="E372" s="94">
        <v>46295</v>
      </c>
      <c r="F372" s="50">
        <f t="shared" si="6"/>
        <v>395</v>
      </c>
      <c r="G372" t="str">
        <f>VLOOKUP(F372,T!$A$2:$C$9,3,TRUE)</f>
        <v>6. 1-3 Years</v>
      </c>
    </row>
    <row r="373" spans="1:7" x14ac:dyDescent="0.3">
      <c r="A373" s="94" t="s">
        <v>797</v>
      </c>
      <c r="B373" t="s">
        <v>774</v>
      </c>
      <c r="C373" s="50">
        <v>8250000</v>
      </c>
      <c r="D373" s="95">
        <v>0.12</v>
      </c>
      <c r="E373" s="94">
        <v>46295</v>
      </c>
      <c r="F373" s="50">
        <f t="shared" si="6"/>
        <v>395</v>
      </c>
      <c r="G373" t="str">
        <f>VLOOKUP(F373,T!$A$2:$C$9,3,TRUE)</f>
        <v>6. 1-3 Years</v>
      </c>
    </row>
    <row r="374" spans="1:7" x14ac:dyDescent="0.3">
      <c r="A374" s="94" t="s">
        <v>801</v>
      </c>
      <c r="B374" t="s">
        <v>774</v>
      </c>
      <c r="C374" s="50">
        <v>196256250</v>
      </c>
      <c r="D374" s="95">
        <v>8.8499999999999995E-2</v>
      </c>
      <c r="E374" s="94">
        <v>46295</v>
      </c>
      <c r="F374" s="50">
        <f t="shared" si="6"/>
        <v>395</v>
      </c>
      <c r="G374" t="str">
        <f>VLOOKUP(F374,T!$A$2:$C$9,3,TRUE)</f>
        <v>6. 1-3 Years</v>
      </c>
    </row>
    <row r="375" spans="1:7" x14ac:dyDescent="0.3">
      <c r="A375" s="94" t="s">
        <v>798</v>
      </c>
      <c r="B375" t="s">
        <v>774</v>
      </c>
      <c r="C375" s="50">
        <v>145833333.34</v>
      </c>
      <c r="D375" s="95">
        <v>0.11</v>
      </c>
      <c r="E375" s="94">
        <v>46295</v>
      </c>
      <c r="F375" s="50">
        <f t="shared" si="6"/>
        <v>395</v>
      </c>
      <c r="G375" t="str">
        <f>VLOOKUP(F375,T!$A$2:$C$9,3,TRUE)</f>
        <v>6. 1-3 Years</v>
      </c>
    </row>
    <row r="376" spans="1:7" x14ac:dyDescent="0.3">
      <c r="A376" s="94" t="s">
        <v>780</v>
      </c>
      <c r="B376" t="s">
        <v>774</v>
      </c>
      <c r="C376" s="50">
        <v>16666666.67</v>
      </c>
      <c r="D376" s="95">
        <v>8.0199999999999994E-2</v>
      </c>
      <c r="E376" s="94">
        <v>46310</v>
      </c>
      <c r="F376" s="50">
        <f t="shared" si="6"/>
        <v>410</v>
      </c>
      <c r="G376" t="str">
        <f>VLOOKUP(F376,T!$A$2:$C$9,3,TRUE)</f>
        <v>6. 1-3 Years</v>
      </c>
    </row>
    <row r="377" spans="1:7" x14ac:dyDescent="0.3">
      <c r="A377" s="94" t="s">
        <v>785</v>
      </c>
      <c r="B377" t="s">
        <v>774</v>
      </c>
      <c r="C377" s="50">
        <v>25000000</v>
      </c>
      <c r="D377" s="95">
        <v>8.0199999999999994E-2</v>
      </c>
      <c r="E377" s="94">
        <v>46313</v>
      </c>
      <c r="F377" s="50">
        <f t="shared" si="6"/>
        <v>413</v>
      </c>
      <c r="G377" t="str">
        <f>VLOOKUP(F377,T!$A$2:$C$9,3,TRUE)</f>
        <v>6. 1-3 Years</v>
      </c>
    </row>
    <row r="378" spans="1:7" x14ac:dyDescent="0.3">
      <c r="A378" s="94" t="s">
        <v>790</v>
      </c>
      <c r="B378" t="s">
        <v>774</v>
      </c>
      <c r="C378" s="50">
        <v>15945032.98</v>
      </c>
      <c r="D378" s="95">
        <v>0.12</v>
      </c>
      <c r="E378" s="94">
        <v>46314</v>
      </c>
      <c r="F378" s="50">
        <f t="shared" si="6"/>
        <v>414</v>
      </c>
      <c r="G378" t="str">
        <f>VLOOKUP(F378,T!$A$2:$C$9,3,TRUE)</f>
        <v>6. 1-3 Years</v>
      </c>
    </row>
    <row r="379" spans="1:7" x14ac:dyDescent="0.3">
      <c r="A379" s="94" t="s">
        <v>792</v>
      </c>
      <c r="B379" t="s">
        <v>774</v>
      </c>
      <c r="C379" s="50">
        <v>20800000</v>
      </c>
      <c r="D379" s="95">
        <v>0.1075</v>
      </c>
      <c r="E379" s="94">
        <v>46317</v>
      </c>
      <c r="F379" s="50">
        <f t="shared" si="6"/>
        <v>417</v>
      </c>
      <c r="G379" t="str">
        <f>VLOOKUP(F379,T!$A$2:$C$9,3,TRUE)</f>
        <v>6. 1-3 Years</v>
      </c>
    </row>
    <row r="380" spans="1:7" x14ac:dyDescent="0.3">
      <c r="A380" s="94" t="s">
        <v>799</v>
      </c>
      <c r="B380" t="s">
        <v>774</v>
      </c>
      <c r="C380" s="50">
        <v>50000000</v>
      </c>
      <c r="D380" s="95">
        <v>0.12</v>
      </c>
      <c r="E380" s="94">
        <v>46318</v>
      </c>
      <c r="F380" s="50">
        <f t="shared" si="6"/>
        <v>418</v>
      </c>
      <c r="G380" t="str">
        <f>VLOOKUP(F380,T!$A$2:$C$9,3,TRUE)</f>
        <v>6. 1-3 Years</v>
      </c>
    </row>
    <row r="381" spans="1:7" x14ac:dyDescent="0.3">
      <c r="A381" s="94" t="s">
        <v>799</v>
      </c>
      <c r="B381" t="s">
        <v>774</v>
      </c>
      <c r="C381" s="50">
        <v>50000000</v>
      </c>
      <c r="D381" s="95">
        <v>0.12</v>
      </c>
      <c r="E381" s="94">
        <v>46318</v>
      </c>
      <c r="F381" s="50">
        <f t="shared" si="6"/>
        <v>418</v>
      </c>
      <c r="G381" t="str">
        <f>VLOOKUP(F381,T!$A$2:$C$9,3,TRUE)</f>
        <v>6. 1-3 Years</v>
      </c>
    </row>
    <row r="382" spans="1:7" x14ac:dyDescent="0.3">
      <c r="A382" s="94" t="s">
        <v>799</v>
      </c>
      <c r="B382" t="s">
        <v>774</v>
      </c>
      <c r="C382" s="50">
        <v>50000000</v>
      </c>
      <c r="D382" s="95">
        <v>0.12</v>
      </c>
      <c r="E382" s="94">
        <v>46318</v>
      </c>
      <c r="F382" s="50">
        <f t="shared" si="6"/>
        <v>418</v>
      </c>
      <c r="G382" t="str">
        <f>VLOOKUP(F382,T!$A$2:$C$9,3,TRUE)</f>
        <v>6. 1-3 Years</v>
      </c>
    </row>
    <row r="383" spans="1:7" x14ac:dyDescent="0.3">
      <c r="A383" s="94" t="s">
        <v>792</v>
      </c>
      <c r="B383" t="s">
        <v>774</v>
      </c>
      <c r="C383" s="50">
        <v>20800000</v>
      </c>
      <c r="D383" s="95">
        <v>0.1075</v>
      </c>
      <c r="E383" s="94">
        <v>46319</v>
      </c>
      <c r="F383" s="50">
        <f t="shared" si="6"/>
        <v>419</v>
      </c>
      <c r="G383" t="str">
        <f>VLOOKUP(F383,T!$A$2:$C$9,3,TRUE)</f>
        <v>6. 1-3 Years</v>
      </c>
    </row>
    <row r="384" spans="1:7" x14ac:dyDescent="0.3">
      <c r="A384" s="94" t="s">
        <v>793</v>
      </c>
      <c r="B384" t="s">
        <v>774</v>
      </c>
      <c r="C384" s="50">
        <v>16650000</v>
      </c>
      <c r="D384" s="95">
        <v>0.09</v>
      </c>
      <c r="E384" s="94">
        <v>46320</v>
      </c>
      <c r="F384" s="50">
        <f t="shared" si="6"/>
        <v>420</v>
      </c>
      <c r="G384" t="str">
        <f>VLOOKUP(F384,T!$A$2:$C$9,3,TRUE)</f>
        <v>6. 1-3 Years</v>
      </c>
    </row>
    <row r="385" spans="1:7" x14ac:dyDescent="0.3">
      <c r="A385" s="94" t="s">
        <v>793</v>
      </c>
      <c r="B385" t="s">
        <v>774</v>
      </c>
      <c r="C385" s="50">
        <v>16650000</v>
      </c>
      <c r="D385" s="95">
        <v>0.09</v>
      </c>
      <c r="E385" s="94">
        <v>46321</v>
      </c>
      <c r="F385" s="50">
        <f t="shared" si="6"/>
        <v>421</v>
      </c>
      <c r="G385" t="str">
        <f>VLOOKUP(F385,T!$A$2:$C$9,3,TRUE)</f>
        <v>6. 1-3 Years</v>
      </c>
    </row>
    <row r="386" spans="1:7" x14ac:dyDescent="0.3">
      <c r="A386" s="94" t="s">
        <v>794</v>
      </c>
      <c r="B386" t="s">
        <v>774</v>
      </c>
      <c r="C386" s="50">
        <v>20833000</v>
      </c>
      <c r="D386" s="95">
        <v>8.0699999999999994E-2</v>
      </c>
      <c r="E386" s="94">
        <v>46321</v>
      </c>
      <c r="F386" s="50">
        <f t="shared" si="6"/>
        <v>421</v>
      </c>
      <c r="G386" t="str">
        <f>VLOOKUP(F386,T!$A$2:$C$9,3,TRUE)</f>
        <v>6. 1-3 Years</v>
      </c>
    </row>
    <row r="387" spans="1:7" x14ac:dyDescent="0.3">
      <c r="A387" s="94" t="s">
        <v>794</v>
      </c>
      <c r="B387" t="s">
        <v>774</v>
      </c>
      <c r="C387" s="50">
        <v>20833000</v>
      </c>
      <c r="D387" s="95">
        <v>8.0699999999999994E-2</v>
      </c>
      <c r="E387" s="94">
        <v>46321</v>
      </c>
      <c r="F387" s="50">
        <f t="shared" ref="F387:F450" si="7">E387-$F$1</f>
        <v>421</v>
      </c>
      <c r="G387" t="str">
        <f>VLOOKUP(F387,T!$A$2:$C$9,3,TRUE)</f>
        <v>6. 1-3 Years</v>
      </c>
    </row>
    <row r="388" spans="1:7" x14ac:dyDescent="0.3">
      <c r="A388" s="94" t="s">
        <v>794</v>
      </c>
      <c r="B388" t="s">
        <v>774</v>
      </c>
      <c r="C388" s="50">
        <v>20833000</v>
      </c>
      <c r="D388" s="95">
        <v>8.0699999999999994E-2</v>
      </c>
      <c r="E388" s="94">
        <v>46321</v>
      </c>
      <c r="F388" s="50">
        <f t="shared" si="7"/>
        <v>421</v>
      </c>
      <c r="G388" t="str">
        <f>VLOOKUP(F388,T!$A$2:$C$9,3,TRUE)</f>
        <v>6. 1-3 Years</v>
      </c>
    </row>
    <row r="389" spans="1:7" x14ac:dyDescent="0.3">
      <c r="A389" s="94" t="s">
        <v>795</v>
      </c>
      <c r="B389" t="s">
        <v>774</v>
      </c>
      <c r="C389" s="50">
        <v>20833333.333333328</v>
      </c>
      <c r="D389" s="95">
        <v>0.1075</v>
      </c>
      <c r="E389" s="94">
        <v>46322</v>
      </c>
      <c r="F389" s="50">
        <f t="shared" si="7"/>
        <v>422</v>
      </c>
      <c r="G389" t="str">
        <f>VLOOKUP(F389,T!$A$2:$C$9,3,TRUE)</f>
        <v>6. 1-3 Years</v>
      </c>
    </row>
    <row r="390" spans="1:7" x14ac:dyDescent="0.3">
      <c r="A390" s="94" t="s">
        <v>795</v>
      </c>
      <c r="B390" t="s">
        <v>774</v>
      </c>
      <c r="C390" s="50">
        <v>20833333.333333328</v>
      </c>
      <c r="D390" s="95">
        <v>0.1075</v>
      </c>
      <c r="E390" s="94">
        <v>46322</v>
      </c>
      <c r="F390" s="50">
        <f t="shared" si="7"/>
        <v>422</v>
      </c>
      <c r="G390" t="str">
        <f>VLOOKUP(F390,T!$A$2:$C$9,3,TRUE)</f>
        <v>6. 1-3 Years</v>
      </c>
    </row>
    <row r="391" spans="1:7" x14ac:dyDescent="0.3">
      <c r="A391" s="94" t="s">
        <v>795</v>
      </c>
      <c r="B391" t="s">
        <v>774</v>
      </c>
      <c r="C391" s="50">
        <v>10416666.66666667</v>
      </c>
      <c r="D391" s="95">
        <v>0.1075</v>
      </c>
      <c r="E391" s="94">
        <v>46322</v>
      </c>
      <c r="F391" s="50">
        <f t="shared" si="7"/>
        <v>422</v>
      </c>
      <c r="G391" t="str">
        <f>VLOOKUP(F391,T!$A$2:$C$9,3,TRUE)</f>
        <v>6. 1-3 Years</v>
      </c>
    </row>
    <row r="392" spans="1:7" x14ac:dyDescent="0.3">
      <c r="A392" s="94" t="s">
        <v>795</v>
      </c>
      <c r="B392" t="s">
        <v>774</v>
      </c>
      <c r="C392" s="50">
        <v>10416666.66666667</v>
      </c>
      <c r="D392" s="95">
        <v>0.1075</v>
      </c>
      <c r="E392" s="94">
        <v>46322</v>
      </c>
      <c r="F392" s="50">
        <f t="shared" si="7"/>
        <v>422</v>
      </c>
      <c r="G392" t="str">
        <f>VLOOKUP(F392,T!$A$2:$C$9,3,TRUE)</f>
        <v>6. 1-3 Years</v>
      </c>
    </row>
    <row r="393" spans="1:7" x14ac:dyDescent="0.3">
      <c r="A393" s="94" t="s">
        <v>796</v>
      </c>
      <c r="B393" t="s">
        <v>774</v>
      </c>
      <c r="C393" s="50">
        <v>13888000</v>
      </c>
      <c r="D393" s="95">
        <v>8.2199999999999995E-2</v>
      </c>
      <c r="E393" s="94">
        <v>46323</v>
      </c>
      <c r="F393" s="50">
        <f t="shared" si="7"/>
        <v>423</v>
      </c>
      <c r="G393" t="str">
        <f>VLOOKUP(F393,T!$A$2:$C$9,3,TRUE)</f>
        <v>6. 1-3 Years</v>
      </c>
    </row>
    <row r="394" spans="1:7" x14ac:dyDescent="0.3">
      <c r="A394" s="94" t="s">
        <v>780</v>
      </c>
      <c r="B394" t="s">
        <v>774</v>
      </c>
      <c r="C394" s="50">
        <v>16666666.470000001</v>
      </c>
      <c r="D394" s="95">
        <v>8.0199999999999994E-2</v>
      </c>
      <c r="E394" s="94">
        <v>46324</v>
      </c>
      <c r="F394" s="50">
        <f t="shared" si="7"/>
        <v>424</v>
      </c>
      <c r="G394" t="str">
        <f>VLOOKUP(F394,T!$A$2:$C$9,3,TRUE)</f>
        <v>6. 1-3 Years</v>
      </c>
    </row>
    <row r="395" spans="1:7" x14ac:dyDescent="0.3">
      <c r="A395" s="94" t="s">
        <v>797</v>
      </c>
      <c r="B395" t="s">
        <v>774</v>
      </c>
      <c r="C395" s="50">
        <v>8250000</v>
      </c>
      <c r="D395" s="95">
        <v>0.12</v>
      </c>
      <c r="E395" s="94">
        <v>46326</v>
      </c>
      <c r="F395" s="50">
        <f t="shared" si="7"/>
        <v>426</v>
      </c>
      <c r="G395" t="str">
        <f>VLOOKUP(F395,T!$A$2:$C$9,3,TRUE)</f>
        <v>6. 1-3 Years</v>
      </c>
    </row>
    <row r="396" spans="1:7" x14ac:dyDescent="0.3">
      <c r="A396" s="94" t="s">
        <v>797</v>
      </c>
      <c r="B396" t="s">
        <v>774</v>
      </c>
      <c r="C396" s="50">
        <v>8250000</v>
      </c>
      <c r="D396" s="95">
        <v>0.12</v>
      </c>
      <c r="E396" s="94">
        <v>46326</v>
      </c>
      <c r="F396" s="50">
        <f t="shared" si="7"/>
        <v>426</v>
      </c>
      <c r="G396" t="str">
        <f>VLOOKUP(F396,T!$A$2:$C$9,3,TRUE)</f>
        <v>6. 1-3 Years</v>
      </c>
    </row>
    <row r="397" spans="1:7" x14ac:dyDescent="0.3">
      <c r="A397" s="94" t="s">
        <v>797</v>
      </c>
      <c r="B397" t="s">
        <v>774</v>
      </c>
      <c r="C397" s="50">
        <v>8250000</v>
      </c>
      <c r="D397" s="95">
        <v>0.12</v>
      </c>
      <c r="E397" s="94">
        <v>46326</v>
      </c>
      <c r="F397" s="50">
        <f t="shared" si="7"/>
        <v>426</v>
      </c>
      <c r="G397" t="str">
        <f>VLOOKUP(F397,T!$A$2:$C$9,3,TRUE)</f>
        <v>6. 1-3 Years</v>
      </c>
    </row>
    <row r="398" spans="1:7" x14ac:dyDescent="0.3">
      <c r="A398" s="94" t="s">
        <v>797</v>
      </c>
      <c r="B398" t="s">
        <v>774</v>
      </c>
      <c r="C398" s="50">
        <v>8250000</v>
      </c>
      <c r="D398" s="95">
        <v>0.12</v>
      </c>
      <c r="E398" s="94">
        <v>46326</v>
      </c>
      <c r="F398" s="50">
        <f t="shared" si="7"/>
        <v>426</v>
      </c>
      <c r="G398" t="str">
        <f>VLOOKUP(F398,T!$A$2:$C$9,3,TRUE)</f>
        <v>6. 1-3 Years</v>
      </c>
    </row>
    <row r="399" spans="1:7" x14ac:dyDescent="0.3">
      <c r="A399" s="94" t="s">
        <v>780</v>
      </c>
      <c r="B399" t="s">
        <v>774</v>
      </c>
      <c r="C399" s="50">
        <v>16666666.67</v>
      </c>
      <c r="D399" s="95">
        <v>8.0199999999999994E-2</v>
      </c>
      <c r="E399" s="94">
        <v>46341</v>
      </c>
      <c r="F399" s="50">
        <f t="shared" si="7"/>
        <v>441</v>
      </c>
      <c r="G399" t="str">
        <f>VLOOKUP(F399,T!$A$2:$C$9,3,TRUE)</f>
        <v>6. 1-3 Years</v>
      </c>
    </row>
    <row r="400" spans="1:7" x14ac:dyDescent="0.3">
      <c r="A400" s="94" t="s">
        <v>785</v>
      </c>
      <c r="B400" t="s">
        <v>774</v>
      </c>
      <c r="C400" s="50">
        <v>25000000</v>
      </c>
      <c r="D400" s="95">
        <v>8.0199999999999994E-2</v>
      </c>
      <c r="E400" s="94">
        <v>46344</v>
      </c>
      <c r="F400" s="50">
        <f t="shared" si="7"/>
        <v>444</v>
      </c>
      <c r="G400" t="str">
        <f>VLOOKUP(F400,T!$A$2:$C$9,3,TRUE)</f>
        <v>6. 1-3 Years</v>
      </c>
    </row>
    <row r="401" spans="1:7" x14ac:dyDescent="0.3">
      <c r="A401" s="94" t="s">
        <v>790</v>
      </c>
      <c r="B401" t="s">
        <v>774</v>
      </c>
      <c r="C401" s="50">
        <v>15897560.689999999</v>
      </c>
      <c r="D401" s="95">
        <v>0.12</v>
      </c>
      <c r="E401" s="94">
        <v>46345</v>
      </c>
      <c r="F401" s="50">
        <f t="shared" si="7"/>
        <v>445</v>
      </c>
      <c r="G401" t="str">
        <f>VLOOKUP(F401,T!$A$2:$C$9,3,TRUE)</f>
        <v>6. 1-3 Years</v>
      </c>
    </row>
    <row r="402" spans="1:7" x14ac:dyDescent="0.3">
      <c r="A402" s="94" t="s">
        <v>800</v>
      </c>
      <c r="B402" t="s">
        <v>774</v>
      </c>
      <c r="C402" s="50">
        <v>50000000</v>
      </c>
      <c r="D402" s="95">
        <v>9.8500000000000004E-2</v>
      </c>
      <c r="E402" s="94">
        <v>46347</v>
      </c>
      <c r="F402" s="50">
        <f t="shared" si="7"/>
        <v>447</v>
      </c>
      <c r="G402" t="str">
        <f>VLOOKUP(F402,T!$A$2:$C$9,3,TRUE)</f>
        <v>6. 1-3 Years</v>
      </c>
    </row>
    <row r="403" spans="1:7" x14ac:dyDescent="0.3">
      <c r="A403" s="94" t="s">
        <v>792</v>
      </c>
      <c r="B403" t="s">
        <v>774</v>
      </c>
      <c r="C403" s="50">
        <v>20800000</v>
      </c>
      <c r="D403" s="95">
        <v>0.1075</v>
      </c>
      <c r="E403" s="94">
        <v>46348</v>
      </c>
      <c r="F403" s="50">
        <f t="shared" si="7"/>
        <v>448</v>
      </c>
      <c r="G403" t="str">
        <f>VLOOKUP(F403,T!$A$2:$C$9,3,TRUE)</f>
        <v>6. 1-3 Years</v>
      </c>
    </row>
    <row r="404" spans="1:7" x14ac:dyDescent="0.3">
      <c r="A404" s="94" t="s">
        <v>792</v>
      </c>
      <c r="B404" t="s">
        <v>774</v>
      </c>
      <c r="C404" s="50">
        <v>20800000</v>
      </c>
      <c r="D404" s="95">
        <v>0.1075</v>
      </c>
      <c r="E404" s="94">
        <v>46350</v>
      </c>
      <c r="F404" s="50">
        <f t="shared" si="7"/>
        <v>450</v>
      </c>
      <c r="G404" t="str">
        <f>VLOOKUP(F404,T!$A$2:$C$9,3,TRUE)</f>
        <v>6. 1-3 Years</v>
      </c>
    </row>
    <row r="405" spans="1:7" x14ac:dyDescent="0.3">
      <c r="A405" s="94" t="s">
        <v>793</v>
      </c>
      <c r="B405" t="s">
        <v>774</v>
      </c>
      <c r="C405" s="50">
        <v>16650000</v>
      </c>
      <c r="D405" s="95">
        <v>0.09</v>
      </c>
      <c r="E405" s="94">
        <v>46351</v>
      </c>
      <c r="F405" s="50">
        <f t="shared" si="7"/>
        <v>451</v>
      </c>
      <c r="G405" t="str">
        <f>VLOOKUP(F405,T!$A$2:$C$9,3,TRUE)</f>
        <v>6. 1-3 Years</v>
      </c>
    </row>
    <row r="406" spans="1:7" x14ac:dyDescent="0.3">
      <c r="A406" s="94" t="s">
        <v>793</v>
      </c>
      <c r="B406" t="s">
        <v>774</v>
      </c>
      <c r="C406" s="50">
        <v>16650000</v>
      </c>
      <c r="D406" s="95">
        <v>0.09</v>
      </c>
      <c r="E406" s="94">
        <v>46352</v>
      </c>
      <c r="F406" s="50">
        <f t="shared" si="7"/>
        <v>452</v>
      </c>
      <c r="G406" t="str">
        <f>VLOOKUP(F406,T!$A$2:$C$9,3,TRUE)</f>
        <v>6. 1-3 Years</v>
      </c>
    </row>
    <row r="407" spans="1:7" x14ac:dyDescent="0.3">
      <c r="A407" s="94" t="s">
        <v>794</v>
      </c>
      <c r="B407" t="s">
        <v>774</v>
      </c>
      <c r="C407" s="50">
        <v>20833000</v>
      </c>
      <c r="D407" s="95">
        <v>8.0699999999999994E-2</v>
      </c>
      <c r="E407" s="94">
        <v>46352</v>
      </c>
      <c r="F407" s="50">
        <f t="shared" si="7"/>
        <v>452</v>
      </c>
      <c r="G407" t="str">
        <f>VLOOKUP(F407,T!$A$2:$C$9,3,TRUE)</f>
        <v>6. 1-3 Years</v>
      </c>
    </row>
    <row r="408" spans="1:7" x14ac:dyDescent="0.3">
      <c r="A408" s="94" t="s">
        <v>794</v>
      </c>
      <c r="B408" t="s">
        <v>774</v>
      </c>
      <c r="C408" s="50">
        <v>20833000</v>
      </c>
      <c r="D408" s="95">
        <v>8.0699999999999994E-2</v>
      </c>
      <c r="E408" s="94">
        <v>46352</v>
      </c>
      <c r="F408" s="50">
        <f t="shared" si="7"/>
        <v>452</v>
      </c>
      <c r="G408" t="str">
        <f>VLOOKUP(F408,T!$A$2:$C$9,3,TRUE)</f>
        <v>6. 1-3 Years</v>
      </c>
    </row>
    <row r="409" spans="1:7" x14ac:dyDescent="0.3">
      <c r="A409" s="94" t="s">
        <v>794</v>
      </c>
      <c r="B409" t="s">
        <v>774</v>
      </c>
      <c r="C409" s="50">
        <v>20833000</v>
      </c>
      <c r="D409" s="95">
        <v>8.0699999999999994E-2</v>
      </c>
      <c r="E409" s="94">
        <v>46352</v>
      </c>
      <c r="F409" s="50">
        <f t="shared" si="7"/>
        <v>452</v>
      </c>
      <c r="G409" t="str">
        <f>VLOOKUP(F409,T!$A$2:$C$9,3,TRUE)</f>
        <v>6. 1-3 Years</v>
      </c>
    </row>
    <row r="410" spans="1:7" x14ac:dyDescent="0.3">
      <c r="A410" s="94" t="s">
        <v>795</v>
      </c>
      <c r="B410" t="s">
        <v>774</v>
      </c>
      <c r="C410" s="50">
        <v>20833333.333333328</v>
      </c>
      <c r="D410" s="95">
        <v>0.1075</v>
      </c>
      <c r="E410" s="94">
        <v>46353</v>
      </c>
      <c r="F410" s="50">
        <f t="shared" si="7"/>
        <v>453</v>
      </c>
      <c r="G410" t="str">
        <f>VLOOKUP(F410,T!$A$2:$C$9,3,TRUE)</f>
        <v>6. 1-3 Years</v>
      </c>
    </row>
    <row r="411" spans="1:7" x14ac:dyDescent="0.3">
      <c r="A411" s="94" t="s">
        <v>795</v>
      </c>
      <c r="B411" t="s">
        <v>774</v>
      </c>
      <c r="C411" s="50">
        <v>20833333.333333328</v>
      </c>
      <c r="D411" s="95">
        <v>0.1075</v>
      </c>
      <c r="E411" s="94">
        <v>46353</v>
      </c>
      <c r="F411" s="50">
        <f t="shared" si="7"/>
        <v>453</v>
      </c>
      <c r="G411" t="str">
        <f>VLOOKUP(F411,T!$A$2:$C$9,3,TRUE)</f>
        <v>6. 1-3 Years</v>
      </c>
    </row>
    <row r="412" spans="1:7" x14ac:dyDescent="0.3">
      <c r="A412" s="94" t="s">
        <v>795</v>
      </c>
      <c r="B412" t="s">
        <v>774</v>
      </c>
      <c r="C412" s="50">
        <v>10416666.66666667</v>
      </c>
      <c r="D412" s="95">
        <v>0.1075</v>
      </c>
      <c r="E412" s="94">
        <v>46353</v>
      </c>
      <c r="F412" s="50">
        <f t="shared" si="7"/>
        <v>453</v>
      </c>
      <c r="G412" t="str">
        <f>VLOOKUP(F412,T!$A$2:$C$9,3,TRUE)</f>
        <v>6. 1-3 Years</v>
      </c>
    </row>
    <row r="413" spans="1:7" x14ac:dyDescent="0.3">
      <c r="A413" s="94" t="s">
        <v>795</v>
      </c>
      <c r="B413" t="s">
        <v>774</v>
      </c>
      <c r="C413" s="50">
        <v>10416666.66666667</v>
      </c>
      <c r="D413" s="95">
        <v>0.1075</v>
      </c>
      <c r="E413" s="94">
        <v>46353</v>
      </c>
      <c r="F413" s="50">
        <f t="shared" si="7"/>
        <v>453</v>
      </c>
      <c r="G413" t="str">
        <f>VLOOKUP(F413,T!$A$2:$C$9,3,TRUE)</f>
        <v>6. 1-3 Years</v>
      </c>
    </row>
    <row r="414" spans="1:7" x14ac:dyDescent="0.3">
      <c r="A414" s="94" t="s">
        <v>796</v>
      </c>
      <c r="B414" t="s">
        <v>774</v>
      </c>
      <c r="C414" s="50">
        <v>13888000</v>
      </c>
      <c r="D414" s="95">
        <v>8.2199999999999995E-2</v>
      </c>
      <c r="E414" s="94">
        <v>46354</v>
      </c>
      <c r="F414" s="50">
        <f t="shared" si="7"/>
        <v>454</v>
      </c>
      <c r="G414" t="str">
        <f>VLOOKUP(F414,T!$A$2:$C$9,3,TRUE)</f>
        <v>6. 1-3 Years</v>
      </c>
    </row>
    <row r="415" spans="1:7" x14ac:dyDescent="0.3">
      <c r="A415" s="94" t="s">
        <v>800</v>
      </c>
      <c r="B415" t="s">
        <v>774</v>
      </c>
      <c r="C415" s="50">
        <v>50000000</v>
      </c>
      <c r="D415" s="95">
        <v>9.8500000000000004E-2</v>
      </c>
      <c r="E415" s="94">
        <v>46354</v>
      </c>
      <c r="F415" s="50">
        <f t="shared" si="7"/>
        <v>454</v>
      </c>
      <c r="G415" t="str">
        <f>VLOOKUP(F415,T!$A$2:$C$9,3,TRUE)</f>
        <v>6. 1-3 Years</v>
      </c>
    </row>
    <row r="416" spans="1:7" x14ac:dyDescent="0.3">
      <c r="A416" s="94" t="s">
        <v>780</v>
      </c>
      <c r="B416" t="s">
        <v>774</v>
      </c>
      <c r="C416" s="50">
        <v>16666666.470000001</v>
      </c>
      <c r="D416" s="95">
        <v>8.0199999999999994E-2</v>
      </c>
      <c r="E416" s="94">
        <v>46355</v>
      </c>
      <c r="F416" s="50">
        <f t="shared" si="7"/>
        <v>455</v>
      </c>
      <c r="G416" t="str">
        <f>VLOOKUP(F416,T!$A$2:$C$9,3,TRUE)</f>
        <v>6. 1-3 Years</v>
      </c>
    </row>
    <row r="417" spans="1:7" x14ac:dyDescent="0.3">
      <c r="A417" s="94" t="s">
        <v>797</v>
      </c>
      <c r="B417" t="s">
        <v>774</v>
      </c>
      <c r="C417" s="50">
        <v>8250000</v>
      </c>
      <c r="D417" s="95">
        <v>0.12</v>
      </c>
      <c r="E417" s="94">
        <v>46356</v>
      </c>
      <c r="F417" s="50">
        <f t="shared" si="7"/>
        <v>456</v>
      </c>
      <c r="G417" t="str">
        <f>VLOOKUP(F417,T!$A$2:$C$9,3,TRUE)</f>
        <v>6. 1-3 Years</v>
      </c>
    </row>
    <row r="418" spans="1:7" x14ac:dyDescent="0.3">
      <c r="A418" s="94" t="s">
        <v>797</v>
      </c>
      <c r="B418" t="s">
        <v>774</v>
      </c>
      <c r="C418" s="50">
        <v>8250000</v>
      </c>
      <c r="D418" s="95">
        <v>0.12</v>
      </c>
      <c r="E418" s="94">
        <v>46356</v>
      </c>
      <c r="F418" s="50">
        <f t="shared" si="7"/>
        <v>456</v>
      </c>
      <c r="G418" t="str">
        <f>VLOOKUP(F418,T!$A$2:$C$9,3,TRUE)</f>
        <v>6. 1-3 Years</v>
      </c>
    </row>
    <row r="419" spans="1:7" x14ac:dyDescent="0.3">
      <c r="A419" s="94" t="s">
        <v>797</v>
      </c>
      <c r="B419" t="s">
        <v>774</v>
      </c>
      <c r="C419" s="50">
        <v>8250000</v>
      </c>
      <c r="D419" s="95">
        <v>0.12</v>
      </c>
      <c r="E419" s="94">
        <v>46356</v>
      </c>
      <c r="F419" s="50">
        <f t="shared" si="7"/>
        <v>456</v>
      </c>
      <c r="G419" t="str">
        <f>VLOOKUP(F419,T!$A$2:$C$9,3,TRUE)</f>
        <v>6. 1-3 Years</v>
      </c>
    </row>
    <row r="420" spans="1:7" x14ac:dyDescent="0.3">
      <c r="A420" s="94" t="s">
        <v>797</v>
      </c>
      <c r="B420" t="s">
        <v>774</v>
      </c>
      <c r="C420" s="50">
        <v>8250000</v>
      </c>
      <c r="D420" s="95">
        <v>0.12</v>
      </c>
      <c r="E420" s="94">
        <v>46356</v>
      </c>
      <c r="F420" s="50">
        <f t="shared" si="7"/>
        <v>456</v>
      </c>
      <c r="G420" t="str">
        <f>VLOOKUP(F420,T!$A$2:$C$9,3,TRUE)</f>
        <v>6. 1-3 Years</v>
      </c>
    </row>
    <row r="421" spans="1:7" x14ac:dyDescent="0.3">
      <c r="A421" s="94" t="s">
        <v>773</v>
      </c>
      <c r="B421" t="s">
        <v>774</v>
      </c>
      <c r="C421" s="50">
        <v>50000000</v>
      </c>
      <c r="D421" s="95">
        <v>0.12</v>
      </c>
      <c r="E421" s="94">
        <v>46369</v>
      </c>
      <c r="F421" s="50">
        <f t="shared" si="7"/>
        <v>469</v>
      </c>
      <c r="G421" t="str">
        <f>VLOOKUP(F421,T!$A$2:$C$9,3,TRUE)</f>
        <v>6. 1-3 Years</v>
      </c>
    </row>
    <row r="422" spans="1:7" x14ac:dyDescent="0.3">
      <c r="A422" s="94" t="s">
        <v>773</v>
      </c>
      <c r="B422" t="s">
        <v>774</v>
      </c>
      <c r="C422" s="50">
        <v>25000000</v>
      </c>
      <c r="D422" s="95">
        <v>0.12</v>
      </c>
      <c r="E422" s="94">
        <v>46370</v>
      </c>
      <c r="F422" s="50">
        <f t="shared" si="7"/>
        <v>470</v>
      </c>
      <c r="G422" t="str">
        <f>VLOOKUP(F422,T!$A$2:$C$9,3,TRUE)</f>
        <v>6. 1-3 Years</v>
      </c>
    </row>
    <row r="423" spans="1:7" x14ac:dyDescent="0.3">
      <c r="A423" s="94" t="s">
        <v>780</v>
      </c>
      <c r="B423" t="s">
        <v>774</v>
      </c>
      <c r="C423" s="50">
        <v>16666666.67</v>
      </c>
      <c r="D423" s="95">
        <v>8.0199999999999994E-2</v>
      </c>
      <c r="E423" s="94">
        <v>46371</v>
      </c>
      <c r="F423" s="50">
        <f t="shared" si="7"/>
        <v>471</v>
      </c>
      <c r="G423" t="str">
        <f>VLOOKUP(F423,T!$A$2:$C$9,3,TRUE)</f>
        <v>6. 1-3 Years</v>
      </c>
    </row>
    <row r="424" spans="1:7" x14ac:dyDescent="0.3">
      <c r="A424" s="94" t="s">
        <v>785</v>
      </c>
      <c r="B424" t="s">
        <v>774</v>
      </c>
      <c r="C424" s="50">
        <v>25000000</v>
      </c>
      <c r="D424" s="95">
        <v>8.0199999999999994E-2</v>
      </c>
      <c r="E424" s="94">
        <v>46374</v>
      </c>
      <c r="F424" s="50">
        <f t="shared" si="7"/>
        <v>474</v>
      </c>
      <c r="G424" t="str">
        <f>VLOOKUP(F424,T!$A$2:$C$9,3,TRUE)</f>
        <v>6. 1-3 Years</v>
      </c>
    </row>
    <row r="425" spans="1:7" x14ac:dyDescent="0.3">
      <c r="A425" s="94" t="s">
        <v>790</v>
      </c>
      <c r="B425" t="s">
        <v>774</v>
      </c>
      <c r="C425" s="50">
        <v>16259096.68</v>
      </c>
      <c r="D425" s="95">
        <v>0.12</v>
      </c>
      <c r="E425" s="94">
        <v>46375</v>
      </c>
      <c r="F425" s="50">
        <f t="shared" si="7"/>
        <v>475</v>
      </c>
      <c r="G425" t="str">
        <f>VLOOKUP(F425,T!$A$2:$C$9,3,TRUE)</f>
        <v>6. 1-3 Years</v>
      </c>
    </row>
    <row r="426" spans="1:7" x14ac:dyDescent="0.3">
      <c r="A426" s="94" t="s">
        <v>792</v>
      </c>
      <c r="B426" t="s">
        <v>774</v>
      </c>
      <c r="C426" s="50">
        <v>20800000</v>
      </c>
      <c r="D426" s="95">
        <v>0.1075</v>
      </c>
      <c r="E426" s="94">
        <v>46378</v>
      </c>
      <c r="F426" s="50">
        <f t="shared" si="7"/>
        <v>478</v>
      </c>
      <c r="G426" t="str">
        <f>VLOOKUP(F426,T!$A$2:$C$9,3,TRUE)</f>
        <v>6. 1-3 Years</v>
      </c>
    </row>
    <row r="427" spans="1:7" x14ac:dyDescent="0.3">
      <c r="A427" s="94" t="s">
        <v>792</v>
      </c>
      <c r="B427" t="s">
        <v>774</v>
      </c>
      <c r="C427" s="50">
        <v>20800000</v>
      </c>
      <c r="D427" s="95">
        <v>0.1075</v>
      </c>
      <c r="E427" s="94">
        <v>46380</v>
      </c>
      <c r="F427" s="50">
        <f t="shared" si="7"/>
        <v>480</v>
      </c>
      <c r="G427" t="str">
        <f>VLOOKUP(F427,T!$A$2:$C$9,3,TRUE)</f>
        <v>6. 1-3 Years</v>
      </c>
    </row>
    <row r="428" spans="1:7" x14ac:dyDescent="0.3">
      <c r="A428" s="94" t="s">
        <v>793</v>
      </c>
      <c r="B428" t="s">
        <v>774</v>
      </c>
      <c r="C428" s="50">
        <v>16650000</v>
      </c>
      <c r="D428" s="95">
        <v>0.09</v>
      </c>
      <c r="E428" s="94">
        <v>46381</v>
      </c>
      <c r="F428" s="50">
        <f t="shared" si="7"/>
        <v>481</v>
      </c>
      <c r="G428" t="str">
        <f>VLOOKUP(F428,T!$A$2:$C$9,3,TRUE)</f>
        <v>6. 1-3 Years</v>
      </c>
    </row>
    <row r="429" spans="1:7" x14ac:dyDescent="0.3">
      <c r="A429" s="94" t="s">
        <v>793</v>
      </c>
      <c r="B429" t="s">
        <v>774</v>
      </c>
      <c r="C429" s="50">
        <v>16650000</v>
      </c>
      <c r="D429" s="95">
        <v>0.09</v>
      </c>
      <c r="E429" s="94">
        <v>46382</v>
      </c>
      <c r="F429" s="50">
        <f t="shared" si="7"/>
        <v>482</v>
      </c>
      <c r="G429" t="str">
        <f>VLOOKUP(F429,T!$A$2:$C$9,3,TRUE)</f>
        <v>6. 1-3 Years</v>
      </c>
    </row>
    <row r="430" spans="1:7" x14ac:dyDescent="0.3">
      <c r="A430" s="94" t="s">
        <v>794</v>
      </c>
      <c r="B430" t="s">
        <v>774</v>
      </c>
      <c r="C430" s="50">
        <v>20833000</v>
      </c>
      <c r="D430" s="95">
        <v>8.0699999999999994E-2</v>
      </c>
      <c r="E430" s="94">
        <v>46382</v>
      </c>
      <c r="F430" s="50">
        <f t="shared" si="7"/>
        <v>482</v>
      </c>
      <c r="G430" t="str">
        <f>VLOOKUP(F430,T!$A$2:$C$9,3,TRUE)</f>
        <v>6. 1-3 Years</v>
      </c>
    </row>
    <row r="431" spans="1:7" x14ac:dyDescent="0.3">
      <c r="A431" s="94" t="s">
        <v>794</v>
      </c>
      <c r="B431" t="s">
        <v>774</v>
      </c>
      <c r="C431" s="50">
        <v>20833000</v>
      </c>
      <c r="D431" s="95">
        <v>8.0699999999999994E-2</v>
      </c>
      <c r="E431" s="94">
        <v>46382</v>
      </c>
      <c r="F431" s="50">
        <f t="shared" si="7"/>
        <v>482</v>
      </c>
      <c r="G431" t="str">
        <f>VLOOKUP(F431,T!$A$2:$C$9,3,TRUE)</f>
        <v>6. 1-3 Years</v>
      </c>
    </row>
    <row r="432" spans="1:7" x14ac:dyDescent="0.3">
      <c r="A432" s="94" t="s">
        <v>794</v>
      </c>
      <c r="B432" t="s">
        <v>774</v>
      </c>
      <c r="C432" s="50">
        <v>20833000</v>
      </c>
      <c r="D432" s="95">
        <v>8.0699999999999994E-2</v>
      </c>
      <c r="E432" s="94">
        <v>46382</v>
      </c>
      <c r="F432" s="50">
        <f t="shared" si="7"/>
        <v>482</v>
      </c>
      <c r="G432" t="str">
        <f>VLOOKUP(F432,T!$A$2:$C$9,3,TRUE)</f>
        <v>6. 1-3 Years</v>
      </c>
    </row>
    <row r="433" spans="1:7" x14ac:dyDescent="0.3">
      <c r="A433" s="94" t="s">
        <v>795</v>
      </c>
      <c r="B433" t="s">
        <v>774</v>
      </c>
      <c r="C433" s="50">
        <v>20833333.333333328</v>
      </c>
      <c r="D433" s="95">
        <v>0.1075</v>
      </c>
      <c r="E433" s="94">
        <v>46383</v>
      </c>
      <c r="F433" s="50">
        <f t="shared" si="7"/>
        <v>483</v>
      </c>
      <c r="G433" t="str">
        <f>VLOOKUP(F433,T!$A$2:$C$9,3,TRUE)</f>
        <v>6. 1-3 Years</v>
      </c>
    </row>
    <row r="434" spans="1:7" x14ac:dyDescent="0.3">
      <c r="A434" s="94" t="s">
        <v>795</v>
      </c>
      <c r="B434" t="s">
        <v>774</v>
      </c>
      <c r="C434" s="50">
        <v>20833333.333333328</v>
      </c>
      <c r="D434" s="95">
        <v>0.1075</v>
      </c>
      <c r="E434" s="94">
        <v>46383</v>
      </c>
      <c r="F434" s="50">
        <f t="shared" si="7"/>
        <v>483</v>
      </c>
      <c r="G434" t="str">
        <f>VLOOKUP(F434,T!$A$2:$C$9,3,TRUE)</f>
        <v>6. 1-3 Years</v>
      </c>
    </row>
    <row r="435" spans="1:7" x14ac:dyDescent="0.3">
      <c r="A435" s="94" t="s">
        <v>795</v>
      </c>
      <c r="B435" t="s">
        <v>774</v>
      </c>
      <c r="C435" s="50">
        <v>10416666.66666667</v>
      </c>
      <c r="D435" s="95">
        <v>0.1075</v>
      </c>
      <c r="E435" s="94">
        <v>46383</v>
      </c>
      <c r="F435" s="50">
        <f t="shared" si="7"/>
        <v>483</v>
      </c>
      <c r="G435" t="str">
        <f>VLOOKUP(F435,T!$A$2:$C$9,3,TRUE)</f>
        <v>6. 1-3 Years</v>
      </c>
    </row>
    <row r="436" spans="1:7" x14ac:dyDescent="0.3">
      <c r="A436" s="94" t="s">
        <v>795</v>
      </c>
      <c r="B436" t="s">
        <v>774</v>
      </c>
      <c r="C436" s="50">
        <v>10416666.66666667</v>
      </c>
      <c r="D436" s="95">
        <v>0.1075</v>
      </c>
      <c r="E436" s="94">
        <v>46383</v>
      </c>
      <c r="F436" s="50">
        <f t="shared" si="7"/>
        <v>483</v>
      </c>
      <c r="G436" t="str">
        <f>VLOOKUP(F436,T!$A$2:$C$9,3,TRUE)</f>
        <v>6. 1-3 Years</v>
      </c>
    </row>
    <row r="437" spans="1:7" x14ac:dyDescent="0.3">
      <c r="A437" s="94" t="s">
        <v>796</v>
      </c>
      <c r="B437" t="s">
        <v>774</v>
      </c>
      <c r="C437" s="50">
        <v>13888000</v>
      </c>
      <c r="D437" s="95">
        <v>8.2199999999999995E-2</v>
      </c>
      <c r="E437" s="94">
        <v>46384</v>
      </c>
      <c r="F437" s="50">
        <f t="shared" si="7"/>
        <v>484</v>
      </c>
      <c r="G437" t="str">
        <f>VLOOKUP(F437,T!$A$2:$C$9,3,TRUE)</f>
        <v>6. 1-3 Years</v>
      </c>
    </row>
    <row r="438" spans="1:7" x14ac:dyDescent="0.3">
      <c r="A438" s="94" t="s">
        <v>780</v>
      </c>
      <c r="B438" t="s">
        <v>774</v>
      </c>
      <c r="C438" s="50">
        <v>16666666.470000001</v>
      </c>
      <c r="D438" s="95">
        <v>8.0199999999999994E-2</v>
      </c>
      <c r="E438" s="94">
        <v>46385</v>
      </c>
      <c r="F438" s="50">
        <f t="shared" si="7"/>
        <v>485</v>
      </c>
      <c r="G438" t="str">
        <f>VLOOKUP(F438,T!$A$2:$C$9,3,TRUE)</f>
        <v>6. 1-3 Years</v>
      </c>
    </row>
    <row r="439" spans="1:7" x14ac:dyDescent="0.3">
      <c r="A439" s="94" t="s">
        <v>798</v>
      </c>
      <c r="B439" t="s">
        <v>774</v>
      </c>
      <c r="C439" s="50">
        <v>145833333.34</v>
      </c>
      <c r="D439" s="95">
        <v>0.11</v>
      </c>
      <c r="E439" s="94">
        <v>46386</v>
      </c>
      <c r="F439" s="50">
        <f t="shared" si="7"/>
        <v>486</v>
      </c>
      <c r="G439" t="str">
        <f>VLOOKUP(F439,T!$A$2:$C$9,3,TRUE)</f>
        <v>6. 1-3 Years</v>
      </c>
    </row>
    <row r="440" spans="1:7" x14ac:dyDescent="0.3">
      <c r="A440" s="94" t="s">
        <v>797</v>
      </c>
      <c r="B440" t="s">
        <v>774</v>
      </c>
      <c r="C440" s="50">
        <v>8250000</v>
      </c>
      <c r="D440" s="95">
        <v>0.12</v>
      </c>
      <c r="E440" s="94">
        <v>46387</v>
      </c>
      <c r="F440" s="50">
        <f t="shared" si="7"/>
        <v>487</v>
      </c>
      <c r="G440" t="str">
        <f>VLOOKUP(F440,T!$A$2:$C$9,3,TRUE)</f>
        <v>6. 1-3 Years</v>
      </c>
    </row>
    <row r="441" spans="1:7" x14ac:dyDescent="0.3">
      <c r="A441" s="94" t="s">
        <v>797</v>
      </c>
      <c r="B441" t="s">
        <v>774</v>
      </c>
      <c r="C441" s="50">
        <v>8250000</v>
      </c>
      <c r="D441" s="95">
        <v>0.12</v>
      </c>
      <c r="E441" s="94">
        <v>46387</v>
      </c>
      <c r="F441" s="50">
        <f t="shared" si="7"/>
        <v>487</v>
      </c>
      <c r="G441" t="str">
        <f>VLOOKUP(F441,T!$A$2:$C$9,3,TRUE)</f>
        <v>6. 1-3 Years</v>
      </c>
    </row>
    <row r="442" spans="1:7" x14ac:dyDescent="0.3">
      <c r="A442" s="94" t="s">
        <v>797</v>
      </c>
      <c r="B442" t="s">
        <v>774</v>
      </c>
      <c r="C442" s="50">
        <v>8250000</v>
      </c>
      <c r="D442" s="95">
        <v>0.12</v>
      </c>
      <c r="E442" s="94">
        <v>46387</v>
      </c>
      <c r="F442" s="50">
        <f t="shared" si="7"/>
        <v>487</v>
      </c>
      <c r="G442" t="str">
        <f>VLOOKUP(F442,T!$A$2:$C$9,3,TRUE)</f>
        <v>6. 1-3 Years</v>
      </c>
    </row>
    <row r="443" spans="1:7" x14ac:dyDescent="0.3">
      <c r="A443" s="94" t="s">
        <v>797</v>
      </c>
      <c r="B443" t="s">
        <v>774</v>
      </c>
      <c r="C443" s="50">
        <v>8250000</v>
      </c>
      <c r="D443" s="95">
        <v>0.12</v>
      </c>
      <c r="E443" s="94">
        <v>46387</v>
      </c>
      <c r="F443" s="50">
        <f t="shared" si="7"/>
        <v>487</v>
      </c>
      <c r="G443" t="str">
        <f>VLOOKUP(F443,T!$A$2:$C$9,3,TRUE)</f>
        <v>6. 1-3 Years</v>
      </c>
    </row>
    <row r="444" spans="1:7" x14ac:dyDescent="0.3">
      <c r="A444" s="94" t="s">
        <v>780</v>
      </c>
      <c r="B444" t="s">
        <v>774</v>
      </c>
      <c r="C444" s="50">
        <v>16666666.67</v>
      </c>
      <c r="D444" s="95">
        <v>8.0199999999999994E-2</v>
      </c>
      <c r="E444" s="94">
        <v>46402</v>
      </c>
      <c r="F444" s="50">
        <f t="shared" si="7"/>
        <v>502</v>
      </c>
      <c r="G444" t="str">
        <f>VLOOKUP(F444,T!$A$2:$C$9,3,TRUE)</f>
        <v>6. 1-3 Years</v>
      </c>
    </row>
    <row r="445" spans="1:7" x14ac:dyDescent="0.3">
      <c r="A445" s="94" t="s">
        <v>785</v>
      </c>
      <c r="B445" t="s">
        <v>774</v>
      </c>
      <c r="C445" s="50">
        <v>25000000</v>
      </c>
      <c r="D445" s="95">
        <v>8.0199999999999994E-2</v>
      </c>
      <c r="E445" s="94">
        <v>46405</v>
      </c>
      <c r="F445" s="50">
        <f t="shared" si="7"/>
        <v>505</v>
      </c>
      <c r="G445" t="str">
        <f>VLOOKUP(F445,T!$A$2:$C$9,3,TRUE)</f>
        <v>6. 1-3 Years</v>
      </c>
    </row>
    <row r="446" spans="1:7" x14ac:dyDescent="0.3">
      <c r="A446" s="94" t="s">
        <v>790</v>
      </c>
      <c r="B446" t="s">
        <v>774</v>
      </c>
      <c r="C446" s="50">
        <v>16225294.24</v>
      </c>
      <c r="D446" s="95">
        <v>0.12</v>
      </c>
      <c r="E446" s="94">
        <v>46406</v>
      </c>
      <c r="F446" s="50">
        <f t="shared" si="7"/>
        <v>506</v>
      </c>
      <c r="G446" t="str">
        <f>VLOOKUP(F446,T!$A$2:$C$9,3,TRUE)</f>
        <v>6. 1-3 Years</v>
      </c>
    </row>
    <row r="447" spans="1:7" x14ac:dyDescent="0.3">
      <c r="A447" s="94" t="s">
        <v>792</v>
      </c>
      <c r="B447" t="s">
        <v>774</v>
      </c>
      <c r="C447" s="50">
        <v>20800000</v>
      </c>
      <c r="D447" s="95">
        <v>0.1075</v>
      </c>
      <c r="E447" s="94">
        <v>46409</v>
      </c>
      <c r="F447" s="50">
        <f t="shared" si="7"/>
        <v>509</v>
      </c>
      <c r="G447" t="str">
        <f>VLOOKUP(F447,T!$A$2:$C$9,3,TRUE)</f>
        <v>6. 1-3 Years</v>
      </c>
    </row>
    <row r="448" spans="1:7" x14ac:dyDescent="0.3">
      <c r="A448" s="94" t="s">
        <v>799</v>
      </c>
      <c r="B448" t="s">
        <v>774</v>
      </c>
      <c r="C448" s="50">
        <v>50000000</v>
      </c>
      <c r="D448" s="95">
        <v>0.12</v>
      </c>
      <c r="E448" s="94">
        <v>46410</v>
      </c>
      <c r="F448" s="50">
        <f t="shared" si="7"/>
        <v>510</v>
      </c>
      <c r="G448" t="str">
        <f>VLOOKUP(F448,T!$A$2:$C$9,3,TRUE)</f>
        <v>6. 1-3 Years</v>
      </c>
    </row>
    <row r="449" spans="1:7" x14ac:dyDescent="0.3">
      <c r="A449" s="94" t="s">
        <v>799</v>
      </c>
      <c r="B449" t="s">
        <v>774</v>
      </c>
      <c r="C449" s="50">
        <v>50000000</v>
      </c>
      <c r="D449" s="95">
        <v>0.12</v>
      </c>
      <c r="E449" s="94">
        <v>46410</v>
      </c>
      <c r="F449" s="50">
        <f t="shared" si="7"/>
        <v>510</v>
      </c>
      <c r="G449" t="str">
        <f>VLOOKUP(F449,T!$A$2:$C$9,3,TRUE)</f>
        <v>6. 1-3 Years</v>
      </c>
    </row>
    <row r="450" spans="1:7" x14ac:dyDescent="0.3">
      <c r="A450" s="94" t="s">
        <v>799</v>
      </c>
      <c r="B450" t="s">
        <v>774</v>
      </c>
      <c r="C450" s="50">
        <v>50000000</v>
      </c>
      <c r="D450" s="95">
        <v>0.12</v>
      </c>
      <c r="E450" s="94">
        <v>46410</v>
      </c>
      <c r="F450" s="50">
        <f t="shared" si="7"/>
        <v>510</v>
      </c>
      <c r="G450" t="str">
        <f>VLOOKUP(F450,T!$A$2:$C$9,3,TRUE)</f>
        <v>6. 1-3 Years</v>
      </c>
    </row>
    <row r="451" spans="1:7" x14ac:dyDescent="0.3">
      <c r="A451" s="94" t="s">
        <v>792</v>
      </c>
      <c r="B451" t="s">
        <v>774</v>
      </c>
      <c r="C451" s="50">
        <v>20800000</v>
      </c>
      <c r="D451" s="95">
        <v>0.1075</v>
      </c>
      <c r="E451" s="94">
        <v>46411</v>
      </c>
      <c r="F451" s="50">
        <f t="shared" ref="F451:F514" si="8">E451-$F$1</f>
        <v>511</v>
      </c>
      <c r="G451" t="str">
        <f>VLOOKUP(F451,T!$A$2:$C$9,3,TRUE)</f>
        <v>6. 1-3 Years</v>
      </c>
    </row>
    <row r="452" spans="1:7" x14ac:dyDescent="0.3">
      <c r="A452" s="94" t="s">
        <v>793</v>
      </c>
      <c r="B452" t="s">
        <v>774</v>
      </c>
      <c r="C452" s="50">
        <v>16650000</v>
      </c>
      <c r="D452" s="95">
        <v>0.09</v>
      </c>
      <c r="E452" s="94">
        <v>46412</v>
      </c>
      <c r="F452" s="50">
        <f t="shared" si="8"/>
        <v>512</v>
      </c>
      <c r="G452" t="str">
        <f>VLOOKUP(F452,T!$A$2:$C$9,3,TRUE)</f>
        <v>6. 1-3 Years</v>
      </c>
    </row>
    <row r="453" spans="1:7" x14ac:dyDescent="0.3">
      <c r="A453" s="94" t="s">
        <v>793</v>
      </c>
      <c r="B453" t="s">
        <v>774</v>
      </c>
      <c r="C453" s="50">
        <v>16650000</v>
      </c>
      <c r="D453" s="95">
        <v>0.09</v>
      </c>
      <c r="E453" s="94">
        <v>46413</v>
      </c>
      <c r="F453" s="50">
        <f t="shared" si="8"/>
        <v>513</v>
      </c>
      <c r="G453" t="str">
        <f>VLOOKUP(F453,T!$A$2:$C$9,3,TRUE)</f>
        <v>6. 1-3 Years</v>
      </c>
    </row>
    <row r="454" spans="1:7" x14ac:dyDescent="0.3">
      <c r="A454" s="94" t="s">
        <v>794</v>
      </c>
      <c r="B454" t="s">
        <v>774</v>
      </c>
      <c r="C454" s="50">
        <v>20833000</v>
      </c>
      <c r="D454" s="95">
        <v>8.0699999999999994E-2</v>
      </c>
      <c r="E454" s="94">
        <v>46413</v>
      </c>
      <c r="F454" s="50">
        <f t="shared" si="8"/>
        <v>513</v>
      </c>
      <c r="G454" t="str">
        <f>VLOOKUP(F454,T!$A$2:$C$9,3,TRUE)</f>
        <v>6. 1-3 Years</v>
      </c>
    </row>
    <row r="455" spans="1:7" x14ac:dyDescent="0.3">
      <c r="A455" s="94" t="s">
        <v>794</v>
      </c>
      <c r="B455" t="s">
        <v>774</v>
      </c>
      <c r="C455" s="50">
        <v>20833000</v>
      </c>
      <c r="D455" s="95">
        <v>8.0699999999999994E-2</v>
      </c>
      <c r="E455" s="94">
        <v>46413</v>
      </c>
      <c r="F455" s="50">
        <f t="shared" si="8"/>
        <v>513</v>
      </c>
      <c r="G455" t="str">
        <f>VLOOKUP(F455,T!$A$2:$C$9,3,TRUE)</f>
        <v>6. 1-3 Years</v>
      </c>
    </row>
    <row r="456" spans="1:7" x14ac:dyDescent="0.3">
      <c r="A456" s="94" t="s">
        <v>794</v>
      </c>
      <c r="B456" t="s">
        <v>774</v>
      </c>
      <c r="C456" s="50">
        <v>20833000</v>
      </c>
      <c r="D456" s="95">
        <v>8.0699999999999994E-2</v>
      </c>
      <c r="E456" s="94">
        <v>46413</v>
      </c>
      <c r="F456" s="50">
        <f t="shared" si="8"/>
        <v>513</v>
      </c>
      <c r="G456" t="str">
        <f>VLOOKUP(F456,T!$A$2:$C$9,3,TRUE)</f>
        <v>6. 1-3 Years</v>
      </c>
    </row>
    <row r="457" spans="1:7" x14ac:dyDescent="0.3">
      <c r="A457" s="94" t="s">
        <v>795</v>
      </c>
      <c r="B457" t="s">
        <v>774</v>
      </c>
      <c r="C457" s="50">
        <v>20833333.333333328</v>
      </c>
      <c r="D457" s="95">
        <v>0.1075</v>
      </c>
      <c r="E457" s="94">
        <v>46414</v>
      </c>
      <c r="F457" s="50">
        <f t="shared" si="8"/>
        <v>514</v>
      </c>
      <c r="G457" t="str">
        <f>VLOOKUP(F457,T!$A$2:$C$9,3,TRUE)</f>
        <v>6. 1-3 Years</v>
      </c>
    </row>
    <row r="458" spans="1:7" x14ac:dyDescent="0.3">
      <c r="A458" s="94" t="s">
        <v>795</v>
      </c>
      <c r="B458" t="s">
        <v>774</v>
      </c>
      <c r="C458" s="50">
        <v>20833333.333333328</v>
      </c>
      <c r="D458" s="95">
        <v>0.1075</v>
      </c>
      <c r="E458" s="94">
        <v>46414</v>
      </c>
      <c r="F458" s="50">
        <f t="shared" si="8"/>
        <v>514</v>
      </c>
      <c r="G458" t="str">
        <f>VLOOKUP(F458,T!$A$2:$C$9,3,TRUE)</f>
        <v>6. 1-3 Years</v>
      </c>
    </row>
    <row r="459" spans="1:7" x14ac:dyDescent="0.3">
      <c r="A459" s="94" t="s">
        <v>795</v>
      </c>
      <c r="B459" t="s">
        <v>774</v>
      </c>
      <c r="C459" s="50">
        <v>10416666.66666667</v>
      </c>
      <c r="D459" s="95">
        <v>0.1075</v>
      </c>
      <c r="E459" s="94">
        <v>46414</v>
      </c>
      <c r="F459" s="50">
        <f t="shared" si="8"/>
        <v>514</v>
      </c>
      <c r="G459" t="str">
        <f>VLOOKUP(F459,T!$A$2:$C$9,3,TRUE)</f>
        <v>6. 1-3 Years</v>
      </c>
    </row>
    <row r="460" spans="1:7" x14ac:dyDescent="0.3">
      <c r="A460" s="94" t="s">
        <v>795</v>
      </c>
      <c r="B460" t="s">
        <v>774</v>
      </c>
      <c r="C460" s="50">
        <v>10416666.66666667</v>
      </c>
      <c r="D460" s="95">
        <v>0.1075</v>
      </c>
      <c r="E460" s="94">
        <v>46414</v>
      </c>
      <c r="F460" s="50">
        <f t="shared" si="8"/>
        <v>514</v>
      </c>
      <c r="G460" t="str">
        <f>VLOOKUP(F460,T!$A$2:$C$9,3,TRUE)</f>
        <v>6. 1-3 Years</v>
      </c>
    </row>
    <row r="461" spans="1:7" x14ac:dyDescent="0.3">
      <c r="A461" s="94" t="s">
        <v>796</v>
      </c>
      <c r="B461" t="s">
        <v>774</v>
      </c>
      <c r="C461" s="50">
        <v>13888000</v>
      </c>
      <c r="D461" s="95">
        <v>8.2199999999999995E-2</v>
      </c>
      <c r="E461" s="94">
        <v>46415</v>
      </c>
      <c r="F461" s="50">
        <f t="shared" si="8"/>
        <v>515</v>
      </c>
      <c r="G461" t="str">
        <f>VLOOKUP(F461,T!$A$2:$C$9,3,TRUE)</f>
        <v>6. 1-3 Years</v>
      </c>
    </row>
    <row r="462" spans="1:7" x14ac:dyDescent="0.3">
      <c r="A462" s="94" t="s">
        <v>780</v>
      </c>
      <c r="B462" t="s">
        <v>774</v>
      </c>
      <c r="C462" s="50">
        <v>16666666.470000001</v>
      </c>
      <c r="D462" s="95">
        <v>8.0199999999999994E-2</v>
      </c>
      <c r="E462" s="94">
        <v>46416</v>
      </c>
      <c r="F462" s="50">
        <f t="shared" si="8"/>
        <v>516</v>
      </c>
      <c r="G462" t="str">
        <f>VLOOKUP(F462,T!$A$2:$C$9,3,TRUE)</f>
        <v>6. 1-3 Years</v>
      </c>
    </row>
    <row r="463" spans="1:7" x14ac:dyDescent="0.3">
      <c r="A463" s="94" t="s">
        <v>797</v>
      </c>
      <c r="B463" t="s">
        <v>774</v>
      </c>
      <c r="C463" s="50">
        <v>8250000</v>
      </c>
      <c r="D463" s="95">
        <v>0.12</v>
      </c>
      <c r="E463" s="94">
        <v>46418</v>
      </c>
      <c r="F463" s="50">
        <f t="shared" si="8"/>
        <v>518</v>
      </c>
      <c r="G463" t="str">
        <f>VLOOKUP(F463,T!$A$2:$C$9,3,TRUE)</f>
        <v>6. 1-3 Years</v>
      </c>
    </row>
    <row r="464" spans="1:7" x14ac:dyDescent="0.3">
      <c r="A464" s="94" t="s">
        <v>797</v>
      </c>
      <c r="B464" t="s">
        <v>774</v>
      </c>
      <c r="C464" s="50">
        <v>8250000</v>
      </c>
      <c r="D464" s="95">
        <v>0.12</v>
      </c>
      <c r="E464" s="94">
        <v>46418</v>
      </c>
      <c r="F464" s="50">
        <f t="shared" si="8"/>
        <v>518</v>
      </c>
      <c r="G464" t="str">
        <f>VLOOKUP(F464,T!$A$2:$C$9,3,TRUE)</f>
        <v>6. 1-3 Years</v>
      </c>
    </row>
    <row r="465" spans="1:7" x14ac:dyDescent="0.3">
      <c r="A465" s="94" t="s">
        <v>797</v>
      </c>
      <c r="B465" t="s">
        <v>774</v>
      </c>
      <c r="C465" s="50">
        <v>8250000</v>
      </c>
      <c r="D465" s="95">
        <v>0.12</v>
      </c>
      <c r="E465" s="94">
        <v>46418</v>
      </c>
      <c r="F465" s="50">
        <f t="shared" si="8"/>
        <v>518</v>
      </c>
      <c r="G465" t="str">
        <f>VLOOKUP(F465,T!$A$2:$C$9,3,TRUE)</f>
        <v>6. 1-3 Years</v>
      </c>
    </row>
    <row r="466" spans="1:7" x14ac:dyDescent="0.3">
      <c r="A466" s="94" t="s">
        <v>797</v>
      </c>
      <c r="B466" t="s">
        <v>774</v>
      </c>
      <c r="C466" s="50">
        <v>8250000</v>
      </c>
      <c r="D466" s="95">
        <v>0.12</v>
      </c>
      <c r="E466" s="94">
        <v>46418</v>
      </c>
      <c r="F466" s="50">
        <f t="shared" si="8"/>
        <v>518</v>
      </c>
      <c r="G466" t="str">
        <f>VLOOKUP(F466,T!$A$2:$C$9,3,TRUE)</f>
        <v>6. 1-3 Years</v>
      </c>
    </row>
    <row r="467" spans="1:7" x14ac:dyDescent="0.3">
      <c r="A467" s="94" t="s">
        <v>780</v>
      </c>
      <c r="B467" t="s">
        <v>774</v>
      </c>
      <c r="C467" s="50">
        <v>16666666.67</v>
      </c>
      <c r="D467" s="95">
        <v>8.0199999999999994E-2</v>
      </c>
      <c r="E467" s="94">
        <v>46433</v>
      </c>
      <c r="F467" s="50">
        <f t="shared" si="8"/>
        <v>533</v>
      </c>
      <c r="G467" t="str">
        <f>VLOOKUP(F467,T!$A$2:$C$9,3,TRUE)</f>
        <v>6. 1-3 Years</v>
      </c>
    </row>
    <row r="468" spans="1:7" x14ac:dyDescent="0.3">
      <c r="A468" s="94" t="s">
        <v>785</v>
      </c>
      <c r="B468" t="s">
        <v>774</v>
      </c>
      <c r="C468" s="50">
        <v>25000000</v>
      </c>
      <c r="D468" s="95">
        <v>8.0199999999999994E-2</v>
      </c>
      <c r="E468" s="94">
        <v>46436</v>
      </c>
      <c r="F468" s="50">
        <f t="shared" si="8"/>
        <v>536</v>
      </c>
      <c r="G468" t="str">
        <f>VLOOKUP(F468,T!$A$2:$C$9,3,TRUE)</f>
        <v>6. 1-3 Years</v>
      </c>
    </row>
    <row r="469" spans="1:7" x14ac:dyDescent="0.3">
      <c r="A469" s="94" t="s">
        <v>790</v>
      </c>
      <c r="B469" t="s">
        <v>774</v>
      </c>
      <c r="C469" s="50">
        <v>16390658.779999999</v>
      </c>
      <c r="D469" s="95">
        <v>0.12</v>
      </c>
      <c r="E469" s="94">
        <v>46437</v>
      </c>
      <c r="F469" s="50">
        <f t="shared" si="8"/>
        <v>537</v>
      </c>
      <c r="G469" t="str">
        <f>VLOOKUP(F469,T!$A$2:$C$9,3,TRUE)</f>
        <v>6. 1-3 Years</v>
      </c>
    </row>
    <row r="470" spans="1:7" x14ac:dyDescent="0.3">
      <c r="A470" s="94" t="s">
        <v>800</v>
      </c>
      <c r="B470" t="s">
        <v>774</v>
      </c>
      <c r="C470" s="50">
        <v>50000000</v>
      </c>
      <c r="D470" s="95">
        <v>9.8500000000000004E-2</v>
      </c>
      <c r="E470" s="94">
        <v>46439</v>
      </c>
      <c r="F470" s="50">
        <f t="shared" si="8"/>
        <v>539</v>
      </c>
      <c r="G470" t="str">
        <f>VLOOKUP(F470,T!$A$2:$C$9,3,TRUE)</f>
        <v>6. 1-3 Years</v>
      </c>
    </row>
    <row r="471" spans="1:7" x14ac:dyDescent="0.3">
      <c r="A471" s="94" t="s">
        <v>792</v>
      </c>
      <c r="B471" t="s">
        <v>774</v>
      </c>
      <c r="C471" s="50">
        <v>20800000</v>
      </c>
      <c r="D471" s="95">
        <v>0.1075</v>
      </c>
      <c r="E471" s="94">
        <v>46440</v>
      </c>
      <c r="F471" s="50">
        <f t="shared" si="8"/>
        <v>540</v>
      </c>
      <c r="G471" t="str">
        <f>VLOOKUP(F471,T!$A$2:$C$9,3,TRUE)</f>
        <v>6. 1-3 Years</v>
      </c>
    </row>
    <row r="472" spans="1:7" x14ac:dyDescent="0.3">
      <c r="A472" s="94" t="s">
        <v>792</v>
      </c>
      <c r="B472" t="s">
        <v>774</v>
      </c>
      <c r="C472" s="50">
        <v>20800000</v>
      </c>
      <c r="D472" s="95">
        <v>0.1075</v>
      </c>
      <c r="E472" s="94">
        <v>46442</v>
      </c>
      <c r="F472" s="50">
        <f t="shared" si="8"/>
        <v>542</v>
      </c>
      <c r="G472" t="str">
        <f>VLOOKUP(F472,T!$A$2:$C$9,3,TRUE)</f>
        <v>6. 1-3 Years</v>
      </c>
    </row>
    <row r="473" spans="1:7" x14ac:dyDescent="0.3">
      <c r="A473" s="94" t="s">
        <v>793</v>
      </c>
      <c r="B473" t="s">
        <v>774</v>
      </c>
      <c r="C473" s="50">
        <v>16650000</v>
      </c>
      <c r="D473" s="95">
        <v>0.09</v>
      </c>
      <c r="E473" s="94">
        <v>46443</v>
      </c>
      <c r="F473" s="50">
        <f t="shared" si="8"/>
        <v>543</v>
      </c>
      <c r="G473" t="str">
        <f>VLOOKUP(F473,T!$A$2:$C$9,3,TRUE)</f>
        <v>6. 1-3 Years</v>
      </c>
    </row>
    <row r="474" spans="1:7" x14ac:dyDescent="0.3">
      <c r="A474" s="94" t="s">
        <v>793</v>
      </c>
      <c r="B474" t="s">
        <v>774</v>
      </c>
      <c r="C474" s="50">
        <v>16650000</v>
      </c>
      <c r="D474" s="95">
        <v>0.09</v>
      </c>
      <c r="E474" s="94">
        <v>46444</v>
      </c>
      <c r="F474" s="50">
        <f t="shared" si="8"/>
        <v>544</v>
      </c>
      <c r="G474" t="str">
        <f>VLOOKUP(F474,T!$A$2:$C$9,3,TRUE)</f>
        <v>6. 1-3 Years</v>
      </c>
    </row>
    <row r="475" spans="1:7" x14ac:dyDescent="0.3">
      <c r="A475" s="94" t="s">
        <v>794</v>
      </c>
      <c r="B475" t="s">
        <v>774</v>
      </c>
      <c r="C475" s="50">
        <v>20833000</v>
      </c>
      <c r="D475" s="95">
        <v>8.0699999999999994E-2</v>
      </c>
      <c r="E475" s="94">
        <v>46444</v>
      </c>
      <c r="F475" s="50">
        <f t="shared" si="8"/>
        <v>544</v>
      </c>
      <c r="G475" t="str">
        <f>VLOOKUP(F475,T!$A$2:$C$9,3,TRUE)</f>
        <v>6. 1-3 Years</v>
      </c>
    </row>
    <row r="476" spans="1:7" x14ac:dyDescent="0.3">
      <c r="A476" s="94" t="s">
        <v>794</v>
      </c>
      <c r="B476" t="s">
        <v>774</v>
      </c>
      <c r="C476" s="50">
        <v>20833000</v>
      </c>
      <c r="D476" s="95">
        <v>8.0699999999999994E-2</v>
      </c>
      <c r="E476" s="94">
        <v>46444</v>
      </c>
      <c r="F476" s="50">
        <f t="shared" si="8"/>
        <v>544</v>
      </c>
      <c r="G476" t="str">
        <f>VLOOKUP(F476,T!$A$2:$C$9,3,TRUE)</f>
        <v>6. 1-3 Years</v>
      </c>
    </row>
    <row r="477" spans="1:7" x14ac:dyDescent="0.3">
      <c r="A477" s="94" t="s">
        <v>794</v>
      </c>
      <c r="B477" t="s">
        <v>774</v>
      </c>
      <c r="C477" s="50">
        <v>20833000</v>
      </c>
      <c r="D477" s="95">
        <v>8.0699999999999994E-2</v>
      </c>
      <c r="E477" s="94">
        <v>46444</v>
      </c>
      <c r="F477" s="50">
        <f t="shared" si="8"/>
        <v>544</v>
      </c>
      <c r="G477" t="str">
        <f>VLOOKUP(F477,T!$A$2:$C$9,3,TRUE)</f>
        <v>6. 1-3 Years</v>
      </c>
    </row>
    <row r="478" spans="1:7" x14ac:dyDescent="0.3">
      <c r="A478" s="94" t="s">
        <v>795</v>
      </c>
      <c r="B478" t="s">
        <v>774</v>
      </c>
      <c r="C478" s="50">
        <v>20833333.333333328</v>
      </c>
      <c r="D478" s="95">
        <v>0.1075</v>
      </c>
      <c r="E478" s="94">
        <v>46445</v>
      </c>
      <c r="F478" s="50">
        <f t="shared" si="8"/>
        <v>545</v>
      </c>
      <c r="G478" t="str">
        <f>VLOOKUP(F478,T!$A$2:$C$9,3,TRUE)</f>
        <v>6. 1-3 Years</v>
      </c>
    </row>
    <row r="479" spans="1:7" x14ac:dyDescent="0.3">
      <c r="A479" s="94" t="s">
        <v>795</v>
      </c>
      <c r="B479" t="s">
        <v>774</v>
      </c>
      <c r="C479" s="50">
        <v>20833333.333333328</v>
      </c>
      <c r="D479" s="95">
        <v>0.1075</v>
      </c>
      <c r="E479" s="94">
        <v>46445</v>
      </c>
      <c r="F479" s="50">
        <f t="shared" si="8"/>
        <v>545</v>
      </c>
      <c r="G479" t="str">
        <f>VLOOKUP(F479,T!$A$2:$C$9,3,TRUE)</f>
        <v>6. 1-3 Years</v>
      </c>
    </row>
    <row r="480" spans="1:7" x14ac:dyDescent="0.3">
      <c r="A480" s="94" t="s">
        <v>795</v>
      </c>
      <c r="B480" t="s">
        <v>774</v>
      </c>
      <c r="C480" s="50">
        <v>10416666.66666667</v>
      </c>
      <c r="D480" s="95">
        <v>0.1075</v>
      </c>
      <c r="E480" s="94">
        <v>46445</v>
      </c>
      <c r="F480" s="50">
        <f t="shared" si="8"/>
        <v>545</v>
      </c>
      <c r="G480" t="str">
        <f>VLOOKUP(F480,T!$A$2:$C$9,3,TRUE)</f>
        <v>6. 1-3 Years</v>
      </c>
    </row>
    <row r="481" spans="1:7" x14ac:dyDescent="0.3">
      <c r="A481" s="94" t="s">
        <v>795</v>
      </c>
      <c r="B481" t="s">
        <v>774</v>
      </c>
      <c r="C481" s="50">
        <v>10416666.66666667</v>
      </c>
      <c r="D481" s="95">
        <v>0.1075</v>
      </c>
      <c r="E481" s="94">
        <v>46445</v>
      </c>
      <c r="F481" s="50">
        <f t="shared" si="8"/>
        <v>545</v>
      </c>
      <c r="G481" t="str">
        <f>VLOOKUP(F481,T!$A$2:$C$9,3,TRUE)</f>
        <v>6. 1-3 Years</v>
      </c>
    </row>
    <row r="482" spans="1:7" x14ac:dyDescent="0.3">
      <c r="A482" s="94" t="s">
        <v>797</v>
      </c>
      <c r="B482" t="s">
        <v>774</v>
      </c>
      <c r="C482" s="50">
        <v>8250000</v>
      </c>
      <c r="D482" s="95">
        <v>0.12</v>
      </c>
      <c r="E482" s="94">
        <v>46446</v>
      </c>
      <c r="F482" s="50">
        <f t="shared" si="8"/>
        <v>546</v>
      </c>
      <c r="G482" t="str">
        <f>VLOOKUP(F482,T!$A$2:$C$9,3,TRUE)</f>
        <v>6. 1-3 Years</v>
      </c>
    </row>
    <row r="483" spans="1:7" x14ac:dyDescent="0.3">
      <c r="A483" s="94" t="s">
        <v>797</v>
      </c>
      <c r="B483" t="s">
        <v>774</v>
      </c>
      <c r="C483" s="50">
        <v>8250000</v>
      </c>
      <c r="D483" s="95">
        <v>0.12</v>
      </c>
      <c r="E483" s="94">
        <v>46446</v>
      </c>
      <c r="F483" s="50">
        <f t="shared" si="8"/>
        <v>546</v>
      </c>
      <c r="G483" t="str">
        <f>VLOOKUP(F483,T!$A$2:$C$9,3,TRUE)</f>
        <v>6. 1-3 Years</v>
      </c>
    </row>
    <row r="484" spans="1:7" x14ac:dyDescent="0.3">
      <c r="A484" s="94" t="s">
        <v>797</v>
      </c>
      <c r="B484" t="s">
        <v>774</v>
      </c>
      <c r="C484" s="50">
        <v>8250000</v>
      </c>
      <c r="D484" s="95">
        <v>0.12</v>
      </c>
      <c r="E484" s="94">
        <v>46446</v>
      </c>
      <c r="F484" s="50">
        <f t="shared" si="8"/>
        <v>546</v>
      </c>
      <c r="G484" t="str">
        <f>VLOOKUP(F484,T!$A$2:$C$9,3,TRUE)</f>
        <v>6. 1-3 Years</v>
      </c>
    </row>
    <row r="485" spans="1:7" x14ac:dyDescent="0.3">
      <c r="A485" s="94" t="s">
        <v>797</v>
      </c>
      <c r="B485" t="s">
        <v>774</v>
      </c>
      <c r="C485" s="50">
        <v>8250000</v>
      </c>
      <c r="D485" s="95">
        <v>0.12</v>
      </c>
      <c r="E485" s="94">
        <v>46446</v>
      </c>
      <c r="F485" s="50">
        <f t="shared" si="8"/>
        <v>546</v>
      </c>
      <c r="G485" t="str">
        <f>VLOOKUP(F485,T!$A$2:$C$9,3,TRUE)</f>
        <v>6. 1-3 Years</v>
      </c>
    </row>
    <row r="486" spans="1:7" x14ac:dyDescent="0.3">
      <c r="A486" s="94" t="s">
        <v>780</v>
      </c>
      <c r="B486" t="s">
        <v>774</v>
      </c>
      <c r="C486" s="50">
        <v>16666666.470000001</v>
      </c>
      <c r="D486" s="95">
        <v>8.0199999999999994E-2</v>
      </c>
      <c r="E486" s="94">
        <v>46446</v>
      </c>
      <c r="F486" s="50">
        <f t="shared" si="8"/>
        <v>546</v>
      </c>
      <c r="G486" t="str">
        <f>VLOOKUP(F486,T!$A$2:$C$9,3,TRUE)</f>
        <v>6. 1-3 Years</v>
      </c>
    </row>
    <row r="487" spans="1:7" x14ac:dyDescent="0.3">
      <c r="A487" s="94" t="s">
        <v>796</v>
      </c>
      <c r="B487" t="s">
        <v>774</v>
      </c>
      <c r="C487" s="50">
        <v>13888000</v>
      </c>
      <c r="D487" s="95">
        <v>8.2199999999999995E-2</v>
      </c>
      <c r="E487" s="94">
        <v>46446</v>
      </c>
      <c r="F487" s="50">
        <f t="shared" si="8"/>
        <v>546</v>
      </c>
      <c r="G487" t="str">
        <f>VLOOKUP(F487,T!$A$2:$C$9,3,TRUE)</f>
        <v>6. 1-3 Years</v>
      </c>
    </row>
    <row r="488" spans="1:7" x14ac:dyDescent="0.3">
      <c r="A488" s="94" t="s">
        <v>800</v>
      </c>
      <c r="B488" t="s">
        <v>774</v>
      </c>
      <c r="C488" s="50">
        <v>50000000</v>
      </c>
      <c r="D488" s="95">
        <v>9.8500000000000004E-2</v>
      </c>
      <c r="E488" s="94">
        <v>46446</v>
      </c>
      <c r="F488" s="50">
        <f t="shared" si="8"/>
        <v>546</v>
      </c>
      <c r="G488" t="str">
        <f>VLOOKUP(F488,T!$A$2:$C$9,3,TRUE)</f>
        <v>6. 1-3 Years</v>
      </c>
    </row>
    <row r="489" spans="1:7" x14ac:dyDescent="0.3">
      <c r="A489" s="94" t="s">
        <v>773</v>
      </c>
      <c r="B489" t="s">
        <v>774</v>
      </c>
      <c r="C489" s="50">
        <v>50000000</v>
      </c>
      <c r="D489" s="95">
        <v>0.12</v>
      </c>
      <c r="E489" s="94">
        <v>46459</v>
      </c>
      <c r="F489" s="50">
        <f t="shared" si="8"/>
        <v>559</v>
      </c>
      <c r="G489" t="str">
        <f>VLOOKUP(F489,T!$A$2:$C$9,3,TRUE)</f>
        <v>6. 1-3 Years</v>
      </c>
    </row>
    <row r="490" spans="1:7" x14ac:dyDescent="0.3">
      <c r="A490" s="94" t="s">
        <v>773</v>
      </c>
      <c r="B490" t="s">
        <v>774</v>
      </c>
      <c r="C490" s="50">
        <v>25000000</v>
      </c>
      <c r="D490" s="95">
        <v>0.12</v>
      </c>
      <c r="E490" s="94">
        <v>46460</v>
      </c>
      <c r="F490" s="50">
        <f t="shared" si="8"/>
        <v>560</v>
      </c>
      <c r="G490" t="str">
        <f>VLOOKUP(F490,T!$A$2:$C$9,3,TRUE)</f>
        <v>6. 1-3 Years</v>
      </c>
    </row>
    <row r="491" spans="1:7" x14ac:dyDescent="0.3">
      <c r="A491" s="94" t="s">
        <v>780</v>
      </c>
      <c r="B491" t="s">
        <v>774</v>
      </c>
      <c r="C491" s="50">
        <v>16666666.67</v>
      </c>
      <c r="D491" s="95">
        <v>8.0199999999999994E-2</v>
      </c>
      <c r="E491" s="94">
        <v>46461</v>
      </c>
      <c r="F491" s="50">
        <f t="shared" si="8"/>
        <v>561</v>
      </c>
      <c r="G491" t="str">
        <f>VLOOKUP(F491,T!$A$2:$C$9,3,TRUE)</f>
        <v>6. 1-3 Years</v>
      </c>
    </row>
    <row r="492" spans="1:7" x14ac:dyDescent="0.3">
      <c r="A492" s="94" t="s">
        <v>785</v>
      </c>
      <c r="B492" t="s">
        <v>774</v>
      </c>
      <c r="C492" s="50">
        <v>25000000</v>
      </c>
      <c r="D492" s="95">
        <v>8.0199999999999994E-2</v>
      </c>
      <c r="E492" s="94">
        <v>46464</v>
      </c>
      <c r="F492" s="50">
        <f t="shared" si="8"/>
        <v>564</v>
      </c>
      <c r="G492" t="str">
        <f>VLOOKUP(F492,T!$A$2:$C$9,3,TRUE)</f>
        <v>6. 1-3 Years</v>
      </c>
    </row>
    <row r="493" spans="1:7" x14ac:dyDescent="0.3">
      <c r="A493" s="94" t="s">
        <v>790</v>
      </c>
      <c r="B493" t="s">
        <v>774</v>
      </c>
      <c r="C493" s="50">
        <v>17108038.359999999</v>
      </c>
      <c r="D493" s="95">
        <v>0.12</v>
      </c>
      <c r="E493" s="94">
        <v>46465</v>
      </c>
      <c r="F493" s="50">
        <f t="shared" si="8"/>
        <v>565</v>
      </c>
      <c r="G493" t="str">
        <f>VLOOKUP(F493,T!$A$2:$C$9,3,TRUE)</f>
        <v>6. 1-3 Years</v>
      </c>
    </row>
    <row r="494" spans="1:7" x14ac:dyDescent="0.3">
      <c r="A494" s="94" t="s">
        <v>792</v>
      </c>
      <c r="B494" t="s">
        <v>774</v>
      </c>
      <c r="C494" s="50">
        <v>20800000</v>
      </c>
      <c r="D494" s="95">
        <v>0.1075</v>
      </c>
      <c r="E494" s="94">
        <v>46468</v>
      </c>
      <c r="F494" s="50">
        <f t="shared" si="8"/>
        <v>568</v>
      </c>
      <c r="G494" t="str">
        <f>VLOOKUP(F494,T!$A$2:$C$9,3,TRUE)</f>
        <v>6. 1-3 Years</v>
      </c>
    </row>
    <row r="495" spans="1:7" x14ac:dyDescent="0.3">
      <c r="A495" s="94" t="s">
        <v>792</v>
      </c>
      <c r="B495" t="s">
        <v>774</v>
      </c>
      <c r="C495" s="50">
        <v>20800000</v>
      </c>
      <c r="D495" s="95">
        <v>0.1075</v>
      </c>
      <c r="E495" s="94">
        <v>46470</v>
      </c>
      <c r="F495" s="50">
        <f t="shared" si="8"/>
        <v>570</v>
      </c>
      <c r="G495" t="str">
        <f>VLOOKUP(F495,T!$A$2:$C$9,3,TRUE)</f>
        <v>6. 1-3 Years</v>
      </c>
    </row>
    <row r="496" spans="1:7" x14ac:dyDescent="0.3">
      <c r="A496" s="94" t="s">
        <v>793</v>
      </c>
      <c r="B496" t="s">
        <v>774</v>
      </c>
      <c r="C496" s="50">
        <v>16650000</v>
      </c>
      <c r="D496" s="95">
        <v>0.09</v>
      </c>
      <c r="E496" s="94">
        <v>46471</v>
      </c>
      <c r="F496" s="50">
        <f t="shared" si="8"/>
        <v>571</v>
      </c>
      <c r="G496" t="str">
        <f>VLOOKUP(F496,T!$A$2:$C$9,3,TRUE)</f>
        <v>6. 1-3 Years</v>
      </c>
    </row>
    <row r="497" spans="1:7" x14ac:dyDescent="0.3">
      <c r="A497" s="94" t="s">
        <v>793</v>
      </c>
      <c r="B497" t="s">
        <v>774</v>
      </c>
      <c r="C497" s="50">
        <v>16650000</v>
      </c>
      <c r="D497" s="95">
        <v>0.09</v>
      </c>
      <c r="E497" s="94">
        <v>46472</v>
      </c>
      <c r="F497" s="50">
        <f t="shared" si="8"/>
        <v>572</v>
      </c>
      <c r="G497" t="str">
        <f>VLOOKUP(F497,T!$A$2:$C$9,3,TRUE)</f>
        <v>6. 1-3 Years</v>
      </c>
    </row>
    <row r="498" spans="1:7" x14ac:dyDescent="0.3">
      <c r="A498" s="94" t="s">
        <v>794</v>
      </c>
      <c r="B498" t="s">
        <v>774</v>
      </c>
      <c r="C498" s="50">
        <v>20833000</v>
      </c>
      <c r="D498" s="95">
        <v>8.0699999999999994E-2</v>
      </c>
      <c r="E498" s="94">
        <v>46472</v>
      </c>
      <c r="F498" s="50">
        <f t="shared" si="8"/>
        <v>572</v>
      </c>
      <c r="G498" t="str">
        <f>VLOOKUP(F498,T!$A$2:$C$9,3,TRUE)</f>
        <v>6. 1-3 Years</v>
      </c>
    </row>
    <row r="499" spans="1:7" x14ac:dyDescent="0.3">
      <c r="A499" s="94" t="s">
        <v>794</v>
      </c>
      <c r="B499" t="s">
        <v>774</v>
      </c>
      <c r="C499" s="50">
        <v>20833000</v>
      </c>
      <c r="D499" s="95">
        <v>8.0699999999999994E-2</v>
      </c>
      <c r="E499" s="94">
        <v>46472</v>
      </c>
      <c r="F499" s="50">
        <f t="shared" si="8"/>
        <v>572</v>
      </c>
      <c r="G499" t="str">
        <f>VLOOKUP(F499,T!$A$2:$C$9,3,TRUE)</f>
        <v>6. 1-3 Years</v>
      </c>
    </row>
    <row r="500" spans="1:7" x14ac:dyDescent="0.3">
      <c r="A500" s="94" t="s">
        <v>794</v>
      </c>
      <c r="B500" t="s">
        <v>774</v>
      </c>
      <c r="C500" s="50">
        <v>20833000</v>
      </c>
      <c r="D500" s="95">
        <v>8.0699999999999994E-2</v>
      </c>
      <c r="E500" s="94">
        <v>46472</v>
      </c>
      <c r="F500" s="50">
        <f t="shared" si="8"/>
        <v>572</v>
      </c>
      <c r="G500" t="str">
        <f>VLOOKUP(F500,T!$A$2:$C$9,3,TRUE)</f>
        <v>6. 1-3 Years</v>
      </c>
    </row>
    <row r="501" spans="1:7" x14ac:dyDescent="0.3">
      <c r="A501" s="94" t="s">
        <v>795</v>
      </c>
      <c r="B501" t="s">
        <v>774</v>
      </c>
      <c r="C501" s="50">
        <v>20833333.333333328</v>
      </c>
      <c r="D501" s="95">
        <v>0.1075</v>
      </c>
      <c r="E501" s="94">
        <v>46473</v>
      </c>
      <c r="F501" s="50">
        <f t="shared" si="8"/>
        <v>573</v>
      </c>
      <c r="G501" t="str">
        <f>VLOOKUP(F501,T!$A$2:$C$9,3,TRUE)</f>
        <v>6. 1-3 Years</v>
      </c>
    </row>
    <row r="502" spans="1:7" x14ac:dyDescent="0.3">
      <c r="A502" s="94" t="s">
        <v>795</v>
      </c>
      <c r="B502" t="s">
        <v>774</v>
      </c>
      <c r="C502" s="50">
        <v>20833333.333333328</v>
      </c>
      <c r="D502" s="95">
        <v>0.1075</v>
      </c>
      <c r="E502" s="94">
        <v>46473</v>
      </c>
      <c r="F502" s="50">
        <f t="shared" si="8"/>
        <v>573</v>
      </c>
      <c r="G502" t="str">
        <f>VLOOKUP(F502,T!$A$2:$C$9,3,TRUE)</f>
        <v>6. 1-3 Years</v>
      </c>
    </row>
    <row r="503" spans="1:7" x14ac:dyDescent="0.3">
      <c r="A503" s="94" t="s">
        <v>795</v>
      </c>
      <c r="B503" t="s">
        <v>774</v>
      </c>
      <c r="C503" s="50">
        <v>10416666.66666667</v>
      </c>
      <c r="D503" s="95">
        <v>0.1075</v>
      </c>
      <c r="E503" s="94">
        <v>46473</v>
      </c>
      <c r="F503" s="50">
        <f t="shared" si="8"/>
        <v>573</v>
      </c>
      <c r="G503" t="str">
        <f>VLOOKUP(F503,T!$A$2:$C$9,3,TRUE)</f>
        <v>6. 1-3 Years</v>
      </c>
    </row>
    <row r="504" spans="1:7" x14ac:dyDescent="0.3">
      <c r="A504" s="94" t="s">
        <v>795</v>
      </c>
      <c r="B504" t="s">
        <v>774</v>
      </c>
      <c r="C504" s="50">
        <v>10416666.66666667</v>
      </c>
      <c r="D504" s="95">
        <v>0.1075</v>
      </c>
      <c r="E504" s="94">
        <v>46473</v>
      </c>
      <c r="F504" s="50">
        <f t="shared" si="8"/>
        <v>573</v>
      </c>
      <c r="G504" t="str">
        <f>VLOOKUP(F504,T!$A$2:$C$9,3,TRUE)</f>
        <v>6. 1-3 Years</v>
      </c>
    </row>
    <row r="505" spans="1:7" x14ac:dyDescent="0.3">
      <c r="A505" s="94" t="s">
        <v>796</v>
      </c>
      <c r="B505" t="s">
        <v>774</v>
      </c>
      <c r="C505" s="50">
        <v>13888000</v>
      </c>
      <c r="D505" s="95">
        <v>8.2199999999999995E-2</v>
      </c>
      <c r="E505" s="94">
        <v>46474</v>
      </c>
      <c r="F505" s="50">
        <f t="shared" si="8"/>
        <v>574</v>
      </c>
      <c r="G505" t="str">
        <f>VLOOKUP(F505,T!$A$2:$C$9,3,TRUE)</f>
        <v>6. 1-3 Years</v>
      </c>
    </row>
    <row r="506" spans="1:7" x14ac:dyDescent="0.3">
      <c r="A506" s="94" t="s">
        <v>780</v>
      </c>
      <c r="B506" t="s">
        <v>774</v>
      </c>
      <c r="C506" s="50">
        <v>16666666.470000001</v>
      </c>
      <c r="D506" s="95">
        <v>8.0199999999999994E-2</v>
      </c>
      <c r="E506" s="94">
        <v>46475</v>
      </c>
      <c r="F506" s="50">
        <f t="shared" si="8"/>
        <v>575</v>
      </c>
      <c r="G506" t="str">
        <f>VLOOKUP(F506,T!$A$2:$C$9,3,TRUE)</f>
        <v>6. 1-3 Years</v>
      </c>
    </row>
    <row r="507" spans="1:7" x14ac:dyDescent="0.3">
      <c r="A507" s="94" t="s">
        <v>801</v>
      </c>
      <c r="B507" t="s">
        <v>774</v>
      </c>
      <c r="C507" s="50">
        <v>196593750</v>
      </c>
      <c r="D507" s="95">
        <v>8.8700000000000001E-2</v>
      </c>
      <c r="E507" s="94">
        <v>46476</v>
      </c>
      <c r="F507" s="50">
        <f t="shared" si="8"/>
        <v>576</v>
      </c>
      <c r="G507" t="str">
        <f>VLOOKUP(F507,T!$A$2:$C$9,3,TRUE)</f>
        <v>6. 1-3 Years</v>
      </c>
    </row>
    <row r="508" spans="1:7" x14ac:dyDescent="0.3">
      <c r="A508" s="94" t="s">
        <v>798</v>
      </c>
      <c r="B508" t="s">
        <v>774</v>
      </c>
      <c r="C508" s="50">
        <v>145833333.34</v>
      </c>
      <c r="D508" s="95">
        <v>0.11</v>
      </c>
      <c r="E508" s="94">
        <v>46476</v>
      </c>
      <c r="F508" s="50">
        <f t="shared" si="8"/>
        <v>576</v>
      </c>
      <c r="G508" t="str">
        <f>VLOOKUP(F508,T!$A$2:$C$9,3,TRUE)</f>
        <v>6. 1-3 Years</v>
      </c>
    </row>
    <row r="509" spans="1:7" x14ac:dyDescent="0.3">
      <c r="A509" s="94" t="s">
        <v>797</v>
      </c>
      <c r="B509" t="s">
        <v>774</v>
      </c>
      <c r="C509" s="50">
        <v>8250000</v>
      </c>
      <c r="D509" s="95">
        <v>0.12</v>
      </c>
      <c r="E509" s="94">
        <v>46477</v>
      </c>
      <c r="F509" s="50">
        <f t="shared" si="8"/>
        <v>577</v>
      </c>
      <c r="G509" t="str">
        <f>VLOOKUP(F509,T!$A$2:$C$9,3,TRUE)</f>
        <v>6. 1-3 Years</v>
      </c>
    </row>
    <row r="510" spans="1:7" x14ac:dyDescent="0.3">
      <c r="A510" s="94" t="s">
        <v>797</v>
      </c>
      <c r="B510" t="s">
        <v>774</v>
      </c>
      <c r="C510" s="50">
        <v>8250000</v>
      </c>
      <c r="D510" s="95">
        <v>0.12</v>
      </c>
      <c r="E510" s="94">
        <v>46477</v>
      </c>
      <c r="F510" s="50">
        <f t="shared" si="8"/>
        <v>577</v>
      </c>
      <c r="G510" t="str">
        <f>VLOOKUP(F510,T!$A$2:$C$9,3,TRUE)</f>
        <v>6. 1-3 Years</v>
      </c>
    </row>
    <row r="511" spans="1:7" x14ac:dyDescent="0.3">
      <c r="A511" s="94" t="s">
        <v>797</v>
      </c>
      <c r="B511" t="s">
        <v>774</v>
      </c>
      <c r="C511" s="50">
        <v>8250000</v>
      </c>
      <c r="D511" s="95">
        <v>0.12</v>
      </c>
      <c r="E511" s="94">
        <v>46477</v>
      </c>
      <c r="F511" s="50">
        <f t="shared" si="8"/>
        <v>577</v>
      </c>
      <c r="G511" t="str">
        <f>VLOOKUP(F511,T!$A$2:$C$9,3,TRUE)</f>
        <v>6. 1-3 Years</v>
      </c>
    </row>
    <row r="512" spans="1:7" x14ac:dyDescent="0.3">
      <c r="A512" s="94" t="s">
        <v>797</v>
      </c>
      <c r="B512" t="s">
        <v>774</v>
      </c>
      <c r="C512" s="50">
        <v>8250000</v>
      </c>
      <c r="D512" s="95">
        <v>0.12</v>
      </c>
      <c r="E512" s="94">
        <v>46477</v>
      </c>
      <c r="F512" s="50">
        <f t="shared" si="8"/>
        <v>577</v>
      </c>
      <c r="G512" t="str">
        <f>VLOOKUP(F512,T!$A$2:$C$9,3,TRUE)</f>
        <v>6. 1-3 Years</v>
      </c>
    </row>
    <row r="513" spans="1:7" x14ac:dyDescent="0.3">
      <c r="A513" s="94" t="s">
        <v>780</v>
      </c>
      <c r="B513" t="s">
        <v>774</v>
      </c>
      <c r="C513" s="50">
        <v>16666666.67</v>
      </c>
      <c r="D513" s="95">
        <v>8.0199999999999994E-2</v>
      </c>
      <c r="E513" s="94">
        <v>46492</v>
      </c>
      <c r="F513" s="50">
        <f t="shared" si="8"/>
        <v>592</v>
      </c>
      <c r="G513" t="str">
        <f>VLOOKUP(F513,T!$A$2:$C$9,3,TRUE)</f>
        <v>6. 1-3 Years</v>
      </c>
    </row>
    <row r="514" spans="1:7" x14ac:dyDescent="0.3">
      <c r="A514" s="94" t="s">
        <v>785</v>
      </c>
      <c r="B514" t="s">
        <v>774</v>
      </c>
      <c r="C514" s="50">
        <v>25000000</v>
      </c>
      <c r="D514" s="95">
        <v>8.0199999999999994E-2</v>
      </c>
      <c r="E514" s="94">
        <v>46495</v>
      </c>
      <c r="F514" s="50">
        <f t="shared" si="8"/>
        <v>595</v>
      </c>
      <c r="G514" t="str">
        <f>VLOOKUP(F514,T!$A$2:$C$9,3,TRUE)</f>
        <v>6. 1-3 Years</v>
      </c>
    </row>
    <row r="515" spans="1:7" x14ac:dyDescent="0.3">
      <c r="A515" s="94" t="s">
        <v>790</v>
      </c>
      <c r="B515" t="s">
        <v>774</v>
      </c>
      <c r="C515" s="50">
        <v>16732070.15</v>
      </c>
      <c r="D515" s="95">
        <v>0.12</v>
      </c>
      <c r="E515" s="94">
        <v>46496</v>
      </c>
      <c r="F515" s="50">
        <f t="shared" ref="F515:F578" si="9">E515-$F$1</f>
        <v>596</v>
      </c>
      <c r="G515" t="str">
        <f>VLOOKUP(F515,T!$A$2:$C$9,3,TRUE)</f>
        <v>6. 1-3 Years</v>
      </c>
    </row>
    <row r="516" spans="1:7" x14ac:dyDescent="0.3">
      <c r="A516" s="94" t="s">
        <v>792</v>
      </c>
      <c r="B516" t="s">
        <v>774</v>
      </c>
      <c r="C516" s="50">
        <v>20800000</v>
      </c>
      <c r="D516" s="95">
        <v>0.1075</v>
      </c>
      <c r="E516" s="94">
        <v>46499</v>
      </c>
      <c r="F516" s="50">
        <f t="shared" si="9"/>
        <v>599</v>
      </c>
      <c r="G516" t="str">
        <f>VLOOKUP(F516,T!$A$2:$C$9,3,TRUE)</f>
        <v>6. 1-3 Years</v>
      </c>
    </row>
    <row r="517" spans="1:7" x14ac:dyDescent="0.3">
      <c r="A517" s="94" t="s">
        <v>799</v>
      </c>
      <c r="B517" t="s">
        <v>774</v>
      </c>
      <c r="C517" s="50">
        <v>50000000</v>
      </c>
      <c r="D517" s="95">
        <v>0.12</v>
      </c>
      <c r="E517" s="94">
        <v>46500</v>
      </c>
      <c r="F517" s="50">
        <f t="shared" si="9"/>
        <v>600</v>
      </c>
      <c r="G517" t="str">
        <f>VLOOKUP(F517,T!$A$2:$C$9,3,TRUE)</f>
        <v>6. 1-3 Years</v>
      </c>
    </row>
    <row r="518" spans="1:7" x14ac:dyDescent="0.3">
      <c r="A518" s="94" t="s">
        <v>799</v>
      </c>
      <c r="B518" t="s">
        <v>774</v>
      </c>
      <c r="C518" s="50">
        <v>50000000</v>
      </c>
      <c r="D518" s="95">
        <v>0.12</v>
      </c>
      <c r="E518" s="94">
        <v>46500</v>
      </c>
      <c r="F518" s="50">
        <f t="shared" si="9"/>
        <v>600</v>
      </c>
      <c r="G518" t="str">
        <f>VLOOKUP(F518,T!$A$2:$C$9,3,TRUE)</f>
        <v>6. 1-3 Years</v>
      </c>
    </row>
    <row r="519" spans="1:7" x14ac:dyDescent="0.3">
      <c r="A519" s="94" t="s">
        <v>799</v>
      </c>
      <c r="B519" t="s">
        <v>774</v>
      </c>
      <c r="C519" s="50">
        <v>50000000</v>
      </c>
      <c r="D519" s="95">
        <v>0.12</v>
      </c>
      <c r="E519" s="94">
        <v>46500</v>
      </c>
      <c r="F519" s="50">
        <f t="shared" si="9"/>
        <v>600</v>
      </c>
      <c r="G519" t="str">
        <f>VLOOKUP(F519,T!$A$2:$C$9,3,TRUE)</f>
        <v>6. 1-3 Years</v>
      </c>
    </row>
    <row r="520" spans="1:7" x14ac:dyDescent="0.3">
      <c r="A520" s="94" t="s">
        <v>792</v>
      </c>
      <c r="B520" t="s">
        <v>774</v>
      </c>
      <c r="C520" s="50">
        <v>20800000</v>
      </c>
      <c r="D520" s="95">
        <v>0.1075</v>
      </c>
      <c r="E520" s="94">
        <v>46501</v>
      </c>
      <c r="F520" s="50">
        <f t="shared" si="9"/>
        <v>601</v>
      </c>
      <c r="G520" t="str">
        <f>VLOOKUP(F520,T!$A$2:$C$9,3,TRUE)</f>
        <v>6. 1-3 Years</v>
      </c>
    </row>
    <row r="521" spans="1:7" x14ac:dyDescent="0.3">
      <c r="A521" s="94" t="s">
        <v>793</v>
      </c>
      <c r="B521" t="s">
        <v>774</v>
      </c>
      <c r="C521" s="50">
        <v>16650000</v>
      </c>
      <c r="D521" s="95">
        <v>0.09</v>
      </c>
      <c r="E521" s="94">
        <v>46502</v>
      </c>
      <c r="F521" s="50">
        <f t="shared" si="9"/>
        <v>602</v>
      </c>
      <c r="G521" t="str">
        <f>VLOOKUP(F521,T!$A$2:$C$9,3,TRUE)</f>
        <v>6. 1-3 Years</v>
      </c>
    </row>
    <row r="522" spans="1:7" x14ac:dyDescent="0.3">
      <c r="A522" s="94" t="s">
        <v>793</v>
      </c>
      <c r="B522" t="s">
        <v>774</v>
      </c>
      <c r="C522" s="50">
        <v>16650000</v>
      </c>
      <c r="D522" s="95">
        <v>0.09</v>
      </c>
      <c r="E522" s="94">
        <v>46503</v>
      </c>
      <c r="F522" s="50">
        <f t="shared" si="9"/>
        <v>603</v>
      </c>
      <c r="G522" t="str">
        <f>VLOOKUP(F522,T!$A$2:$C$9,3,TRUE)</f>
        <v>6. 1-3 Years</v>
      </c>
    </row>
    <row r="523" spans="1:7" x14ac:dyDescent="0.3">
      <c r="A523" s="94" t="s">
        <v>794</v>
      </c>
      <c r="B523" t="s">
        <v>774</v>
      </c>
      <c r="C523" s="50">
        <v>20833000</v>
      </c>
      <c r="D523" s="95">
        <v>8.0699999999999994E-2</v>
      </c>
      <c r="E523" s="94">
        <v>46503</v>
      </c>
      <c r="F523" s="50">
        <f t="shared" si="9"/>
        <v>603</v>
      </c>
      <c r="G523" t="str">
        <f>VLOOKUP(F523,T!$A$2:$C$9,3,TRUE)</f>
        <v>6. 1-3 Years</v>
      </c>
    </row>
    <row r="524" spans="1:7" x14ac:dyDescent="0.3">
      <c r="A524" s="94" t="s">
        <v>794</v>
      </c>
      <c r="B524" t="s">
        <v>774</v>
      </c>
      <c r="C524" s="50">
        <v>20833000</v>
      </c>
      <c r="D524" s="95">
        <v>8.0699999999999994E-2</v>
      </c>
      <c r="E524" s="94">
        <v>46503</v>
      </c>
      <c r="F524" s="50">
        <f t="shared" si="9"/>
        <v>603</v>
      </c>
      <c r="G524" t="str">
        <f>VLOOKUP(F524,T!$A$2:$C$9,3,TRUE)</f>
        <v>6. 1-3 Years</v>
      </c>
    </row>
    <row r="525" spans="1:7" x14ac:dyDescent="0.3">
      <c r="A525" s="94" t="s">
        <v>794</v>
      </c>
      <c r="B525" t="s">
        <v>774</v>
      </c>
      <c r="C525" s="50">
        <v>20833000</v>
      </c>
      <c r="D525" s="95">
        <v>8.0699999999999994E-2</v>
      </c>
      <c r="E525" s="94">
        <v>46503</v>
      </c>
      <c r="F525" s="50">
        <f t="shared" si="9"/>
        <v>603</v>
      </c>
      <c r="G525" t="str">
        <f>VLOOKUP(F525,T!$A$2:$C$9,3,TRUE)</f>
        <v>6. 1-3 Years</v>
      </c>
    </row>
    <row r="526" spans="1:7" x14ac:dyDescent="0.3">
      <c r="A526" s="94" t="s">
        <v>795</v>
      </c>
      <c r="B526" t="s">
        <v>774</v>
      </c>
      <c r="C526" s="50">
        <v>20833333.333333328</v>
      </c>
      <c r="D526" s="95">
        <v>0.1075</v>
      </c>
      <c r="E526" s="94">
        <v>46504</v>
      </c>
      <c r="F526" s="50">
        <f t="shared" si="9"/>
        <v>604</v>
      </c>
      <c r="G526" t="str">
        <f>VLOOKUP(F526,T!$A$2:$C$9,3,TRUE)</f>
        <v>6. 1-3 Years</v>
      </c>
    </row>
    <row r="527" spans="1:7" x14ac:dyDescent="0.3">
      <c r="A527" s="94" t="s">
        <v>795</v>
      </c>
      <c r="B527" t="s">
        <v>774</v>
      </c>
      <c r="C527" s="50">
        <v>20833333.333333328</v>
      </c>
      <c r="D527" s="95">
        <v>0.1075</v>
      </c>
      <c r="E527" s="94">
        <v>46504</v>
      </c>
      <c r="F527" s="50">
        <f t="shared" si="9"/>
        <v>604</v>
      </c>
      <c r="G527" t="str">
        <f>VLOOKUP(F527,T!$A$2:$C$9,3,TRUE)</f>
        <v>6. 1-3 Years</v>
      </c>
    </row>
    <row r="528" spans="1:7" x14ac:dyDescent="0.3">
      <c r="A528" s="94" t="s">
        <v>795</v>
      </c>
      <c r="B528" t="s">
        <v>774</v>
      </c>
      <c r="C528" s="50">
        <v>10416666.66666667</v>
      </c>
      <c r="D528" s="95">
        <v>0.1075</v>
      </c>
      <c r="E528" s="94">
        <v>46504</v>
      </c>
      <c r="F528" s="50">
        <f t="shared" si="9"/>
        <v>604</v>
      </c>
      <c r="G528" t="str">
        <f>VLOOKUP(F528,T!$A$2:$C$9,3,TRUE)</f>
        <v>6. 1-3 Years</v>
      </c>
    </row>
    <row r="529" spans="1:7" x14ac:dyDescent="0.3">
      <c r="A529" s="94" t="s">
        <v>795</v>
      </c>
      <c r="B529" t="s">
        <v>774</v>
      </c>
      <c r="C529" s="50">
        <v>10416666.66666667</v>
      </c>
      <c r="D529" s="95">
        <v>0.1075</v>
      </c>
      <c r="E529" s="94">
        <v>46504</v>
      </c>
      <c r="F529" s="50">
        <f t="shared" si="9"/>
        <v>604</v>
      </c>
      <c r="G529" t="str">
        <f>VLOOKUP(F529,T!$A$2:$C$9,3,TRUE)</f>
        <v>6. 1-3 Years</v>
      </c>
    </row>
    <row r="530" spans="1:7" x14ac:dyDescent="0.3">
      <c r="A530" s="94" t="s">
        <v>796</v>
      </c>
      <c r="B530" t="s">
        <v>774</v>
      </c>
      <c r="C530" s="50">
        <v>13888000</v>
      </c>
      <c r="D530" s="95">
        <v>8.2199999999999995E-2</v>
      </c>
      <c r="E530" s="94">
        <v>46505</v>
      </c>
      <c r="F530" s="50">
        <f t="shared" si="9"/>
        <v>605</v>
      </c>
      <c r="G530" t="str">
        <f>VLOOKUP(F530,T!$A$2:$C$9,3,TRUE)</f>
        <v>6. 1-3 Years</v>
      </c>
    </row>
    <row r="531" spans="1:7" x14ac:dyDescent="0.3">
      <c r="A531" s="94" t="s">
        <v>780</v>
      </c>
      <c r="B531" t="s">
        <v>774</v>
      </c>
      <c r="C531" s="50">
        <v>16666666.470000001</v>
      </c>
      <c r="D531" s="95">
        <v>8.0199999999999994E-2</v>
      </c>
      <c r="E531" s="94">
        <v>46506</v>
      </c>
      <c r="F531" s="50">
        <f t="shared" si="9"/>
        <v>606</v>
      </c>
      <c r="G531" t="str">
        <f>VLOOKUP(F531,T!$A$2:$C$9,3,TRUE)</f>
        <v>6. 1-3 Years</v>
      </c>
    </row>
    <row r="532" spans="1:7" x14ac:dyDescent="0.3">
      <c r="A532" s="94" t="s">
        <v>797</v>
      </c>
      <c r="B532" t="s">
        <v>774</v>
      </c>
      <c r="C532" s="50">
        <v>8250000</v>
      </c>
      <c r="D532" s="95">
        <v>0.12</v>
      </c>
      <c r="E532" s="94">
        <v>46507</v>
      </c>
      <c r="F532" s="50">
        <f t="shared" si="9"/>
        <v>607</v>
      </c>
      <c r="G532" t="str">
        <f>VLOOKUP(F532,T!$A$2:$C$9,3,TRUE)</f>
        <v>6. 1-3 Years</v>
      </c>
    </row>
    <row r="533" spans="1:7" x14ac:dyDescent="0.3">
      <c r="A533" s="94" t="s">
        <v>797</v>
      </c>
      <c r="B533" t="s">
        <v>774</v>
      </c>
      <c r="C533" s="50">
        <v>8250000</v>
      </c>
      <c r="D533" s="95">
        <v>0.12</v>
      </c>
      <c r="E533" s="94">
        <v>46507</v>
      </c>
      <c r="F533" s="50">
        <f t="shared" si="9"/>
        <v>607</v>
      </c>
      <c r="G533" t="str">
        <f>VLOOKUP(F533,T!$A$2:$C$9,3,TRUE)</f>
        <v>6. 1-3 Years</v>
      </c>
    </row>
    <row r="534" spans="1:7" x14ac:dyDescent="0.3">
      <c r="A534" s="94" t="s">
        <v>797</v>
      </c>
      <c r="B534" t="s">
        <v>774</v>
      </c>
      <c r="C534" s="50">
        <v>8250000</v>
      </c>
      <c r="D534" s="95">
        <v>0.12</v>
      </c>
      <c r="E534" s="94">
        <v>46507</v>
      </c>
      <c r="F534" s="50">
        <f t="shared" si="9"/>
        <v>607</v>
      </c>
      <c r="G534" t="str">
        <f>VLOOKUP(F534,T!$A$2:$C$9,3,TRUE)</f>
        <v>6. 1-3 Years</v>
      </c>
    </row>
    <row r="535" spans="1:7" x14ac:dyDescent="0.3">
      <c r="A535" s="94" t="s">
        <v>797</v>
      </c>
      <c r="B535" t="s">
        <v>774</v>
      </c>
      <c r="C535" s="50">
        <v>8250000</v>
      </c>
      <c r="D535" s="95">
        <v>0.12</v>
      </c>
      <c r="E535" s="94">
        <v>46507</v>
      </c>
      <c r="F535" s="50">
        <f t="shared" si="9"/>
        <v>607</v>
      </c>
      <c r="G535" t="str">
        <f>VLOOKUP(F535,T!$A$2:$C$9,3,TRUE)</f>
        <v>6. 1-3 Years</v>
      </c>
    </row>
    <row r="536" spans="1:7" x14ac:dyDescent="0.3">
      <c r="A536" s="94" t="s">
        <v>780</v>
      </c>
      <c r="B536" t="s">
        <v>774</v>
      </c>
      <c r="C536" s="50">
        <v>16666666.67</v>
      </c>
      <c r="D536" s="95">
        <v>8.0199999999999994E-2</v>
      </c>
      <c r="E536" s="94">
        <v>46522</v>
      </c>
      <c r="F536" s="50">
        <f t="shared" si="9"/>
        <v>622</v>
      </c>
      <c r="G536" t="str">
        <f>VLOOKUP(F536,T!$A$2:$C$9,3,TRUE)</f>
        <v>6. 1-3 Years</v>
      </c>
    </row>
    <row r="537" spans="1:7" x14ac:dyDescent="0.3">
      <c r="A537" s="94" t="s">
        <v>785</v>
      </c>
      <c r="B537" t="s">
        <v>774</v>
      </c>
      <c r="C537" s="50">
        <v>25000000</v>
      </c>
      <c r="D537" s="95">
        <v>8.0199999999999994E-2</v>
      </c>
      <c r="E537" s="94">
        <v>46525</v>
      </c>
      <c r="F537" s="50">
        <f t="shared" si="9"/>
        <v>625</v>
      </c>
      <c r="G537" t="str">
        <f>VLOOKUP(F537,T!$A$2:$C$9,3,TRUE)</f>
        <v>6. 1-3 Years</v>
      </c>
    </row>
    <row r="538" spans="1:7" x14ac:dyDescent="0.3">
      <c r="A538" s="94" t="s">
        <v>790</v>
      </c>
      <c r="B538" t="s">
        <v>774</v>
      </c>
      <c r="C538" s="50">
        <v>17074917.579999998</v>
      </c>
      <c r="D538" s="95">
        <v>0.12</v>
      </c>
      <c r="E538" s="94">
        <v>46526</v>
      </c>
      <c r="F538" s="50">
        <f t="shared" si="9"/>
        <v>626</v>
      </c>
      <c r="G538" t="str">
        <f>VLOOKUP(F538,T!$A$2:$C$9,3,TRUE)</f>
        <v>6. 1-3 Years</v>
      </c>
    </row>
    <row r="539" spans="1:7" x14ac:dyDescent="0.3">
      <c r="A539" s="94" t="s">
        <v>800</v>
      </c>
      <c r="B539" t="s">
        <v>774</v>
      </c>
      <c r="C539" s="50">
        <v>50000000</v>
      </c>
      <c r="D539" s="95">
        <v>9.8500000000000004E-2</v>
      </c>
      <c r="E539" s="94">
        <v>46528</v>
      </c>
      <c r="F539" s="50">
        <f t="shared" si="9"/>
        <v>628</v>
      </c>
      <c r="G539" t="str">
        <f>VLOOKUP(F539,T!$A$2:$C$9,3,TRUE)</f>
        <v>6. 1-3 Years</v>
      </c>
    </row>
    <row r="540" spans="1:7" x14ac:dyDescent="0.3">
      <c r="A540" s="94" t="s">
        <v>792</v>
      </c>
      <c r="B540" t="s">
        <v>774</v>
      </c>
      <c r="C540" s="50">
        <v>20800000</v>
      </c>
      <c r="D540" s="95">
        <v>0.1075</v>
      </c>
      <c r="E540" s="94">
        <v>46529</v>
      </c>
      <c r="F540" s="50">
        <f t="shared" si="9"/>
        <v>629</v>
      </c>
      <c r="G540" t="str">
        <f>VLOOKUP(F540,T!$A$2:$C$9,3,TRUE)</f>
        <v>6. 1-3 Years</v>
      </c>
    </row>
    <row r="541" spans="1:7" x14ac:dyDescent="0.3">
      <c r="A541" s="94" t="s">
        <v>792</v>
      </c>
      <c r="B541" t="s">
        <v>774</v>
      </c>
      <c r="C541" s="50">
        <v>20800000</v>
      </c>
      <c r="D541" s="95">
        <v>0.1075</v>
      </c>
      <c r="E541" s="94">
        <v>46531</v>
      </c>
      <c r="F541" s="50">
        <f t="shared" si="9"/>
        <v>631</v>
      </c>
      <c r="G541" t="str">
        <f>VLOOKUP(F541,T!$A$2:$C$9,3,TRUE)</f>
        <v>6. 1-3 Years</v>
      </c>
    </row>
    <row r="542" spans="1:7" x14ac:dyDescent="0.3">
      <c r="A542" s="94" t="s">
        <v>793</v>
      </c>
      <c r="B542" t="s">
        <v>774</v>
      </c>
      <c r="C542" s="50">
        <v>16650000</v>
      </c>
      <c r="D542" s="95">
        <v>0.09</v>
      </c>
      <c r="E542" s="94">
        <v>46532</v>
      </c>
      <c r="F542" s="50">
        <f t="shared" si="9"/>
        <v>632</v>
      </c>
      <c r="G542" t="str">
        <f>VLOOKUP(F542,T!$A$2:$C$9,3,TRUE)</f>
        <v>6. 1-3 Years</v>
      </c>
    </row>
    <row r="543" spans="1:7" x14ac:dyDescent="0.3">
      <c r="A543" s="94" t="s">
        <v>793</v>
      </c>
      <c r="B543" t="s">
        <v>774</v>
      </c>
      <c r="C543" s="50">
        <v>16650000</v>
      </c>
      <c r="D543" s="95">
        <v>0.09</v>
      </c>
      <c r="E543" s="94">
        <v>46533</v>
      </c>
      <c r="F543" s="50">
        <f t="shared" si="9"/>
        <v>633</v>
      </c>
      <c r="G543" t="str">
        <f>VLOOKUP(F543,T!$A$2:$C$9,3,TRUE)</f>
        <v>6. 1-3 Years</v>
      </c>
    </row>
    <row r="544" spans="1:7" x14ac:dyDescent="0.3">
      <c r="A544" s="94" t="s">
        <v>794</v>
      </c>
      <c r="B544" t="s">
        <v>774</v>
      </c>
      <c r="C544" s="50">
        <v>20833000</v>
      </c>
      <c r="D544" s="95">
        <v>8.0699999999999994E-2</v>
      </c>
      <c r="E544" s="94">
        <v>46533</v>
      </c>
      <c r="F544" s="50">
        <f t="shared" si="9"/>
        <v>633</v>
      </c>
      <c r="G544" t="str">
        <f>VLOOKUP(F544,T!$A$2:$C$9,3,TRUE)</f>
        <v>6. 1-3 Years</v>
      </c>
    </row>
    <row r="545" spans="1:7" x14ac:dyDescent="0.3">
      <c r="A545" s="94" t="s">
        <v>794</v>
      </c>
      <c r="B545" t="s">
        <v>774</v>
      </c>
      <c r="C545" s="50">
        <v>20833000</v>
      </c>
      <c r="D545" s="95">
        <v>8.0699999999999994E-2</v>
      </c>
      <c r="E545" s="94">
        <v>46533</v>
      </c>
      <c r="F545" s="50">
        <f t="shared" si="9"/>
        <v>633</v>
      </c>
      <c r="G545" t="str">
        <f>VLOOKUP(F545,T!$A$2:$C$9,3,TRUE)</f>
        <v>6. 1-3 Years</v>
      </c>
    </row>
    <row r="546" spans="1:7" x14ac:dyDescent="0.3">
      <c r="A546" s="94" t="s">
        <v>794</v>
      </c>
      <c r="B546" t="s">
        <v>774</v>
      </c>
      <c r="C546" s="50">
        <v>20833000</v>
      </c>
      <c r="D546" s="95">
        <v>8.0699999999999994E-2</v>
      </c>
      <c r="E546" s="94">
        <v>46533</v>
      </c>
      <c r="F546" s="50">
        <f t="shared" si="9"/>
        <v>633</v>
      </c>
      <c r="G546" t="str">
        <f>VLOOKUP(F546,T!$A$2:$C$9,3,TRUE)</f>
        <v>6. 1-3 Years</v>
      </c>
    </row>
    <row r="547" spans="1:7" x14ac:dyDescent="0.3">
      <c r="A547" s="94" t="s">
        <v>795</v>
      </c>
      <c r="B547" t="s">
        <v>774</v>
      </c>
      <c r="C547" s="50">
        <v>20833333.333333328</v>
      </c>
      <c r="D547" s="95">
        <v>0.1075</v>
      </c>
      <c r="E547" s="94">
        <v>46534</v>
      </c>
      <c r="F547" s="50">
        <f t="shared" si="9"/>
        <v>634</v>
      </c>
      <c r="G547" t="str">
        <f>VLOOKUP(F547,T!$A$2:$C$9,3,TRUE)</f>
        <v>6. 1-3 Years</v>
      </c>
    </row>
    <row r="548" spans="1:7" x14ac:dyDescent="0.3">
      <c r="A548" s="94" t="s">
        <v>795</v>
      </c>
      <c r="B548" t="s">
        <v>774</v>
      </c>
      <c r="C548" s="50">
        <v>20833333.333333328</v>
      </c>
      <c r="D548" s="95">
        <v>0.1075</v>
      </c>
      <c r="E548" s="94">
        <v>46534</v>
      </c>
      <c r="F548" s="50">
        <f t="shared" si="9"/>
        <v>634</v>
      </c>
      <c r="G548" t="str">
        <f>VLOOKUP(F548,T!$A$2:$C$9,3,TRUE)</f>
        <v>6. 1-3 Years</v>
      </c>
    </row>
    <row r="549" spans="1:7" x14ac:dyDescent="0.3">
      <c r="A549" s="94" t="s">
        <v>795</v>
      </c>
      <c r="B549" t="s">
        <v>774</v>
      </c>
      <c r="C549" s="50">
        <v>10416666.66666667</v>
      </c>
      <c r="D549" s="95">
        <v>0.1075</v>
      </c>
      <c r="E549" s="94">
        <v>46534</v>
      </c>
      <c r="F549" s="50">
        <f t="shared" si="9"/>
        <v>634</v>
      </c>
      <c r="G549" t="str">
        <f>VLOOKUP(F549,T!$A$2:$C$9,3,TRUE)</f>
        <v>6. 1-3 Years</v>
      </c>
    </row>
    <row r="550" spans="1:7" x14ac:dyDescent="0.3">
      <c r="A550" s="94" t="s">
        <v>795</v>
      </c>
      <c r="B550" t="s">
        <v>774</v>
      </c>
      <c r="C550" s="50">
        <v>10416666.66666667</v>
      </c>
      <c r="D550" s="95">
        <v>0.1075</v>
      </c>
      <c r="E550" s="94">
        <v>46534</v>
      </c>
      <c r="F550" s="50">
        <f t="shared" si="9"/>
        <v>634</v>
      </c>
      <c r="G550" t="str">
        <f>VLOOKUP(F550,T!$A$2:$C$9,3,TRUE)</f>
        <v>6. 1-3 Years</v>
      </c>
    </row>
    <row r="551" spans="1:7" x14ac:dyDescent="0.3">
      <c r="A551" s="94" t="s">
        <v>796</v>
      </c>
      <c r="B551" t="s">
        <v>774</v>
      </c>
      <c r="C551" s="50">
        <v>13888000</v>
      </c>
      <c r="D551" s="95">
        <v>8.2199999999999995E-2</v>
      </c>
      <c r="E551" s="94">
        <v>46535</v>
      </c>
      <c r="F551" s="50">
        <f t="shared" si="9"/>
        <v>635</v>
      </c>
      <c r="G551" t="str">
        <f>VLOOKUP(F551,T!$A$2:$C$9,3,TRUE)</f>
        <v>6. 1-3 Years</v>
      </c>
    </row>
    <row r="552" spans="1:7" x14ac:dyDescent="0.3">
      <c r="A552" s="94" t="s">
        <v>800</v>
      </c>
      <c r="B552" t="s">
        <v>774</v>
      </c>
      <c r="C552" s="50">
        <v>50000000</v>
      </c>
      <c r="D552" s="95">
        <v>9.8500000000000004E-2</v>
      </c>
      <c r="E552" s="94">
        <v>46535</v>
      </c>
      <c r="F552" s="50">
        <f t="shared" si="9"/>
        <v>635</v>
      </c>
      <c r="G552" t="str">
        <f>VLOOKUP(F552,T!$A$2:$C$9,3,TRUE)</f>
        <v>6. 1-3 Years</v>
      </c>
    </row>
    <row r="553" spans="1:7" x14ac:dyDescent="0.3">
      <c r="A553" s="94" t="s">
        <v>780</v>
      </c>
      <c r="B553" t="s">
        <v>774</v>
      </c>
      <c r="C553" s="50">
        <v>16666666.470000001</v>
      </c>
      <c r="D553" s="95">
        <v>8.0199999999999994E-2</v>
      </c>
      <c r="E553" s="94">
        <v>46536</v>
      </c>
      <c r="F553" s="50">
        <f t="shared" si="9"/>
        <v>636</v>
      </c>
      <c r="G553" t="str">
        <f>VLOOKUP(F553,T!$A$2:$C$9,3,TRUE)</f>
        <v>6. 1-3 Years</v>
      </c>
    </row>
    <row r="554" spans="1:7" x14ac:dyDescent="0.3">
      <c r="A554" s="94" t="s">
        <v>797</v>
      </c>
      <c r="B554" t="s">
        <v>774</v>
      </c>
      <c r="C554" s="50">
        <v>8250000</v>
      </c>
      <c r="D554" s="95">
        <v>0.12</v>
      </c>
      <c r="E554" s="94">
        <v>46538</v>
      </c>
      <c r="F554" s="50">
        <f t="shared" si="9"/>
        <v>638</v>
      </c>
      <c r="G554" t="str">
        <f>VLOOKUP(F554,T!$A$2:$C$9,3,TRUE)</f>
        <v>6. 1-3 Years</v>
      </c>
    </row>
    <row r="555" spans="1:7" x14ac:dyDescent="0.3">
      <c r="A555" s="94" t="s">
        <v>797</v>
      </c>
      <c r="B555" t="s">
        <v>774</v>
      </c>
      <c r="C555" s="50">
        <v>8250000</v>
      </c>
      <c r="D555" s="95">
        <v>0.12</v>
      </c>
      <c r="E555" s="94">
        <v>46538</v>
      </c>
      <c r="F555" s="50">
        <f t="shared" si="9"/>
        <v>638</v>
      </c>
      <c r="G555" t="str">
        <f>VLOOKUP(F555,T!$A$2:$C$9,3,TRUE)</f>
        <v>6. 1-3 Years</v>
      </c>
    </row>
    <row r="556" spans="1:7" x14ac:dyDescent="0.3">
      <c r="A556" s="94" t="s">
        <v>797</v>
      </c>
      <c r="B556" t="s">
        <v>774</v>
      </c>
      <c r="C556" s="50">
        <v>8250000</v>
      </c>
      <c r="D556" s="95">
        <v>0.12</v>
      </c>
      <c r="E556" s="94">
        <v>46538</v>
      </c>
      <c r="F556" s="50">
        <f t="shared" si="9"/>
        <v>638</v>
      </c>
      <c r="G556" t="str">
        <f>VLOOKUP(F556,T!$A$2:$C$9,3,TRUE)</f>
        <v>6. 1-3 Years</v>
      </c>
    </row>
    <row r="557" spans="1:7" x14ac:dyDescent="0.3">
      <c r="A557" s="94" t="s">
        <v>797</v>
      </c>
      <c r="B557" t="s">
        <v>774</v>
      </c>
      <c r="C557" s="50">
        <v>8250000</v>
      </c>
      <c r="D557" s="95">
        <v>0.12</v>
      </c>
      <c r="E557" s="94">
        <v>46538</v>
      </c>
      <c r="F557" s="50">
        <f t="shared" si="9"/>
        <v>638</v>
      </c>
      <c r="G557" t="str">
        <f>VLOOKUP(F557,T!$A$2:$C$9,3,TRUE)</f>
        <v>6. 1-3 Years</v>
      </c>
    </row>
    <row r="558" spans="1:7" x14ac:dyDescent="0.3">
      <c r="A558" s="94" t="s">
        <v>773</v>
      </c>
      <c r="B558" t="s">
        <v>774</v>
      </c>
      <c r="C558" s="50">
        <v>50000000</v>
      </c>
      <c r="D558" s="95">
        <v>0.12</v>
      </c>
      <c r="E558" s="94">
        <v>46551</v>
      </c>
      <c r="F558" s="50">
        <f t="shared" si="9"/>
        <v>651</v>
      </c>
      <c r="G558" t="str">
        <f>VLOOKUP(F558,T!$A$2:$C$9,3,TRUE)</f>
        <v>6. 1-3 Years</v>
      </c>
    </row>
    <row r="559" spans="1:7" x14ac:dyDescent="0.3">
      <c r="A559" s="94" t="s">
        <v>773</v>
      </c>
      <c r="B559" t="s">
        <v>774</v>
      </c>
      <c r="C559" s="50">
        <v>25000000</v>
      </c>
      <c r="D559" s="95">
        <v>0.12</v>
      </c>
      <c r="E559" s="94">
        <v>46552</v>
      </c>
      <c r="F559" s="50">
        <f t="shared" si="9"/>
        <v>652</v>
      </c>
      <c r="G559" t="str">
        <f>VLOOKUP(F559,T!$A$2:$C$9,3,TRUE)</f>
        <v>6. 1-3 Years</v>
      </c>
    </row>
    <row r="560" spans="1:7" x14ac:dyDescent="0.3">
      <c r="A560" s="94" t="s">
        <v>780</v>
      </c>
      <c r="B560" t="s">
        <v>774</v>
      </c>
      <c r="C560" s="50">
        <v>16666666.67</v>
      </c>
      <c r="D560" s="95">
        <v>8.0199999999999994E-2</v>
      </c>
      <c r="E560" s="94">
        <v>46553</v>
      </c>
      <c r="F560" s="50">
        <f t="shared" si="9"/>
        <v>653</v>
      </c>
      <c r="G560" t="str">
        <f>VLOOKUP(F560,T!$A$2:$C$9,3,TRUE)</f>
        <v>6. 1-3 Years</v>
      </c>
    </row>
    <row r="561" spans="1:7" x14ac:dyDescent="0.3">
      <c r="A561" s="94" t="s">
        <v>785</v>
      </c>
      <c r="B561" t="s">
        <v>774</v>
      </c>
      <c r="C561" s="50">
        <v>25000000</v>
      </c>
      <c r="D561" s="95">
        <v>8.0199999999999994E-2</v>
      </c>
      <c r="E561" s="94">
        <v>46556</v>
      </c>
      <c r="F561" s="50">
        <f t="shared" si="9"/>
        <v>656</v>
      </c>
      <c r="G561" t="str">
        <f>VLOOKUP(F561,T!$A$2:$C$9,3,TRUE)</f>
        <v>6. 1-3 Years</v>
      </c>
    </row>
    <row r="562" spans="1:7" x14ac:dyDescent="0.3">
      <c r="A562" s="94" t="s">
        <v>790</v>
      </c>
      <c r="B562" t="s">
        <v>774</v>
      </c>
      <c r="C562" s="50">
        <v>17076623.68</v>
      </c>
      <c r="D562" s="95">
        <v>0.12</v>
      </c>
      <c r="E562" s="94">
        <v>46557</v>
      </c>
      <c r="F562" s="50">
        <f t="shared" si="9"/>
        <v>657</v>
      </c>
      <c r="G562" t="str">
        <f>VLOOKUP(F562,T!$A$2:$C$9,3,TRUE)</f>
        <v>6. 1-3 Years</v>
      </c>
    </row>
    <row r="563" spans="1:7" x14ac:dyDescent="0.3">
      <c r="A563" s="94" t="s">
        <v>792</v>
      </c>
      <c r="B563" t="s">
        <v>774</v>
      </c>
      <c r="C563" s="50">
        <v>20800000</v>
      </c>
      <c r="D563" s="95">
        <v>0.1075</v>
      </c>
      <c r="E563" s="94">
        <v>46560</v>
      </c>
      <c r="F563" s="50">
        <f t="shared" si="9"/>
        <v>660</v>
      </c>
      <c r="G563" t="str">
        <f>VLOOKUP(F563,T!$A$2:$C$9,3,TRUE)</f>
        <v>6. 1-3 Years</v>
      </c>
    </row>
    <row r="564" spans="1:7" x14ac:dyDescent="0.3">
      <c r="A564" s="94" t="s">
        <v>792</v>
      </c>
      <c r="B564" t="s">
        <v>774</v>
      </c>
      <c r="C564" s="50">
        <v>20800000</v>
      </c>
      <c r="D564" s="95">
        <v>0.1075</v>
      </c>
      <c r="E564" s="94">
        <v>46562</v>
      </c>
      <c r="F564" s="50">
        <f t="shared" si="9"/>
        <v>662</v>
      </c>
      <c r="G564" t="str">
        <f>VLOOKUP(F564,T!$A$2:$C$9,3,TRUE)</f>
        <v>6. 1-3 Years</v>
      </c>
    </row>
    <row r="565" spans="1:7" x14ac:dyDescent="0.3">
      <c r="A565" s="94" t="s">
        <v>793</v>
      </c>
      <c r="B565" t="s">
        <v>774</v>
      </c>
      <c r="C565" s="50">
        <v>16650000</v>
      </c>
      <c r="D565" s="95">
        <v>0.09</v>
      </c>
      <c r="E565" s="94">
        <v>46563</v>
      </c>
      <c r="F565" s="50">
        <f t="shared" si="9"/>
        <v>663</v>
      </c>
      <c r="G565" t="str">
        <f>VLOOKUP(F565,T!$A$2:$C$9,3,TRUE)</f>
        <v>6. 1-3 Years</v>
      </c>
    </row>
    <row r="566" spans="1:7" x14ac:dyDescent="0.3">
      <c r="A566" s="94" t="s">
        <v>793</v>
      </c>
      <c r="B566" t="s">
        <v>774</v>
      </c>
      <c r="C566" s="50">
        <v>16650000</v>
      </c>
      <c r="D566" s="95">
        <v>0.09</v>
      </c>
      <c r="E566" s="94">
        <v>46564</v>
      </c>
      <c r="F566" s="50">
        <f t="shared" si="9"/>
        <v>664</v>
      </c>
      <c r="G566" t="str">
        <f>VLOOKUP(F566,T!$A$2:$C$9,3,TRUE)</f>
        <v>6. 1-3 Years</v>
      </c>
    </row>
    <row r="567" spans="1:7" x14ac:dyDescent="0.3">
      <c r="A567" s="94" t="s">
        <v>794</v>
      </c>
      <c r="B567" t="s">
        <v>774</v>
      </c>
      <c r="C567" s="50">
        <v>20833000</v>
      </c>
      <c r="D567" s="95">
        <v>8.0699999999999994E-2</v>
      </c>
      <c r="E567" s="94">
        <v>46564</v>
      </c>
      <c r="F567" s="50">
        <f t="shared" si="9"/>
        <v>664</v>
      </c>
      <c r="G567" t="str">
        <f>VLOOKUP(F567,T!$A$2:$C$9,3,TRUE)</f>
        <v>6. 1-3 Years</v>
      </c>
    </row>
    <row r="568" spans="1:7" x14ac:dyDescent="0.3">
      <c r="A568" s="94" t="s">
        <v>794</v>
      </c>
      <c r="B568" t="s">
        <v>774</v>
      </c>
      <c r="C568" s="50">
        <v>20833000</v>
      </c>
      <c r="D568" s="95">
        <v>8.0699999999999994E-2</v>
      </c>
      <c r="E568" s="94">
        <v>46564</v>
      </c>
      <c r="F568" s="50">
        <f t="shared" si="9"/>
        <v>664</v>
      </c>
      <c r="G568" t="str">
        <f>VLOOKUP(F568,T!$A$2:$C$9,3,TRUE)</f>
        <v>6. 1-3 Years</v>
      </c>
    </row>
    <row r="569" spans="1:7" x14ac:dyDescent="0.3">
      <c r="A569" s="94" t="s">
        <v>794</v>
      </c>
      <c r="B569" t="s">
        <v>774</v>
      </c>
      <c r="C569" s="50">
        <v>20833000</v>
      </c>
      <c r="D569" s="95">
        <v>8.0699999999999994E-2</v>
      </c>
      <c r="E569" s="94">
        <v>46564</v>
      </c>
      <c r="F569" s="50">
        <f t="shared" si="9"/>
        <v>664</v>
      </c>
      <c r="G569" t="str">
        <f>VLOOKUP(F569,T!$A$2:$C$9,3,TRUE)</f>
        <v>6. 1-3 Years</v>
      </c>
    </row>
    <row r="570" spans="1:7" x14ac:dyDescent="0.3">
      <c r="A570" s="94" t="s">
        <v>795</v>
      </c>
      <c r="B570" t="s">
        <v>774</v>
      </c>
      <c r="C570" s="50">
        <v>20833333.333333328</v>
      </c>
      <c r="D570" s="95">
        <v>0.1075</v>
      </c>
      <c r="E570" s="94">
        <v>46565</v>
      </c>
      <c r="F570" s="50">
        <f t="shared" si="9"/>
        <v>665</v>
      </c>
      <c r="G570" t="str">
        <f>VLOOKUP(F570,T!$A$2:$C$9,3,TRUE)</f>
        <v>6. 1-3 Years</v>
      </c>
    </row>
    <row r="571" spans="1:7" x14ac:dyDescent="0.3">
      <c r="A571" s="94" t="s">
        <v>795</v>
      </c>
      <c r="B571" t="s">
        <v>774</v>
      </c>
      <c r="C571" s="50">
        <v>20833333.333333328</v>
      </c>
      <c r="D571" s="95">
        <v>0.1075</v>
      </c>
      <c r="E571" s="94">
        <v>46565</v>
      </c>
      <c r="F571" s="50">
        <f t="shared" si="9"/>
        <v>665</v>
      </c>
      <c r="G571" t="str">
        <f>VLOOKUP(F571,T!$A$2:$C$9,3,TRUE)</f>
        <v>6. 1-3 Years</v>
      </c>
    </row>
    <row r="572" spans="1:7" x14ac:dyDescent="0.3">
      <c r="A572" s="94" t="s">
        <v>795</v>
      </c>
      <c r="B572" t="s">
        <v>774</v>
      </c>
      <c r="C572" s="50">
        <v>10416666.66666667</v>
      </c>
      <c r="D572" s="95">
        <v>0.1075</v>
      </c>
      <c r="E572" s="94">
        <v>46565</v>
      </c>
      <c r="F572" s="50">
        <f t="shared" si="9"/>
        <v>665</v>
      </c>
      <c r="G572" t="str">
        <f>VLOOKUP(F572,T!$A$2:$C$9,3,TRUE)</f>
        <v>6. 1-3 Years</v>
      </c>
    </row>
    <row r="573" spans="1:7" x14ac:dyDescent="0.3">
      <c r="A573" s="94" t="s">
        <v>795</v>
      </c>
      <c r="B573" t="s">
        <v>774</v>
      </c>
      <c r="C573" s="50">
        <v>10416666.66666667</v>
      </c>
      <c r="D573" s="95">
        <v>0.1075</v>
      </c>
      <c r="E573" s="94">
        <v>46565</v>
      </c>
      <c r="F573" s="50">
        <f t="shared" si="9"/>
        <v>665</v>
      </c>
      <c r="G573" t="str">
        <f>VLOOKUP(F573,T!$A$2:$C$9,3,TRUE)</f>
        <v>6. 1-3 Years</v>
      </c>
    </row>
    <row r="574" spans="1:7" x14ac:dyDescent="0.3">
      <c r="A574" s="94" t="s">
        <v>796</v>
      </c>
      <c r="B574" t="s">
        <v>774</v>
      </c>
      <c r="C574" s="50">
        <v>13888000</v>
      </c>
      <c r="D574" s="95">
        <v>8.2199999999999995E-2</v>
      </c>
      <c r="E574" s="94">
        <v>46566</v>
      </c>
      <c r="F574" s="50">
        <f t="shared" si="9"/>
        <v>666</v>
      </c>
      <c r="G574" t="str">
        <f>VLOOKUP(F574,T!$A$2:$C$9,3,TRUE)</f>
        <v>6. 1-3 Years</v>
      </c>
    </row>
    <row r="575" spans="1:7" x14ac:dyDescent="0.3">
      <c r="A575" s="94" t="s">
        <v>780</v>
      </c>
      <c r="B575" t="s">
        <v>774</v>
      </c>
      <c r="C575" s="50">
        <v>16666666.470000001</v>
      </c>
      <c r="D575" s="95">
        <v>8.0199999999999994E-2</v>
      </c>
      <c r="E575" s="94">
        <v>46567</v>
      </c>
      <c r="F575" s="50">
        <f t="shared" si="9"/>
        <v>667</v>
      </c>
      <c r="G575" t="str">
        <f>VLOOKUP(F575,T!$A$2:$C$9,3,TRUE)</f>
        <v>6. 1-3 Years</v>
      </c>
    </row>
    <row r="576" spans="1:7" x14ac:dyDescent="0.3">
      <c r="A576" s="94" t="s">
        <v>797</v>
      </c>
      <c r="B576" t="s">
        <v>774</v>
      </c>
      <c r="C576" s="50">
        <v>8250000</v>
      </c>
      <c r="D576" s="95">
        <v>0.12</v>
      </c>
      <c r="E576" s="94">
        <v>46568</v>
      </c>
      <c r="F576" s="50">
        <f t="shared" si="9"/>
        <v>668</v>
      </c>
      <c r="G576" t="str">
        <f>VLOOKUP(F576,T!$A$2:$C$9,3,TRUE)</f>
        <v>6. 1-3 Years</v>
      </c>
    </row>
    <row r="577" spans="1:7" x14ac:dyDescent="0.3">
      <c r="A577" s="94" t="s">
        <v>797</v>
      </c>
      <c r="B577" t="s">
        <v>774</v>
      </c>
      <c r="C577" s="50">
        <v>8250000</v>
      </c>
      <c r="D577" s="95">
        <v>0.12</v>
      </c>
      <c r="E577" s="94">
        <v>46568</v>
      </c>
      <c r="F577" s="50">
        <f t="shared" si="9"/>
        <v>668</v>
      </c>
      <c r="G577" t="str">
        <f>VLOOKUP(F577,T!$A$2:$C$9,3,TRUE)</f>
        <v>6. 1-3 Years</v>
      </c>
    </row>
    <row r="578" spans="1:7" x14ac:dyDescent="0.3">
      <c r="A578" s="94" t="s">
        <v>797</v>
      </c>
      <c r="B578" t="s">
        <v>774</v>
      </c>
      <c r="C578" s="50">
        <v>8250000</v>
      </c>
      <c r="D578" s="95">
        <v>0.12</v>
      </c>
      <c r="E578" s="94">
        <v>46568</v>
      </c>
      <c r="F578" s="50">
        <f t="shared" si="9"/>
        <v>668</v>
      </c>
      <c r="G578" t="str">
        <f>VLOOKUP(F578,T!$A$2:$C$9,3,TRUE)</f>
        <v>6. 1-3 Years</v>
      </c>
    </row>
    <row r="579" spans="1:7" x14ac:dyDescent="0.3">
      <c r="A579" s="94" t="s">
        <v>797</v>
      </c>
      <c r="B579" t="s">
        <v>774</v>
      </c>
      <c r="C579" s="50">
        <v>8250000</v>
      </c>
      <c r="D579" s="95">
        <v>0.12</v>
      </c>
      <c r="E579" s="94">
        <v>46568</v>
      </c>
      <c r="F579" s="50">
        <f t="shared" ref="F579:F642" si="10">E579-$F$1</f>
        <v>668</v>
      </c>
      <c r="G579" t="str">
        <f>VLOOKUP(F579,T!$A$2:$C$9,3,TRUE)</f>
        <v>6. 1-3 Years</v>
      </c>
    </row>
    <row r="580" spans="1:7" x14ac:dyDescent="0.3">
      <c r="A580" s="94" t="s">
        <v>798</v>
      </c>
      <c r="B580" t="s">
        <v>774</v>
      </c>
      <c r="C580" s="50">
        <v>145833333.34</v>
      </c>
      <c r="D580" s="95">
        <v>0.11</v>
      </c>
      <c r="E580" s="94">
        <v>46568</v>
      </c>
      <c r="F580" s="50">
        <f t="shared" si="10"/>
        <v>668</v>
      </c>
      <c r="G580" t="str">
        <f>VLOOKUP(F580,T!$A$2:$C$9,3,TRUE)</f>
        <v>6. 1-3 Years</v>
      </c>
    </row>
    <row r="581" spans="1:7" x14ac:dyDescent="0.3">
      <c r="A581" s="94" t="s">
        <v>780</v>
      </c>
      <c r="B581" t="s">
        <v>774</v>
      </c>
      <c r="C581" s="50">
        <v>16666666.67</v>
      </c>
      <c r="D581" s="95">
        <v>8.0199999999999994E-2</v>
      </c>
      <c r="E581" s="94">
        <v>46583</v>
      </c>
      <c r="F581" s="50">
        <f t="shared" si="10"/>
        <v>683</v>
      </c>
      <c r="G581" t="str">
        <f>VLOOKUP(F581,T!$A$2:$C$9,3,TRUE)</f>
        <v>6. 1-3 Years</v>
      </c>
    </row>
    <row r="582" spans="1:7" x14ac:dyDescent="0.3">
      <c r="A582" s="94" t="s">
        <v>785</v>
      </c>
      <c r="B582" t="s">
        <v>774</v>
      </c>
      <c r="C582" s="50">
        <v>25000000</v>
      </c>
      <c r="D582" s="95">
        <v>8.0199999999999994E-2</v>
      </c>
      <c r="E582" s="94">
        <v>46586</v>
      </c>
      <c r="F582" s="50">
        <f t="shared" si="10"/>
        <v>686</v>
      </c>
      <c r="G582" t="str">
        <f>VLOOKUP(F582,T!$A$2:$C$9,3,TRUE)</f>
        <v>6. 1-3 Years</v>
      </c>
    </row>
    <row r="583" spans="1:7" x14ac:dyDescent="0.3">
      <c r="A583" s="94" t="s">
        <v>790</v>
      </c>
      <c r="B583" t="s">
        <v>774</v>
      </c>
      <c r="C583" s="50">
        <v>17411754.579999998</v>
      </c>
      <c r="D583" s="95">
        <v>0.12</v>
      </c>
      <c r="E583" s="94">
        <v>46587</v>
      </c>
      <c r="F583" s="50">
        <f t="shared" si="10"/>
        <v>687</v>
      </c>
      <c r="G583" t="str">
        <f>VLOOKUP(F583,T!$A$2:$C$9,3,TRUE)</f>
        <v>6. 1-3 Years</v>
      </c>
    </row>
    <row r="584" spans="1:7" x14ac:dyDescent="0.3">
      <c r="A584" s="94" t="s">
        <v>792</v>
      </c>
      <c r="B584" t="s">
        <v>774</v>
      </c>
      <c r="C584" s="50">
        <v>20800000</v>
      </c>
      <c r="D584" s="95">
        <v>0.1075</v>
      </c>
      <c r="E584" s="94">
        <v>46590</v>
      </c>
      <c r="F584" s="50">
        <f t="shared" si="10"/>
        <v>690</v>
      </c>
      <c r="G584" t="str">
        <f>VLOOKUP(F584,T!$A$2:$C$9,3,TRUE)</f>
        <v>6. 1-3 Years</v>
      </c>
    </row>
    <row r="585" spans="1:7" x14ac:dyDescent="0.3">
      <c r="A585" s="94" t="s">
        <v>799</v>
      </c>
      <c r="B585" t="s">
        <v>774</v>
      </c>
      <c r="C585" s="50">
        <v>50000000</v>
      </c>
      <c r="D585" s="95">
        <v>0.12</v>
      </c>
      <c r="E585" s="94">
        <v>46591</v>
      </c>
      <c r="F585" s="50">
        <f t="shared" si="10"/>
        <v>691</v>
      </c>
      <c r="G585" t="str">
        <f>VLOOKUP(F585,T!$A$2:$C$9,3,TRUE)</f>
        <v>6. 1-3 Years</v>
      </c>
    </row>
    <row r="586" spans="1:7" x14ac:dyDescent="0.3">
      <c r="A586" s="94" t="s">
        <v>799</v>
      </c>
      <c r="B586" t="s">
        <v>774</v>
      </c>
      <c r="C586" s="50">
        <v>50000000</v>
      </c>
      <c r="D586" s="95">
        <v>0.12</v>
      </c>
      <c r="E586" s="94">
        <v>46591</v>
      </c>
      <c r="F586" s="50">
        <f t="shared" si="10"/>
        <v>691</v>
      </c>
      <c r="G586" t="str">
        <f>VLOOKUP(F586,T!$A$2:$C$9,3,TRUE)</f>
        <v>6. 1-3 Years</v>
      </c>
    </row>
    <row r="587" spans="1:7" x14ac:dyDescent="0.3">
      <c r="A587" s="94" t="s">
        <v>799</v>
      </c>
      <c r="B587" t="s">
        <v>774</v>
      </c>
      <c r="C587" s="50">
        <v>50000000</v>
      </c>
      <c r="D587" s="95">
        <v>0.12</v>
      </c>
      <c r="E587" s="94">
        <v>46591</v>
      </c>
      <c r="F587" s="50">
        <f t="shared" si="10"/>
        <v>691</v>
      </c>
      <c r="G587" t="str">
        <f>VLOOKUP(F587,T!$A$2:$C$9,3,TRUE)</f>
        <v>6. 1-3 Years</v>
      </c>
    </row>
    <row r="588" spans="1:7" x14ac:dyDescent="0.3">
      <c r="A588" s="94" t="s">
        <v>792</v>
      </c>
      <c r="B588" t="s">
        <v>774</v>
      </c>
      <c r="C588" s="50">
        <v>20800000</v>
      </c>
      <c r="D588" s="95">
        <v>0.1075</v>
      </c>
      <c r="E588" s="94">
        <v>46592</v>
      </c>
      <c r="F588" s="50">
        <f t="shared" si="10"/>
        <v>692</v>
      </c>
      <c r="G588" t="str">
        <f>VLOOKUP(F588,T!$A$2:$C$9,3,TRUE)</f>
        <v>6. 1-3 Years</v>
      </c>
    </row>
    <row r="589" spans="1:7" x14ac:dyDescent="0.3">
      <c r="A589" s="94" t="s">
        <v>793</v>
      </c>
      <c r="B589" t="s">
        <v>774</v>
      </c>
      <c r="C589" s="50">
        <v>16650000</v>
      </c>
      <c r="D589" s="95">
        <v>0.09</v>
      </c>
      <c r="E589" s="94">
        <v>46593</v>
      </c>
      <c r="F589" s="50">
        <f t="shared" si="10"/>
        <v>693</v>
      </c>
      <c r="G589" t="str">
        <f>VLOOKUP(F589,T!$A$2:$C$9,3,TRUE)</f>
        <v>6. 1-3 Years</v>
      </c>
    </row>
    <row r="590" spans="1:7" x14ac:dyDescent="0.3">
      <c r="A590" s="94" t="s">
        <v>793</v>
      </c>
      <c r="B590" t="s">
        <v>774</v>
      </c>
      <c r="C590" s="50">
        <v>16650000</v>
      </c>
      <c r="D590" s="95">
        <v>0.09</v>
      </c>
      <c r="E590" s="94">
        <v>46594</v>
      </c>
      <c r="F590" s="50">
        <f t="shared" si="10"/>
        <v>694</v>
      </c>
      <c r="G590" t="str">
        <f>VLOOKUP(F590,T!$A$2:$C$9,3,TRUE)</f>
        <v>6. 1-3 Years</v>
      </c>
    </row>
    <row r="591" spans="1:7" x14ac:dyDescent="0.3">
      <c r="A591" s="94" t="s">
        <v>794</v>
      </c>
      <c r="B591" t="s">
        <v>774</v>
      </c>
      <c r="C591" s="50">
        <v>20833000</v>
      </c>
      <c r="D591" s="95">
        <v>8.0699999999999994E-2</v>
      </c>
      <c r="E591" s="94">
        <v>46594</v>
      </c>
      <c r="F591" s="50">
        <f t="shared" si="10"/>
        <v>694</v>
      </c>
      <c r="G591" t="str">
        <f>VLOOKUP(F591,T!$A$2:$C$9,3,TRUE)</f>
        <v>6. 1-3 Years</v>
      </c>
    </row>
    <row r="592" spans="1:7" x14ac:dyDescent="0.3">
      <c r="A592" s="94" t="s">
        <v>794</v>
      </c>
      <c r="B592" t="s">
        <v>774</v>
      </c>
      <c r="C592" s="50">
        <v>20833000</v>
      </c>
      <c r="D592" s="95">
        <v>8.0699999999999994E-2</v>
      </c>
      <c r="E592" s="94">
        <v>46594</v>
      </c>
      <c r="F592" s="50">
        <f t="shared" si="10"/>
        <v>694</v>
      </c>
      <c r="G592" t="str">
        <f>VLOOKUP(F592,T!$A$2:$C$9,3,TRUE)</f>
        <v>6. 1-3 Years</v>
      </c>
    </row>
    <row r="593" spans="1:7" x14ac:dyDescent="0.3">
      <c r="A593" s="94" t="s">
        <v>794</v>
      </c>
      <c r="B593" t="s">
        <v>774</v>
      </c>
      <c r="C593" s="50">
        <v>20833000</v>
      </c>
      <c r="D593" s="95">
        <v>8.0699999999999994E-2</v>
      </c>
      <c r="E593" s="94">
        <v>46594</v>
      </c>
      <c r="F593" s="50">
        <f t="shared" si="10"/>
        <v>694</v>
      </c>
      <c r="G593" t="str">
        <f>VLOOKUP(F593,T!$A$2:$C$9,3,TRUE)</f>
        <v>6. 1-3 Years</v>
      </c>
    </row>
    <row r="594" spans="1:7" x14ac:dyDescent="0.3">
      <c r="A594" s="94" t="s">
        <v>795</v>
      </c>
      <c r="B594" t="s">
        <v>774</v>
      </c>
      <c r="C594" s="50">
        <v>20833333.333333328</v>
      </c>
      <c r="D594" s="95">
        <v>0.1075</v>
      </c>
      <c r="E594" s="94">
        <v>46595</v>
      </c>
      <c r="F594" s="50">
        <f t="shared" si="10"/>
        <v>695</v>
      </c>
      <c r="G594" t="str">
        <f>VLOOKUP(F594,T!$A$2:$C$9,3,TRUE)</f>
        <v>6. 1-3 Years</v>
      </c>
    </row>
    <row r="595" spans="1:7" x14ac:dyDescent="0.3">
      <c r="A595" s="94" t="s">
        <v>795</v>
      </c>
      <c r="B595" t="s">
        <v>774</v>
      </c>
      <c r="C595" s="50">
        <v>20833333.333333328</v>
      </c>
      <c r="D595" s="95">
        <v>0.1075</v>
      </c>
      <c r="E595" s="94">
        <v>46595</v>
      </c>
      <c r="F595" s="50">
        <f t="shared" si="10"/>
        <v>695</v>
      </c>
      <c r="G595" t="str">
        <f>VLOOKUP(F595,T!$A$2:$C$9,3,TRUE)</f>
        <v>6. 1-3 Years</v>
      </c>
    </row>
    <row r="596" spans="1:7" x14ac:dyDescent="0.3">
      <c r="A596" s="94" t="s">
        <v>795</v>
      </c>
      <c r="B596" t="s">
        <v>774</v>
      </c>
      <c r="C596" s="50">
        <v>10416666.66666667</v>
      </c>
      <c r="D596" s="95">
        <v>0.1075</v>
      </c>
      <c r="E596" s="94">
        <v>46595</v>
      </c>
      <c r="F596" s="50">
        <f t="shared" si="10"/>
        <v>695</v>
      </c>
      <c r="G596" t="str">
        <f>VLOOKUP(F596,T!$A$2:$C$9,3,TRUE)</f>
        <v>6. 1-3 Years</v>
      </c>
    </row>
    <row r="597" spans="1:7" x14ac:dyDescent="0.3">
      <c r="A597" s="94" t="s">
        <v>795</v>
      </c>
      <c r="B597" t="s">
        <v>774</v>
      </c>
      <c r="C597" s="50">
        <v>10416666.66666667</v>
      </c>
      <c r="D597" s="95">
        <v>0.1075</v>
      </c>
      <c r="E597" s="94">
        <v>46595</v>
      </c>
      <c r="F597" s="50">
        <f t="shared" si="10"/>
        <v>695</v>
      </c>
      <c r="G597" t="str">
        <f>VLOOKUP(F597,T!$A$2:$C$9,3,TRUE)</f>
        <v>6. 1-3 Years</v>
      </c>
    </row>
    <row r="598" spans="1:7" x14ac:dyDescent="0.3">
      <c r="A598" s="94" t="s">
        <v>796</v>
      </c>
      <c r="B598" t="s">
        <v>774</v>
      </c>
      <c r="C598" s="50">
        <v>13888000</v>
      </c>
      <c r="D598" s="95">
        <v>8.2199999999999995E-2</v>
      </c>
      <c r="E598" s="94">
        <v>46596</v>
      </c>
      <c r="F598" s="50">
        <f t="shared" si="10"/>
        <v>696</v>
      </c>
      <c r="G598" t="str">
        <f>VLOOKUP(F598,T!$A$2:$C$9,3,TRUE)</f>
        <v>6. 1-3 Years</v>
      </c>
    </row>
    <row r="599" spans="1:7" x14ac:dyDescent="0.3">
      <c r="A599" s="94" t="s">
        <v>780</v>
      </c>
      <c r="B599" t="s">
        <v>774</v>
      </c>
      <c r="C599" s="50">
        <v>16666666.470000001</v>
      </c>
      <c r="D599" s="95">
        <v>8.0199999999999994E-2</v>
      </c>
      <c r="E599" s="94">
        <v>46597</v>
      </c>
      <c r="F599" s="50">
        <f t="shared" si="10"/>
        <v>697</v>
      </c>
      <c r="G599" t="str">
        <f>VLOOKUP(F599,T!$A$2:$C$9,3,TRUE)</f>
        <v>6. 1-3 Years</v>
      </c>
    </row>
    <row r="600" spans="1:7" x14ac:dyDescent="0.3">
      <c r="A600" s="94" t="s">
        <v>797</v>
      </c>
      <c r="B600" t="s">
        <v>774</v>
      </c>
      <c r="C600" s="50">
        <v>8250000</v>
      </c>
      <c r="D600" s="95">
        <v>0.12</v>
      </c>
      <c r="E600" s="94">
        <v>46599</v>
      </c>
      <c r="F600" s="50">
        <f t="shared" si="10"/>
        <v>699</v>
      </c>
      <c r="G600" t="str">
        <f>VLOOKUP(F600,T!$A$2:$C$9,3,TRUE)</f>
        <v>6. 1-3 Years</v>
      </c>
    </row>
    <row r="601" spans="1:7" x14ac:dyDescent="0.3">
      <c r="A601" s="94" t="s">
        <v>797</v>
      </c>
      <c r="B601" t="s">
        <v>774</v>
      </c>
      <c r="C601" s="50">
        <v>8250000</v>
      </c>
      <c r="D601" s="95">
        <v>0.12</v>
      </c>
      <c r="E601" s="94">
        <v>46599</v>
      </c>
      <c r="F601" s="50">
        <f t="shared" si="10"/>
        <v>699</v>
      </c>
      <c r="G601" t="str">
        <f>VLOOKUP(F601,T!$A$2:$C$9,3,TRUE)</f>
        <v>6. 1-3 Years</v>
      </c>
    </row>
    <row r="602" spans="1:7" x14ac:dyDescent="0.3">
      <c r="A602" s="94" t="s">
        <v>797</v>
      </c>
      <c r="B602" t="s">
        <v>774</v>
      </c>
      <c r="C602" s="50">
        <v>8250000</v>
      </c>
      <c r="D602" s="95">
        <v>0.12</v>
      </c>
      <c r="E602" s="94">
        <v>46599</v>
      </c>
      <c r="F602" s="50">
        <f t="shared" si="10"/>
        <v>699</v>
      </c>
      <c r="G602" t="str">
        <f>VLOOKUP(F602,T!$A$2:$C$9,3,TRUE)</f>
        <v>6. 1-3 Years</v>
      </c>
    </row>
    <row r="603" spans="1:7" x14ac:dyDescent="0.3">
      <c r="A603" s="94" t="s">
        <v>797</v>
      </c>
      <c r="B603" t="s">
        <v>774</v>
      </c>
      <c r="C603" s="50">
        <v>8250000</v>
      </c>
      <c r="D603" s="95">
        <v>0.12</v>
      </c>
      <c r="E603" s="94">
        <v>46599</v>
      </c>
      <c r="F603" s="50">
        <f t="shared" si="10"/>
        <v>699</v>
      </c>
      <c r="G603" t="str">
        <f>VLOOKUP(F603,T!$A$2:$C$9,3,TRUE)</f>
        <v>6. 1-3 Years</v>
      </c>
    </row>
    <row r="604" spans="1:7" x14ac:dyDescent="0.3">
      <c r="A604" s="94" t="s">
        <v>780</v>
      </c>
      <c r="B604" t="s">
        <v>774</v>
      </c>
      <c r="C604" s="50">
        <v>16666666.67</v>
      </c>
      <c r="D604" s="95">
        <v>8.0199999999999994E-2</v>
      </c>
      <c r="E604" s="94">
        <v>46614</v>
      </c>
      <c r="F604" s="50">
        <f t="shared" si="10"/>
        <v>714</v>
      </c>
      <c r="G604" t="str">
        <f>VLOOKUP(F604,T!$A$2:$C$9,3,TRUE)</f>
        <v>6. 1-3 Years</v>
      </c>
    </row>
    <row r="605" spans="1:7" x14ac:dyDescent="0.3">
      <c r="A605" s="94" t="s">
        <v>785</v>
      </c>
      <c r="B605" t="s">
        <v>774</v>
      </c>
      <c r="C605" s="50">
        <v>25000000</v>
      </c>
      <c r="D605" s="95">
        <v>8.0199999999999994E-2</v>
      </c>
      <c r="E605" s="94">
        <v>46617</v>
      </c>
      <c r="F605" s="50">
        <f t="shared" si="10"/>
        <v>717</v>
      </c>
      <c r="G605" t="str">
        <f>VLOOKUP(F605,T!$A$2:$C$9,3,TRUE)</f>
        <v>6. 1-3 Years</v>
      </c>
    </row>
    <row r="606" spans="1:7" x14ac:dyDescent="0.3">
      <c r="A606" s="94" t="s">
        <v>790</v>
      </c>
      <c r="B606" t="s">
        <v>774</v>
      </c>
      <c r="C606" s="50">
        <v>17428121.52</v>
      </c>
      <c r="D606" s="95">
        <v>0.12</v>
      </c>
      <c r="E606" s="94">
        <v>46618</v>
      </c>
      <c r="F606" s="50">
        <f t="shared" si="10"/>
        <v>718</v>
      </c>
      <c r="G606" t="str">
        <f>VLOOKUP(F606,T!$A$2:$C$9,3,TRUE)</f>
        <v>6. 1-3 Years</v>
      </c>
    </row>
    <row r="607" spans="1:7" x14ac:dyDescent="0.3">
      <c r="A607" s="94" t="s">
        <v>800</v>
      </c>
      <c r="B607" t="s">
        <v>774</v>
      </c>
      <c r="C607" s="50">
        <v>50000000</v>
      </c>
      <c r="D607" s="95">
        <v>9.8500000000000004E-2</v>
      </c>
      <c r="E607" s="94">
        <v>46620</v>
      </c>
      <c r="F607" s="50">
        <f t="shared" si="10"/>
        <v>720</v>
      </c>
      <c r="G607" t="str">
        <f>VLOOKUP(F607,T!$A$2:$C$9,3,TRUE)</f>
        <v>6. 1-3 Years</v>
      </c>
    </row>
    <row r="608" spans="1:7" x14ac:dyDescent="0.3">
      <c r="A608" s="94" t="s">
        <v>792</v>
      </c>
      <c r="B608" t="s">
        <v>774</v>
      </c>
      <c r="C608" s="50">
        <v>20800000</v>
      </c>
      <c r="D608" s="95">
        <v>0.1075</v>
      </c>
      <c r="E608" s="94">
        <v>46621</v>
      </c>
      <c r="F608" s="50">
        <f t="shared" si="10"/>
        <v>721</v>
      </c>
      <c r="G608" t="str">
        <f>VLOOKUP(F608,T!$A$2:$C$9,3,TRUE)</f>
        <v>6. 1-3 Years</v>
      </c>
    </row>
    <row r="609" spans="1:7" x14ac:dyDescent="0.3">
      <c r="A609" s="94" t="s">
        <v>792</v>
      </c>
      <c r="B609" t="s">
        <v>774</v>
      </c>
      <c r="C609" s="50">
        <v>20800000</v>
      </c>
      <c r="D609" s="95">
        <v>0.1075</v>
      </c>
      <c r="E609" s="94">
        <v>46623</v>
      </c>
      <c r="F609" s="50">
        <f t="shared" si="10"/>
        <v>723</v>
      </c>
      <c r="G609" t="str">
        <f>VLOOKUP(F609,T!$A$2:$C$9,3,TRUE)</f>
        <v>6. 1-3 Years</v>
      </c>
    </row>
    <row r="610" spans="1:7" x14ac:dyDescent="0.3">
      <c r="A610" s="94" t="s">
        <v>793</v>
      </c>
      <c r="B610" t="s">
        <v>774</v>
      </c>
      <c r="C610" s="50">
        <v>16650000</v>
      </c>
      <c r="D610" s="95">
        <v>0.09</v>
      </c>
      <c r="E610" s="94">
        <v>46624</v>
      </c>
      <c r="F610" s="50">
        <f t="shared" si="10"/>
        <v>724</v>
      </c>
      <c r="G610" t="str">
        <f>VLOOKUP(F610,T!$A$2:$C$9,3,TRUE)</f>
        <v>6. 1-3 Years</v>
      </c>
    </row>
    <row r="611" spans="1:7" x14ac:dyDescent="0.3">
      <c r="A611" s="94" t="s">
        <v>793</v>
      </c>
      <c r="B611" t="s">
        <v>774</v>
      </c>
      <c r="C611" s="50">
        <v>16650000</v>
      </c>
      <c r="D611" s="95">
        <v>0.09</v>
      </c>
      <c r="E611" s="94">
        <v>46625</v>
      </c>
      <c r="F611" s="50">
        <f t="shared" si="10"/>
        <v>725</v>
      </c>
      <c r="G611" t="str">
        <f>VLOOKUP(F611,T!$A$2:$C$9,3,TRUE)</f>
        <v>6. 1-3 Years</v>
      </c>
    </row>
    <row r="612" spans="1:7" x14ac:dyDescent="0.3">
      <c r="A612" s="94" t="s">
        <v>794</v>
      </c>
      <c r="B612" t="s">
        <v>774</v>
      </c>
      <c r="C612" s="50">
        <v>20833000</v>
      </c>
      <c r="D612" s="95">
        <v>8.0699999999999994E-2</v>
      </c>
      <c r="E612" s="94">
        <v>46625</v>
      </c>
      <c r="F612" s="50">
        <f t="shared" si="10"/>
        <v>725</v>
      </c>
      <c r="G612" t="str">
        <f>VLOOKUP(F612,T!$A$2:$C$9,3,TRUE)</f>
        <v>6. 1-3 Years</v>
      </c>
    </row>
    <row r="613" spans="1:7" x14ac:dyDescent="0.3">
      <c r="A613" s="94" t="s">
        <v>794</v>
      </c>
      <c r="B613" t="s">
        <v>774</v>
      </c>
      <c r="C613" s="50">
        <v>20833000</v>
      </c>
      <c r="D613" s="95">
        <v>8.0699999999999994E-2</v>
      </c>
      <c r="E613" s="94">
        <v>46625</v>
      </c>
      <c r="F613" s="50">
        <f t="shared" si="10"/>
        <v>725</v>
      </c>
      <c r="G613" t="str">
        <f>VLOOKUP(F613,T!$A$2:$C$9,3,TRUE)</f>
        <v>6. 1-3 Years</v>
      </c>
    </row>
    <row r="614" spans="1:7" x14ac:dyDescent="0.3">
      <c r="A614" s="94" t="s">
        <v>794</v>
      </c>
      <c r="B614" t="s">
        <v>774</v>
      </c>
      <c r="C614" s="50">
        <v>20833000</v>
      </c>
      <c r="D614" s="95">
        <v>8.0699999999999994E-2</v>
      </c>
      <c r="E614" s="94">
        <v>46625</v>
      </c>
      <c r="F614" s="50">
        <f t="shared" si="10"/>
        <v>725</v>
      </c>
      <c r="G614" t="str">
        <f>VLOOKUP(F614,T!$A$2:$C$9,3,TRUE)</f>
        <v>6. 1-3 Years</v>
      </c>
    </row>
    <row r="615" spans="1:7" x14ac:dyDescent="0.3">
      <c r="A615" s="94" t="s">
        <v>795</v>
      </c>
      <c r="B615" t="s">
        <v>774</v>
      </c>
      <c r="C615" s="50">
        <v>20833333.333333328</v>
      </c>
      <c r="D615" s="95">
        <v>0.1075</v>
      </c>
      <c r="E615" s="94">
        <v>46626</v>
      </c>
      <c r="F615" s="50">
        <f t="shared" si="10"/>
        <v>726</v>
      </c>
      <c r="G615" t="str">
        <f>VLOOKUP(F615,T!$A$2:$C$9,3,TRUE)</f>
        <v>6. 1-3 Years</v>
      </c>
    </row>
    <row r="616" spans="1:7" x14ac:dyDescent="0.3">
      <c r="A616" s="94" t="s">
        <v>795</v>
      </c>
      <c r="B616" t="s">
        <v>774</v>
      </c>
      <c r="C616" s="50">
        <v>20833333.333333328</v>
      </c>
      <c r="D616" s="95">
        <v>0.1075</v>
      </c>
      <c r="E616" s="94">
        <v>46626</v>
      </c>
      <c r="F616" s="50">
        <f t="shared" si="10"/>
        <v>726</v>
      </c>
      <c r="G616" t="str">
        <f>VLOOKUP(F616,T!$A$2:$C$9,3,TRUE)</f>
        <v>6. 1-3 Years</v>
      </c>
    </row>
    <row r="617" spans="1:7" x14ac:dyDescent="0.3">
      <c r="A617" s="94" t="s">
        <v>795</v>
      </c>
      <c r="B617" t="s">
        <v>774</v>
      </c>
      <c r="C617" s="50">
        <v>10416666.66666667</v>
      </c>
      <c r="D617" s="95">
        <v>0.1075</v>
      </c>
      <c r="E617" s="94">
        <v>46626</v>
      </c>
      <c r="F617" s="50">
        <f t="shared" si="10"/>
        <v>726</v>
      </c>
      <c r="G617" t="str">
        <f>VLOOKUP(F617,T!$A$2:$C$9,3,TRUE)</f>
        <v>6. 1-3 Years</v>
      </c>
    </row>
    <row r="618" spans="1:7" x14ac:dyDescent="0.3">
      <c r="A618" s="94" t="s">
        <v>795</v>
      </c>
      <c r="B618" t="s">
        <v>774</v>
      </c>
      <c r="C618" s="50">
        <v>10416666.66666667</v>
      </c>
      <c r="D618" s="95">
        <v>0.1075</v>
      </c>
      <c r="E618" s="94">
        <v>46626</v>
      </c>
      <c r="F618" s="50">
        <f t="shared" si="10"/>
        <v>726</v>
      </c>
      <c r="G618" t="str">
        <f>VLOOKUP(F618,T!$A$2:$C$9,3,TRUE)</f>
        <v>6. 1-3 Years</v>
      </c>
    </row>
    <row r="619" spans="1:7" x14ac:dyDescent="0.3">
      <c r="A619" s="94" t="s">
        <v>796</v>
      </c>
      <c r="B619" t="s">
        <v>774</v>
      </c>
      <c r="C619" s="50">
        <v>13888000</v>
      </c>
      <c r="D619" s="95">
        <v>8.2199999999999995E-2</v>
      </c>
      <c r="E619" s="94">
        <v>46627</v>
      </c>
      <c r="F619" s="50">
        <f t="shared" si="10"/>
        <v>727</v>
      </c>
      <c r="G619" t="str">
        <f>VLOOKUP(F619,T!$A$2:$C$9,3,TRUE)</f>
        <v>6. 1-3 Years</v>
      </c>
    </row>
    <row r="620" spans="1:7" x14ac:dyDescent="0.3">
      <c r="A620" s="94" t="s">
        <v>800</v>
      </c>
      <c r="B620" t="s">
        <v>774</v>
      </c>
      <c r="C620" s="50">
        <v>50000000</v>
      </c>
      <c r="D620" s="95">
        <v>9.8500000000000004E-2</v>
      </c>
      <c r="E620" s="94">
        <v>46627</v>
      </c>
      <c r="F620" s="50">
        <f t="shared" si="10"/>
        <v>727</v>
      </c>
      <c r="G620" t="str">
        <f>VLOOKUP(F620,T!$A$2:$C$9,3,TRUE)</f>
        <v>6. 1-3 Years</v>
      </c>
    </row>
    <row r="621" spans="1:7" x14ac:dyDescent="0.3">
      <c r="A621" s="94" t="s">
        <v>780</v>
      </c>
      <c r="B621" t="s">
        <v>774</v>
      </c>
      <c r="C621" s="50">
        <v>16666666.470000001</v>
      </c>
      <c r="D621" s="95">
        <v>8.0199999999999994E-2</v>
      </c>
      <c r="E621" s="94">
        <v>46628</v>
      </c>
      <c r="F621" s="50">
        <f t="shared" si="10"/>
        <v>728</v>
      </c>
      <c r="G621" t="str">
        <f>VLOOKUP(F621,T!$A$2:$C$9,3,TRUE)</f>
        <v>6. 1-3 Years</v>
      </c>
    </row>
    <row r="622" spans="1:7" x14ac:dyDescent="0.3">
      <c r="A622" s="94" t="s">
        <v>797</v>
      </c>
      <c r="B622" t="s">
        <v>774</v>
      </c>
      <c r="C622" s="50">
        <v>8250000</v>
      </c>
      <c r="D622" s="95">
        <v>0.12</v>
      </c>
      <c r="E622" s="94">
        <v>46630</v>
      </c>
      <c r="F622" s="50">
        <f t="shared" si="10"/>
        <v>730</v>
      </c>
      <c r="G622" t="str">
        <f>VLOOKUP(F622,T!$A$2:$C$9,3,TRUE)</f>
        <v>6. 1-3 Years</v>
      </c>
    </row>
    <row r="623" spans="1:7" x14ac:dyDescent="0.3">
      <c r="A623" s="94" t="s">
        <v>797</v>
      </c>
      <c r="B623" t="s">
        <v>774</v>
      </c>
      <c r="C623" s="50">
        <v>8250000</v>
      </c>
      <c r="D623" s="95">
        <v>0.12</v>
      </c>
      <c r="E623" s="94">
        <v>46630</v>
      </c>
      <c r="F623" s="50">
        <f t="shared" si="10"/>
        <v>730</v>
      </c>
      <c r="G623" t="str">
        <f>VLOOKUP(F623,T!$A$2:$C$9,3,TRUE)</f>
        <v>6. 1-3 Years</v>
      </c>
    </row>
    <row r="624" spans="1:7" x14ac:dyDescent="0.3">
      <c r="A624" s="94" t="s">
        <v>797</v>
      </c>
      <c r="B624" t="s">
        <v>774</v>
      </c>
      <c r="C624" s="50">
        <v>8250000</v>
      </c>
      <c r="D624" s="95">
        <v>0.12</v>
      </c>
      <c r="E624" s="94">
        <v>46630</v>
      </c>
      <c r="F624" s="50">
        <f t="shared" si="10"/>
        <v>730</v>
      </c>
      <c r="G624" t="str">
        <f>VLOOKUP(F624,T!$A$2:$C$9,3,TRUE)</f>
        <v>6. 1-3 Years</v>
      </c>
    </row>
    <row r="625" spans="1:7" x14ac:dyDescent="0.3">
      <c r="A625" s="94" t="s">
        <v>797</v>
      </c>
      <c r="B625" t="s">
        <v>774</v>
      </c>
      <c r="C625" s="50">
        <v>8250000</v>
      </c>
      <c r="D625" s="95">
        <v>0.12</v>
      </c>
      <c r="E625" s="94">
        <v>46630</v>
      </c>
      <c r="F625" s="50">
        <f t="shared" si="10"/>
        <v>730</v>
      </c>
      <c r="G625" t="str">
        <f>VLOOKUP(F625,T!$A$2:$C$9,3,TRUE)</f>
        <v>6. 1-3 Years</v>
      </c>
    </row>
    <row r="626" spans="1:7" x14ac:dyDescent="0.3">
      <c r="A626" s="94" t="s">
        <v>773</v>
      </c>
      <c r="B626" t="s">
        <v>774</v>
      </c>
      <c r="C626" s="50">
        <v>50000000</v>
      </c>
      <c r="D626" s="95">
        <v>0.12</v>
      </c>
      <c r="E626" s="94">
        <v>46643</v>
      </c>
      <c r="F626" s="50">
        <f t="shared" si="10"/>
        <v>743</v>
      </c>
      <c r="G626" t="str">
        <f>VLOOKUP(F626,T!$A$2:$C$9,3,TRUE)</f>
        <v>6. 1-3 Years</v>
      </c>
    </row>
    <row r="627" spans="1:7" x14ac:dyDescent="0.3">
      <c r="A627" s="94" t="s">
        <v>773</v>
      </c>
      <c r="B627" t="s">
        <v>774</v>
      </c>
      <c r="C627" s="50">
        <v>25000000</v>
      </c>
      <c r="D627" s="95">
        <v>0.12</v>
      </c>
      <c r="E627" s="94">
        <v>46644</v>
      </c>
      <c r="F627" s="50">
        <f t="shared" si="10"/>
        <v>744</v>
      </c>
      <c r="G627" t="str">
        <f>VLOOKUP(F627,T!$A$2:$C$9,3,TRUE)</f>
        <v>6. 1-3 Years</v>
      </c>
    </row>
    <row r="628" spans="1:7" x14ac:dyDescent="0.3">
      <c r="A628" s="94" t="s">
        <v>780</v>
      </c>
      <c r="B628" t="s">
        <v>774</v>
      </c>
      <c r="C628" s="50">
        <v>16666666.67</v>
      </c>
      <c r="D628" s="95">
        <v>8.0199999999999994E-2</v>
      </c>
      <c r="E628" s="94">
        <v>46645</v>
      </c>
      <c r="F628" s="50">
        <f t="shared" si="10"/>
        <v>745</v>
      </c>
      <c r="G628" t="str">
        <f>VLOOKUP(F628,T!$A$2:$C$9,3,TRUE)</f>
        <v>6. 1-3 Years</v>
      </c>
    </row>
    <row r="629" spans="1:7" x14ac:dyDescent="0.3">
      <c r="A629" s="94" t="s">
        <v>785</v>
      </c>
      <c r="B629" t="s">
        <v>774</v>
      </c>
      <c r="C629" s="50">
        <v>25000000</v>
      </c>
      <c r="D629" s="95">
        <v>8.0199999999999994E-2</v>
      </c>
      <c r="E629" s="94">
        <v>46648</v>
      </c>
      <c r="F629" s="50">
        <f t="shared" si="10"/>
        <v>748</v>
      </c>
      <c r="G629" t="str">
        <f>VLOOKUP(F629,T!$A$2:$C$9,3,TRUE)</f>
        <v>6. 1-3 Years</v>
      </c>
    </row>
    <row r="630" spans="1:7" x14ac:dyDescent="0.3">
      <c r="A630" s="94" t="s">
        <v>790</v>
      </c>
      <c r="B630" t="s">
        <v>774</v>
      </c>
      <c r="C630" s="50">
        <v>17605745.32</v>
      </c>
      <c r="D630" s="95">
        <v>0.12</v>
      </c>
      <c r="E630" s="94">
        <v>46649</v>
      </c>
      <c r="F630" s="50">
        <f t="shared" si="10"/>
        <v>749</v>
      </c>
      <c r="G630" t="str">
        <f>VLOOKUP(F630,T!$A$2:$C$9,3,TRUE)</f>
        <v>6. 1-3 Years</v>
      </c>
    </row>
    <row r="631" spans="1:7" x14ac:dyDescent="0.3">
      <c r="A631" s="94" t="s">
        <v>792</v>
      </c>
      <c r="B631" t="s">
        <v>774</v>
      </c>
      <c r="C631" s="50">
        <v>20800000</v>
      </c>
      <c r="D631" s="95">
        <v>0.1075</v>
      </c>
      <c r="E631" s="94">
        <v>46652</v>
      </c>
      <c r="F631" s="50">
        <f t="shared" si="10"/>
        <v>752</v>
      </c>
      <c r="G631" t="str">
        <f>VLOOKUP(F631,T!$A$2:$C$9,3,TRUE)</f>
        <v>6. 1-3 Years</v>
      </c>
    </row>
    <row r="632" spans="1:7" x14ac:dyDescent="0.3">
      <c r="A632" s="94" t="s">
        <v>792</v>
      </c>
      <c r="B632" t="s">
        <v>774</v>
      </c>
      <c r="C632" s="50">
        <v>20800000</v>
      </c>
      <c r="D632" s="95">
        <v>0.1075</v>
      </c>
      <c r="E632" s="94">
        <v>46654</v>
      </c>
      <c r="F632" s="50">
        <f t="shared" si="10"/>
        <v>754</v>
      </c>
      <c r="G632" t="str">
        <f>VLOOKUP(F632,T!$A$2:$C$9,3,TRUE)</f>
        <v>6. 1-3 Years</v>
      </c>
    </row>
    <row r="633" spans="1:7" x14ac:dyDescent="0.3">
      <c r="A633" s="94" t="s">
        <v>793</v>
      </c>
      <c r="B633" t="s">
        <v>774</v>
      </c>
      <c r="C633" s="50">
        <v>16650000</v>
      </c>
      <c r="D633" s="95">
        <v>0.09</v>
      </c>
      <c r="E633" s="94">
        <v>46655</v>
      </c>
      <c r="F633" s="50">
        <f t="shared" si="10"/>
        <v>755</v>
      </c>
      <c r="G633" t="str">
        <f>VLOOKUP(F633,T!$A$2:$C$9,3,TRUE)</f>
        <v>6. 1-3 Years</v>
      </c>
    </row>
    <row r="634" spans="1:7" x14ac:dyDescent="0.3">
      <c r="A634" s="94" t="s">
        <v>793</v>
      </c>
      <c r="B634" t="s">
        <v>774</v>
      </c>
      <c r="C634" s="50">
        <v>16650000</v>
      </c>
      <c r="D634" s="95">
        <v>0.09</v>
      </c>
      <c r="E634" s="94">
        <v>46656</v>
      </c>
      <c r="F634" s="50">
        <f t="shared" si="10"/>
        <v>756</v>
      </c>
      <c r="G634" t="str">
        <f>VLOOKUP(F634,T!$A$2:$C$9,3,TRUE)</f>
        <v>6. 1-3 Years</v>
      </c>
    </row>
    <row r="635" spans="1:7" x14ac:dyDescent="0.3">
      <c r="A635" s="94" t="s">
        <v>794</v>
      </c>
      <c r="B635" t="s">
        <v>774</v>
      </c>
      <c r="C635" s="50">
        <v>20833000</v>
      </c>
      <c r="D635" s="95">
        <v>8.0699999999999994E-2</v>
      </c>
      <c r="E635" s="94">
        <v>46656</v>
      </c>
      <c r="F635" s="50">
        <f t="shared" si="10"/>
        <v>756</v>
      </c>
      <c r="G635" t="str">
        <f>VLOOKUP(F635,T!$A$2:$C$9,3,TRUE)</f>
        <v>6. 1-3 Years</v>
      </c>
    </row>
    <row r="636" spans="1:7" x14ac:dyDescent="0.3">
      <c r="A636" s="94" t="s">
        <v>794</v>
      </c>
      <c r="B636" t="s">
        <v>774</v>
      </c>
      <c r="C636" s="50">
        <v>20833000</v>
      </c>
      <c r="D636" s="95">
        <v>8.0699999999999994E-2</v>
      </c>
      <c r="E636" s="94">
        <v>46656</v>
      </c>
      <c r="F636" s="50">
        <f t="shared" si="10"/>
        <v>756</v>
      </c>
      <c r="G636" t="str">
        <f>VLOOKUP(F636,T!$A$2:$C$9,3,TRUE)</f>
        <v>6. 1-3 Years</v>
      </c>
    </row>
    <row r="637" spans="1:7" x14ac:dyDescent="0.3">
      <c r="A637" s="94" t="s">
        <v>794</v>
      </c>
      <c r="B637" t="s">
        <v>774</v>
      </c>
      <c r="C637" s="50">
        <v>20833000</v>
      </c>
      <c r="D637" s="95">
        <v>8.0699999999999994E-2</v>
      </c>
      <c r="E637" s="94">
        <v>46656</v>
      </c>
      <c r="F637" s="50">
        <f t="shared" si="10"/>
        <v>756</v>
      </c>
      <c r="G637" t="str">
        <f>VLOOKUP(F637,T!$A$2:$C$9,3,TRUE)</f>
        <v>6. 1-3 Years</v>
      </c>
    </row>
    <row r="638" spans="1:7" x14ac:dyDescent="0.3">
      <c r="A638" s="94" t="s">
        <v>795</v>
      </c>
      <c r="B638" t="s">
        <v>774</v>
      </c>
      <c r="C638" s="50">
        <v>20833333.333333328</v>
      </c>
      <c r="D638" s="95">
        <v>0.1075</v>
      </c>
      <c r="E638" s="94">
        <v>46657</v>
      </c>
      <c r="F638" s="50">
        <f t="shared" si="10"/>
        <v>757</v>
      </c>
      <c r="G638" t="str">
        <f>VLOOKUP(F638,T!$A$2:$C$9,3,TRUE)</f>
        <v>6. 1-3 Years</v>
      </c>
    </row>
    <row r="639" spans="1:7" x14ac:dyDescent="0.3">
      <c r="A639" s="94" t="s">
        <v>795</v>
      </c>
      <c r="B639" t="s">
        <v>774</v>
      </c>
      <c r="C639" s="50">
        <v>20833333.333333328</v>
      </c>
      <c r="D639" s="95">
        <v>0.1075</v>
      </c>
      <c r="E639" s="94">
        <v>46657</v>
      </c>
      <c r="F639" s="50">
        <f t="shared" si="10"/>
        <v>757</v>
      </c>
      <c r="G639" t="str">
        <f>VLOOKUP(F639,T!$A$2:$C$9,3,TRUE)</f>
        <v>6. 1-3 Years</v>
      </c>
    </row>
    <row r="640" spans="1:7" x14ac:dyDescent="0.3">
      <c r="A640" s="94" t="s">
        <v>795</v>
      </c>
      <c r="B640" t="s">
        <v>774</v>
      </c>
      <c r="C640" s="50">
        <v>10416666.66666667</v>
      </c>
      <c r="D640" s="95">
        <v>0.1075</v>
      </c>
      <c r="E640" s="94">
        <v>46657</v>
      </c>
      <c r="F640" s="50">
        <f t="shared" si="10"/>
        <v>757</v>
      </c>
      <c r="G640" t="str">
        <f>VLOOKUP(F640,T!$A$2:$C$9,3,TRUE)</f>
        <v>6. 1-3 Years</v>
      </c>
    </row>
    <row r="641" spans="1:7" x14ac:dyDescent="0.3">
      <c r="A641" s="94" t="s">
        <v>795</v>
      </c>
      <c r="B641" t="s">
        <v>774</v>
      </c>
      <c r="C641" s="50">
        <v>10416666.66666667</v>
      </c>
      <c r="D641" s="95">
        <v>0.1075</v>
      </c>
      <c r="E641" s="94">
        <v>46657</v>
      </c>
      <c r="F641" s="50">
        <f t="shared" si="10"/>
        <v>757</v>
      </c>
      <c r="G641" t="str">
        <f>VLOOKUP(F641,T!$A$2:$C$9,3,TRUE)</f>
        <v>6. 1-3 Years</v>
      </c>
    </row>
    <row r="642" spans="1:7" x14ac:dyDescent="0.3">
      <c r="A642" s="94" t="s">
        <v>796</v>
      </c>
      <c r="B642" t="s">
        <v>774</v>
      </c>
      <c r="C642" s="50">
        <v>13888000</v>
      </c>
      <c r="D642" s="95">
        <v>8.2199999999999995E-2</v>
      </c>
      <c r="E642" s="94">
        <v>46658</v>
      </c>
      <c r="F642" s="50">
        <f t="shared" si="10"/>
        <v>758</v>
      </c>
      <c r="G642" t="str">
        <f>VLOOKUP(F642,T!$A$2:$C$9,3,TRUE)</f>
        <v>6. 1-3 Years</v>
      </c>
    </row>
    <row r="643" spans="1:7" x14ac:dyDescent="0.3">
      <c r="A643" s="94" t="s">
        <v>780</v>
      </c>
      <c r="B643" t="s">
        <v>774</v>
      </c>
      <c r="C643" s="50">
        <v>16666666.470000001</v>
      </c>
      <c r="D643" s="95">
        <v>8.0199999999999994E-2</v>
      </c>
      <c r="E643" s="94">
        <v>46659</v>
      </c>
      <c r="F643" s="50">
        <f t="shared" ref="F643:F706" si="11">E643-$F$1</f>
        <v>759</v>
      </c>
      <c r="G643" t="str">
        <f>VLOOKUP(F643,T!$A$2:$C$9,3,TRUE)</f>
        <v>6. 1-3 Years</v>
      </c>
    </row>
    <row r="644" spans="1:7" x14ac:dyDescent="0.3">
      <c r="A644" s="94" t="s">
        <v>802</v>
      </c>
      <c r="B644" t="s">
        <v>774</v>
      </c>
      <c r="C644" s="50">
        <v>907339500</v>
      </c>
      <c r="D644" s="95">
        <v>9.7199999999999995E-2</v>
      </c>
      <c r="E644" s="94">
        <v>46660</v>
      </c>
      <c r="F644" s="50">
        <f t="shared" si="11"/>
        <v>760</v>
      </c>
      <c r="G644" t="str">
        <f>VLOOKUP(F644,T!$A$2:$C$9,3,TRUE)</f>
        <v>6. 1-3 Years</v>
      </c>
    </row>
    <row r="645" spans="1:7" x14ac:dyDescent="0.3">
      <c r="A645" s="94" t="s">
        <v>797</v>
      </c>
      <c r="B645" t="s">
        <v>774</v>
      </c>
      <c r="C645" s="50">
        <v>8250000</v>
      </c>
      <c r="D645" s="95">
        <v>0.12</v>
      </c>
      <c r="E645" s="94">
        <v>46660</v>
      </c>
      <c r="F645" s="50">
        <f t="shared" si="11"/>
        <v>760</v>
      </c>
      <c r="G645" t="str">
        <f>VLOOKUP(F645,T!$A$2:$C$9,3,TRUE)</f>
        <v>6. 1-3 Years</v>
      </c>
    </row>
    <row r="646" spans="1:7" x14ac:dyDescent="0.3">
      <c r="A646" s="94" t="s">
        <v>797</v>
      </c>
      <c r="B646" t="s">
        <v>774</v>
      </c>
      <c r="C646" s="50">
        <v>8250000</v>
      </c>
      <c r="D646" s="95">
        <v>0.12</v>
      </c>
      <c r="E646" s="94">
        <v>46660</v>
      </c>
      <c r="F646" s="50">
        <f t="shared" si="11"/>
        <v>760</v>
      </c>
      <c r="G646" t="str">
        <f>VLOOKUP(F646,T!$A$2:$C$9,3,TRUE)</f>
        <v>6. 1-3 Years</v>
      </c>
    </row>
    <row r="647" spans="1:7" x14ac:dyDescent="0.3">
      <c r="A647" s="94" t="s">
        <v>797</v>
      </c>
      <c r="B647" t="s">
        <v>774</v>
      </c>
      <c r="C647" s="50">
        <v>8250000</v>
      </c>
      <c r="D647" s="95">
        <v>0.12</v>
      </c>
      <c r="E647" s="94">
        <v>46660</v>
      </c>
      <c r="F647" s="50">
        <f t="shared" si="11"/>
        <v>760</v>
      </c>
      <c r="G647" t="str">
        <f>VLOOKUP(F647,T!$A$2:$C$9,3,TRUE)</f>
        <v>6. 1-3 Years</v>
      </c>
    </row>
    <row r="648" spans="1:7" x14ac:dyDescent="0.3">
      <c r="A648" s="94" t="s">
        <v>797</v>
      </c>
      <c r="B648" t="s">
        <v>774</v>
      </c>
      <c r="C648" s="50">
        <v>8250000</v>
      </c>
      <c r="D648" s="95">
        <v>0.12</v>
      </c>
      <c r="E648" s="94">
        <v>46660</v>
      </c>
      <c r="F648" s="50">
        <f t="shared" si="11"/>
        <v>760</v>
      </c>
      <c r="G648" t="str">
        <f>VLOOKUP(F648,T!$A$2:$C$9,3,TRUE)</f>
        <v>6. 1-3 Years</v>
      </c>
    </row>
    <row r="649" spans="1:7" x14ac:dyDescent="0.3">
      <c r="A649" s="94" t="s">
        <v>801</v>
      </c>
      <c r="B649" t="s">
        <v>774</v>
      </c>
      <c r="C649" s="50">
        <v>385323750</v>
      </c>
      <c r="D649" s="95">
        <v>0.1145</v>
      </c>
      <c r="E649" s="94">
        <v>46660</v>
      </c>
      <c r="F649" s="50">
        <f t="shared" si="11"/>
        <v>760</v>
      </c>
      <c r="G649" t="str">
        <f>VLOOKUP(F649,T!$A$2:$C$9,3,TRUE)</f>
        <v>6. 1-3 Years</v>
      </c>
    </row>
    <row r="650" spans="1:7" x14ac:dyDescent="0.3">
      <c r="A650" s="94" t="s">
        <v>798</v>
      </c>
      <c r="B650" t="s">
        <v>774</v>
      </c>
      <c r="C650" s="50">
        <v>145833333.34</v>
      </c>
      <c r="D650" s="95">
        <v>0.11</v>
      </c>
      <c r="E650" s="94">
        <v>46660</v>
      </c>
      <c r="F650" s="50">
        <f t="shared" si="11"/>
        <v>760</v>
      </c>
      <c r="G650" t="str">
        <f>VLOOKUP(F650,T!$A$2:$C$9,3,TRUE)</f>
        <v>6. 1-3 Years</v>
      </c>
    </row>
    <row r="651" spans="1:7" x14ac:dyDescent="0.3">
      <c r="A651" s="94" t="s">
        <v>780</v>
      </c>
      <c r="B651" t="s">
        <v>774</v>
      </c>
      <c r="C651" s="50">
        <v>16666666.67</v>
      </c>
      <c r="D651" s="95">
        <v>8.0199999999999994E-2</v>
      </c>
      <c r="E651" s="94">
        <v>46675</v>
      </c>
      <c r="F651" s="50">
        <f t="shared" si="11"/>
        <v>775</v>
      </c>
      <c r="G651" t="str">
        <f>VLOOKUP(F651,T!$A$2:$C$9,3,TRUE)</f>
        <v>6. 1-3 Years</v>
      </c>
    </row>
    <row r="652" spans="1:7" x14ac:dyDescent="0.3">
      <c r="A652" s="94" t="s">
        <v>785</v>
      </c>
      <c r="B652" t="s">
        <v>774</v>
      </c>
      <c r="C652" s="50">
        <v>25000000</v>
      </c>
      <c r="D652" s="95">
        <v>8.0199999999999994E-2</v>
      </c>
      <c r="E652" s="94">
        <v>46678</v>
      </c>
      <c r="F652" s="50">
        <f t="shared" si="11"/>
        <v>778</v>
      </c>
      <c r="G652" t="str">
        <f>VLOOKUP(F652,T!$A$2:$C$9,3,TRUE)</f>
        <v>6. 1-3 Years</v>
      </c>
    </row>
    <row r="653" spans="1:7" x14ac:dyDescent="0.3">
      <c r="A653" s="94" t="s">
        <v>790</v>
      </c>
      <c r="B653" t="s">
        <v>774</v>
      </c>
      <c r="C653" s="50">
        <v>17929026.579999998</v>
      </c>
      <c r="D653" s="95">
        <v>0.12</v>
      </c>
      <c r="E653" s="94">
        <v>46679</v>
      </c>
      <c r="F653" s="50">
        <f t="shared" si="11"/>
        <v>779</v>
      </c>
      <c r="G653" t="str">
        <f>VLOOKUP(F653,T!$A$2:$C$9,3,TRUE)</f>
        <v>6. 1-3 Years</v>
      </c>
    </row>
    <row r="654" spans="1:7" x14ac:dyDescent="0.3">
      <c r="A654" s="94" t="s">
        <v>792</v>
      </c>
      <c r="B654" t="s">
        <v>774</v>
      </c>
      <c r="C654" s="50">
        <v>20800000</v>
      </c>
      <c r="D654" s="95">
        <v>0.1075</v>
      </c>
      <c r="E654" s="94">
        <v>46682</v>
      </c>
      <c r="F654" s="50">
        <f t="shared" si="11"/>
        <v>782</v>
      </c>
      <c r="G654" t="str">
        <f>VLOOKUP(F654,T!$A$2:$C$9,3,TRUE)</f>
        <v>6. 1-3 Years</v>
      </c>
    </row>
    <row r="655" spans="1:7" x14ac:dyDescent="0.3">
      <c r="A655" s="94" t="s">
        <v>799</v>
      </c>
      <c r="B655" t="s">
        <v>774</v>
      </c>
      <c r="C655" s="50">
        <v>50000000</v>
      </c>
      <c r="D655" s="95">
        <v>0.12</v>
      </c>
      <c r="E655" s="94">
        <v>46683</v>
      </c>
      <c r="F655" s="50">
        <f t="shared" si="11"/>
        <v>783</v>
      </c>
      <c r="G655" t="str">
        <f>VLOOKUP(F655,T!$A$2:$C$9,3,TRUE)</f>
        <v>6. 1-3 Years</v>
      </c>
    </row>
    <row r="656" spans="1:7" x14ac:dyDescent="0.3">
      <c r="A656" s="94" t="s">
        <v>799</v>
      </c>
      <c r="B656" t="s">
        <v>774</v>
      </c>
      <c r="C656" s="50">
        <v>50000000</v>
      </c>
      <c r="D656" s="95">
        <v>0.12</v>
      </c>
      <c r="E656" s="94">
        <v>46683</v>
      </c>
      <c r="F656" s="50">
        <f t="shared" si="11"/>
        <v>783</v>
      </c>
      <c r="G656" t="str">
        <f>VLOOKUP(F656,T!$A$2:$C$9,3,TRUE)</f>
        <v>6. 1-3 Years</v>
      </c>
    </row>
    <row r="657" spans="1:7" x14ac:dyDescent="0.3">
      <c r="A657" s="94" t="s">
        <v>799</v>
      </c>
      <c r="B657" t="s">
        <v>774</v>
      </c>
      <c r="C657" s="50">
        <v>50000000</v>
      </c>
      <c r="D657" s="95">
        <v>0.12</v>
      </c>
      <c r="E657" s="94">
        <v>46683</v>
      </c>
      <c r="F657" s="50">
        <f t="shared" si="11"/>
        <v>783</v>
      </c>
      <c r="G657" t="str">
        <f>VLOOKUP(F657,T!$A$2:$C$9,3,TRUE)</f>
        <v>6. 1-3 Years</v>
      </c>
    </row>
    <row r="658" spans="1:7" x14ac:dyDescent="0.3">
      <c r="A658" s="94" t="s">
        <v>792</v>
      </c>
      <c r="B658" t="s">
        <v>774</v>
      </c>
      <c r="C658" s="50">
        <v>20800000</v>
      </c>
      <c r="D658" s="95">
        <v>0.1075</v>
      </c>
      <c r="E658" s="94">
        <v>46684</v>
      </c>
      <c r="F658" s="50">
        <f t="shared" si="11"/>
        <v>784</v>
      </c>
      <c r="G658" t="str">
        <f>VLOOKUP(F658,T!$A$2:$C$9,3,TRUE)</f>
        <v>6. 1-3 Years</v>
      </c>
    </row>
    <row r="659" spans="1:7" x14ac:dyDescent="0.3">
      <c r="A659" s="94" t="s">
        <v>793</v>
      </c>
      <c r="B659" t="s">
        <v>774</v>
      </c>
      <c r="C659" s="50">
        <v>16650000</v>
      </c>
      <c r="D659" s="95">
        <v>0.09</v>
      </c>
      <c r="E659" s="94">
        <v>46685</v>
      </c>
      <c r="F659" s="50">
        <f t="shared" si="11"/>
        <v>785</v>
      </c>
      <c r="G659" t="str">
        <f>VLOOKUP(F659,T!$A$2:$C$9,3,TRUE)</f>
        <v>6. 1-3 Years</v>
      </c>
    </row>
    <row r="660" spans="1:7" x14ac:dyDescent="0.3">
      <c r="A660" s="94" t="s">
        <v>793</v>
      </c>
      <c r="B660" t="s">
        <v>774</v>
      </c>
      <c r="C660" s="50">
        <v>16650000</v>
      </c>
      <c r="D660" s="95">
        <v>0.09</v>
      </c>
      <c r="E660" s="94">
        <v>46686</v>
      </c>
      <c r="F660" s="50">
        <f t="shared" si="11"/>
        <v>786</v>
      </c>
      <c r="G660" t="str">
        <f>VLOOKUP(F660,T!$A$2:$C$9,3,TRUE)</f>
        <v>6. 1-3 Years</v>
      </c>
    </row>
    <row r="661" spans="1:7" x14ac:dyDescent="0.3">
      <c r="A661" s="94" t="s">
        <v>794</v>
      </c>
      <c r="B661" t="s">
        <v>774</v>
      </c>
      <c r="C661" s="50">
        <v>20833000</v>
      </c>
      <c r="D661" s="95">
        <v>8.0699999999999994E-2</v>
      </c>
      <c r="E661" s="94">
        <v>46686</v>
      </c>
      <c r="F661" s="50">
        <f t="shared" si="11"/>
        <v>786</v>
      </c>
      <c r="G661" t="str">
        <f>VLOOKUP(F661,T!$A$2:$C$9,3,TRUE)</f>
        <v>6. 1-3 Years</v>
      </c>
    </row>
    <row r="662" spans="1:7" x14ac:dyDescent="0.3">
      <c r="A662" s="94" t="s">
        <v>794</v>
      </c>
      <c r="B662" t="s">
        <v>774</v>
      </c>
      <c r="C662" s="50">
        <v>20833000</v>
      </c>
      <c r="D662" s="95">
        <v>8.0699999999999994E-2</v>
      </c>
      <c r="E662" s="94">
        <v>46686</v>
      </c>
      <c r="F662" s="50">
        <f t="shared" si="11"/>
        <v>786</v>
      </c>
      <c r="G662" t="str">
        <f>VLOOKUP(F662,T!$A$2:$C$9,3,TRUE)</f>
        <v>6. 1-3 Years</v>
      </c>
    </row>
    <row r="663" spans="1:7" x14ac:dyDescent="0.3">
      <c r="A663" s="94" t="s">
        <v>794</v>
      </c>
      <c r="B663" t="s">
        <v>774</v>
      </c>
      <c r="C663" s="50">
        <v>20833000</v>
      </c>
      <c r="D663" s="95">
        <v>8.0699999999999994E-2</v>
      </c>
      <c r="E663" s="94">
        <v>46686</v>
      </c>
      <c r="F663" s="50">
        <f t="shared" si="11"/>
        <v>786</v>
      </c>
      <c r="G663" t="str">
        <f>VLOOKUP(F663,T!$A$2:$C$9,3,TRUE)</f>
        <v>6. 1-3 Years</v>
      </c>
    </row>
    <row r="664" spans="1:7" x14ac:dyDescent="0.3">
      <c r="A664" s="94" t="s">
        <v>795</v>
      </c>
      <c r="B664" t="s">
        <v>774</v>
      </c>
      <c r="C664" s="50">
        <v>20833333.333333328</v>
      </c>
      <c r="D664" s="95">
        <v>0.1075</v>
      </c>
      <c r="E664" s="94">
        <v>46687</v>
      </c>
      <c r="F664" s="50">
        <f t="shared" si="11"/>
        <v>787</v>
      </c>
      <c r="G664" t="str">
        <f>VLOOKUP(F664,T!$A$2:$C$9,3,TRUE)</f>
        <v>6. 1-3 Years</v>
      </c>
    </row>
    <row r="665" spans="1:7" x14ac:dyDescent="0.3">
      <c r="A665" s="94" t="s">
        <v>795</v>
      </c>
      <c r="B665" t="s">
        <v>774</v>
      </c>
      <c r="C665" s="50">
        <v>20833333.333333328</v>
      </c>
      <c r="D665" s="95">
        <v>0.1075</v>
      </c>
      <c r="E665" s="94">
        <v>46687</v>
      </c>
      <c r="F665" s="50">
        <f t="shared" si="11"/>
        <v>787</v>
      </c>
      <c r="G665" t="str">
        <f>VLOOKUP(F665,T!$A$2:$C$9,3,TRUE)</f>
        <v>6. 1-3 Years</v>
      </c>
    </row>
    <row r="666" spans="1:7" x14ac:dyDescent="0.3">
      <c r="A666" s="94" t="s">
        <v>795</v>
      </c>
      <c r="B666" t="s">
        <v>774</v>
      </c>
      <c r="C666" s="50">
        <v>10416666.66666667</v>
      </c>
      <c r="D666" s="95">
        <v>0.1075</v>
      </c>
      <c r="E666" s="94">
        <v>46687</v>
      </c>
      <c r="F666" s="50">
        <f t="shared" si="11"/>
        <v>787</v>
      </c>
      <c r="G666" t="str">
        <f>VLOOKUP(F666,T!$A$2:$C$9,3,TRUE)</f>
        <v>6. 1-3 Years</v>
      </c>
    </row>
    <row r="667" spans="1:7" x14ac:dyDescent="0.3">
      <c r="A667" s="94" t="s">
        <v>795</v>
      </c>
      <c r="B667" t="s">
        <v>774</v>
      </c>
      <c r="C667" s="50">
        <v>10416666.66666667</v>
      </c>
      <c r="D667" s="95">
        <v>0.1075</v>
      </c>
      <c r="E667" s="94">
        <v>46687</v>
      </c>
      <c r="F667" s="50">
        <f t="shared" si="11"/>
        <v>787</v>
      </c>
      <c r="G667" t="str">
        <f>VLOOKUP(F667,T!$A$2:$C$9,3,TRUE)</f>
        <v>6. 1-3 Years</v>
      </c>
    </row>
    <row r="668" spans="1:7" x14ac:dyDescent="0.3">
      <c r="A668" s="94" t="s">
        <v>796</v>
      </c>
      <c r="B668" t="s">
        <v>774</v>
      </c>
      <c r="C668" s="50">
        <v>13888000</v>
      </c>
      <c r="D668" s="95">
        <v>8.2199999999999995E-2</v>
      </c>
      <c r="E668" s="94">
        <v>46688</v>
      </c>
      <c r="F668" s="50">
        <f t="shared" si="11"/>
        <v>788</v>
      </c>
      <c r="G668" t="str">
        <f>VLOOKUP(F668,T!$A$2:$C$9,3,TRUE)</f>
        <v>6. 1-3 Years</v>
      </c>
    </row>
    <row r="669" spans="1:7" x14ac:dyDescent="0.3">
      <c r="A669" s="94" t="s">
        <v>780</v>
      </c>
      <c r="B669" t="s">
        <v>774</v>
      </c>
      <c r="C669" s="50">
        <v>16666666.470000001</v>
      </c>
      <c r="D669" s="95">
        <v>8.0199999999999994E-2</v>
      </c>
      <c r="E669" s="94">
        <v>46689</v>
      </c>
      <c r="F669" s="50">
        <f t="shared" si="11"/>
        <v>789</v>
      </c>
      <c r="G669" t="str">
        <f>VLOOKUP(F669,T!$A$2:$C$9,3,TRUE)</f>
        <v>6. 1-3 Years</v>
      </c>
    </row>
    <row r="670" spans="1:7" x14ac:dyDescent="0.3">
      <c r="A670" s="94" t="s">
        <v>797</v>
      </c>
      <c r="B670" t="s">
        <v>774</v>
      </c>
      <c r="C670" s="50">
        <v>8250000</v>
      </c>
      <c r="D670" s="95">
        <v>0.12</v>
      </c>
      <c r="E670" s="94">
        <v>46691</v>
      </c>
      <c r="F670" s="50">
        <f t="shared" si="11"/>
        <v>791</v>
      </c>
      <c r="G670" t="str">
        <f>VLOOKUP(F670,T!$A$2:$C$9,3,TRUE)</f>
        <v>6. 1-3 Years</v>
      </c>
    </row>
    <row r="671" spans="1:7" x14ac:dyDescent="0.3">
      <c r="A671" s="94" t="s">
        <v>797</v>
      </c>
      <c r="B671" t="s">
        <v>774</v>
      </c>
      <c r="C671" s="50">
        <v>8250000</v>
      </c>
      <c r="D671" s="95">
        <v>0.12</v>
      </c>
      <c r="E671" s="94">
        <v>46691</v>
      </c>
      <c r="F671" s="50">
        <f t="shared" si="11"/>
        <v>791</v>
      </c>
      <c r="G671" t="str">
        <f>VLOOKUP(F671,T!$A$2:$C$9,3,TRUE)</f>
        <v>6. 1-3 Years</v>
      </c>
    </row>
    <row r="672" spans="1:7" x14ac:dyDescent="0.3">
      <c r="A672" s="94" t="s">
        <v>797</v>
      </c>
      <c r="B672" t="s">
        <v>774</v>
      </c>
      <c r="C672" s="50">
        <v>8250000</v>
      </c>
      <c r="D672" s="95">
        <v>0.12</v>
      </c>
      <c r="E672" s="94">
        <v>46691</v>
      </c>
      <c r="F672" s="50">
        <f t="shared" si="11"/>
        <v>791</v>
      </c>
      <c r="G672" t="str">
        <f>VLOOKUP(F672,T!$A$2:$C$9,3,TRUE)</f>
        <v>6. 1-3 Years</v>
      </c>
    </row>
    <row r="673" spans="1:7" x14ac:dyDescent="0.3">
      <c r="A673" s="94" t="s">
        <v>797</v>
      </c>
      <c r="B673" t="s">
        <v>774</v>
      </c>
      <c r="C673" s="50">
        <v>8250000</v>
      </c>
      <c r="D673" s="95">
        <v>0.12</v>
      </c>
      <c r="E673" s="94">
        <v>46691</v>
      </c>
      <c r="F673" s="50">
        <f t="shared" si="11"/>
        <v>791</v>
      </c>
      <c r="G673" t="str">
        <f>VLOOKUP(F673,T!$A$2:$C$9,3,TRUE)</f>
        <v>6. 1-3 Years</v>
      </c>
    </row>
    <row r="674" spans="1:7" x14ac:dyDescent="0.3">
      <c r="A674" s="94" t="s">
        <v>780</v>
      </c>
      <c r="B674" t="s">
        <v>774</v>
      </c>
      <c r="C674" s="50">
        <v>16666666.67</v>
      </c>
      <c r="D674" s="95">
        <v>8.0199999999999994E-2</v>
      </c>
      <c r="E674" s="94">
        <v>46706</v>
      </c>
      <c r="F674" s="50">
        <f t="shared" si="11"/>
        <v>806</v>
      </c>
      <c r="G674" t="str">
        <f>VLOOKUP(F674,T!$A$2:$C$9,3,TRUE)</f>
        <v>6. 1-3 Years</v>
      </c>
    </row>
    <row r="675" spans="1:7" x14ac:dyDescent="0.3">
      <c r="A675" s="94" t="s">
        <v>785</v>
      </c>
      <c r="B675" t="s">
        <v>774</v>
      </c>
      <c r="C675" s="50">
        <v>25000000</v>
      </c>
      <c r="D675" s="95">
        <v>8.0199999999999994E-2</v>
      </c>
      <c r="E675" s="94">
        <v>46709</v>
      </c>
      <c r="F675" s="50">
        <f t="shared" si="11"/>
        <v>809</v>
      </c>
      <c r="G675" t="str">
        <f>VLOOKUP(F675,T!$A$2:$C$9,3,TRUE)</f>
        <v>6. 1-3 Years</v>
      </c>
    </row>
    <row r="676" spans="1:7" x14ac:dyDescent="0.3">
      <c r="A676" s="94" t="s">
        <v>790</v>
      </c>
      <c r="B676" t="s">
        <v>774</v>
      </c>
      <c r="C676" s="50">
        <v>17967907.780000001</v>
      </c>
      <c r="D676" s="95">
        <v>0.12</v>
      </c>
      <c r="E676" s="94">
        <v>46710</v>
      </c>
      <c r="F676" s="50">
        <f t="shared" si="11"/>
        <v>810</v>
      </c>
      <c r="G676" t="str">
        <f>VLOOKUP(F676,T!$A$2:$C$9,3,TRUE)</f>
        <v>6. 1-3 Years</v>
      </c>
    </row>
    <row r="677" spans="1:7" x14ac:dyDescent="0.3">
      <c r="A677" s="94" t="s">
        <v>800</v>
      </c>
      <c r="B677" t="s">
        <v>774</v>
      </c>
      <c r="C677" s="50">
        <v>50000000</v>
      </c>
      <c r="D677" s="95">
        <v>9.8500000000000004E-2</v>
      </c>
      <c r="E677" s="94">
        <v>46712</v>
      </c>
      <c r="F677" s="50">
        <f t="shared" si="11"/>
        <v>812</v>
      </c>
      <c r="G677" t="str">
        <f>VLOOKUP(F677,T!$A$2:$C$9,3,TRUE)</f>
        <v>6. 1-3 Years</v>
      </c>
    </row>
    <row r="678" spans="1:7" x14ac:dyDescent="0.3">
      <c r="A678" s="94" t="s">
        <v>792</v>
      </c>
      <c r="B678" t="s">
        <v>774</v>
      </c>
      <c r="C678" s="50">
        <v>20800000</v>
      </c>
      <c r="D678" s="95">
        <v>0.1075</v>
      </c>
      <c r="E678" s="94">
        <v>46713</v>
      </c>
      <c r="F678" s="50">
        <f t="shared" si="11"/>
        <v>813</v>
      </c>
      <c r="G678" t="str">
        <f>VLOOKUP(F678,T!$A$2:$C$9,3,TRUE)</f>
        <v>6. 1-3 Years</v>
      </c>
    </row>
    <row r="679" spans="1:7" x14ac:dyDescent="0.3">
      <c r="A679" s="94" t="s">
        <v>792</v>
      </c>
      <c r="B679" t="s">
        <v>774</v>
      </c>
      <c r="C679" s="50">
        <v>20800000</v>
      </c>
      <c r="D679" s="95">
        <v>0.1075</v>
      </c>
      <c r="E679" s="94">
        <v>46715</v>
      </c>
      <c r="F679" s="50">
        <f t="shared" si="11"/>
        <v>815</v>
      </c>
      <c r="G679" t="str">
        <f>VLOOKUP(F679,T!$A$2:$C$9,3,TRUE)</f>
        <v>6. 1-3 Years</v>
      </c>
    </row>
    <row r="680" spans="1:7" x14ac:dyDescent="0.3">
      <c r="A680" s="94" t="s">
        <v>793</v>
      </c>
      <c r="B680" t="s">
        <v>774</v>
      </c>
      <c r="C680" s="50">
        <v>16650000</v>
      </c>
      <c r="D680" s="95">
        <v>0.09</v>
      </c>
      <c r="E680" s="94">
        <v>46716</v>
      </c>
      <c r="F680" s="50">
        <f t="shared" si="11"/>
        <v>816</v>
      </c>
      <c r="G680" t="str">
        <f>VLOOKUP(F680,T!$A$2:$C$9,3,TRUE)</f>
        <v>6. 1-3 Years</v>
      </c>
    </row>
    <row r="681" spans="1:7" x14ac:dyDescent="0.3">
      <c r="A681" s="94" t="s">
        <v>793</v>
      </c>
      <c r="B681" t="s">
        <v>774</v>
      </c>
      <c r="C681" s="50">
        <v>16650000</v>
      </c>
      <c r="D681" s="95">
        <v>0.09</v>
      </c>
      <c r="E681" s="94">
        <v>46717</v>
      </c>
      <c r="F681" s="50">
        <f t="shared" si="11"/>
        <v>817</v>
      </c>
      <c r="G681" t="str">
        <f>VLOOKUP(F681,T!$A$2:$C$9,3,TRUE)</f>
        <v>6. 1-3 Years</v>
      </c>
    </row>
    <row r="682" spans="1:7" x14ac:dyDescent="0.3">
      <c r="A682" s="94" t="s">
        <v>794</v>
      </c>
      <c r="B682" t="s">
        <v>774</v>
      </c>
      <c r="C682" s="50">
        <v>20833000</v>
      </c>
      <c r="D682" s="95">
        <v>8.0699999999999994E-2</v>
      </c>
      <c r="E682" s="94">
        <v>46717</v>
      </c>
      <c r="F682" s="50">
        <f t="shared" si="11"/>
        <v>817</v>
      </c>
      <c r="G682" t="str">
        <f>VLOOKUP(F682,T!$A$2:$C$9,3,TRUE)</f>
        <v>6. 1-3 Years</v>
      </c>
    </row>
    <row r="683" spans="1:7" x14ac:dyDescent="0.3">
      <c r="A683" s="94" t="s">
        <v>794</v>
      </c>
      <c r="B683" t="s">
        <v>774</v>
      </c>
      <c r="C683" s="50">
        <v>20833000</v>
      </c>
      <c r="D683" s="95">
        <v>8.0699999999999994E-2</v>
      </c>
      <c r="E683" s="94">
        <v>46717</v>
      </c>
      <c r="F683" s="50">
        <f t="shared" si="11"/>
        <v>817</v>
      </c>
      <c r="G683" t="str">
        <f>VLOOKUP(F683,T!$A$2:$C$9,3,TRUE)</f>
        <v>6. 1-3 Years</v>
      </c>
    </row>
    <row r="684" spans="1:7" x14ac:dyDescent="0.3">
      <c r="A684" s="94" t="s">
        <v>794</v>
      </c>
      <c r="B684" t="s">
        <v>774</v>
      </c>
      <c r="C684" s="50">
        <v>20833000</v>
      </c>
      <c r="D684" s="95">
        <v>8.0699999999999994E-2</v>
      </c>
      <c r="E684" s="94">
        <v>46717</v>
      </c>
      <c r="F684" s="50">
        <f t="shared" si="11"/>
        <v>817</v>
      </c>
      <c r="G684" t="str">
        <f>VLOOKUP(F684,T!$A$2:$C$9,3,TRUE)</f>
        <v>6. 1-3 Years</v>
      </c>
    </row>
    <row r="685" spans="1:7" x14ac:dyDescent="0.3">
      <c r="A685" s="94" t="s">
        <v>795</v>
      </c>
      <c r="B685" t="s">
        <v>774</v>
      </c>
      <c r="C685" s="50">
        <v>20833333.333333328</v>
      </c>
      <c r="D685" s="95">
        <v>0.1075</v>
      </c>
      <c r="E685" s="94">
        <v>46718</v>
      </c>
      <c r="F685" s="50">
        <f t="shared" si="11"/>
        <v>818</v>
      </c>
      <c r="G685" t="str">
        <f>VLOOKUP(F685,T!$A$2:$C$9,3,TRUE)</f>
        <v>6. 1-3 Years</v>
      </c>
    </row>
    <row r="686" spans="1:7" x14ac:dyDescent="0.3">
      <c r="A686" s="94" t="s">
        <v>795</v>
      </c>
      <c r="B686" t="s">
        <v>774</v>
      </c>
      <c r="C686" s="50">
        <v>20833333.333333328</v>
      </c>
      <c r="D686" s="95">
        <v>0.1075</v>
      </c>
      <c r="E686" s="94">
        <v>46718</v>
      </c>
      <c r="F686" s="50">
        <f t="shared" si="11"/>
        <v>818</v>
      </c>
      <c r="G686" t="str">
        <f>VLOOKUP(F686,T!$A$2:$C$9,3,TRUE)</f>
        <v>6. 1-3 Years</v>
      </c>
    </row>
    <row r="687" spans="1:7" x14ac:dyDescent="0.3">
      <c r="A687" s="94" t="s">
        <v>795</v>
      </c>
      <c r="B687" t="s">
        <v>774</v>
      </c>
      <c r="C687" s="50">
        <v>10416666.66666667</v>
      </c>
      <c r="D687" s="95">
        <v>0.1075</v>
      </c>
      <c r="E687" s="94">
        <v>46718</v>
      </c>
      <c r="F687" s="50">
        <f t="shared" si="11"/>
        <v>818</v>
      </c>
      <c r="G687" t="str">
        <f>VLOOKUP(F687,T!$A$2:$C$9,3,TRUE)</f>
        <v>6. 1-3 Years</v>
      </c>
    </row>
    <row r="688" spans="1:7" x14ac:dyDescent="0.3">
      <c r="A688" s="94" t="s">
        <v>795</v>
      </c>
      <c r="B688" t="s">
        <v>774</v>
      </c>
      <c r="C688" s="50">
        <v>10416666.66666667</v>
      </c>
      <c r="D688" s="95">
        <v>0.1075</v>
      </c>
      <c r="E688" s="94">
        <v>46718</v>
      </c>
      <c r="F688" s="50">
        <f t="shared" si="11"/>
        <v>818</v>
      </c>
      <c r="G688" t="str">
        <f>VLOOKUP(F688,T!$A$2:$C$9,3,TRUE)</f>
        <v>6. 1-3 Years</v>
      </c>
    </row>
    <row r="689" spans="1:7" x14ac:dyDescent="0.3">
      <c r="A689" s="94" t="s">
        <v>796</v>
      </c>
      <c r="B689" t="s">
        <v>774</v>
      </c>
      <c r="C689" s="50">
        <v>13888000</v>
      </c>
      <c r="D689" s="95">
        <v>8.2199999999999995E-2</v>
      </c>
      <c r="E689" s="94">
        <v>46719</v>
      </c>
      <c r="F689" s="50">
        <f t="shared" si="11"/>
        <v>819</v>
      </c>
      <c r="G689" t="str">
        <f>VLOOKUP(F689,T!$A$2:$C$9,3,TRUE)</f>
        <v>6. 1-3 Years</v>
      </c>
    </row>
    <row r="690" spans="1:7" x14ac:dyDescent="0.3">
      <c r="A690" s="94" t="s">
        <v>800</v>
      </c>
      <c r="B690" t="s">
        <v>774</v>
      </c>
      <c r="C690" s="50">
        <v>50000000</v>
      </c>
      <c r="D690" s="95">
        <v>9.8500000000000004E-2</v>
      </c>
      <c r="E690" s="94">
        <v>46719</v>
      </c>
      <c r="F690" s="50">
        <f t="shared" si="11"/>
        <v>819</v>
      </c>
      <c r="G690" t="str">
        <f>VLOOKUP(F690,T!$A$2:$C$9,3,TRUE)</f>
        <v>6. 1-3 Years</v>
      </c>
    </row>
    <row r="691" spans="1:7" x14ac:dyDescent="0.3">
      <c r="A691" s="94" t="s">
        <v>780</v>
      </c>
      <c r="B691" t="s">
        <v>774</v>
      </c>
      <c r="C691" s="50">
        <v>16666666.470000001</v>
      </c>
      <c r="D691" s="95">
        <v>8.0199999999999994E-2</v>
      </c>
      <c r="E691" s="94">
        <v>46720</v>
      </c>
      <c r="F691" s="50">
        <f t="shared" si="11"/>
        <v>820</v>
      </c>
      <c r="G691" t="str">
        <f>VLOOKUP(F691,T!$A$2:$C$9,3,TRUE)</f>
        <v>6. 1-3 Years</v>
      </c>
    </row>
    <row r="692" spans="1:7" x14ac:dyDescent="0.3">
      <c r="A692" s="94" t="s">
        <v>797</v>
      </c>
      <c r="B692" t="s">
        <v>774</v>
      </c>
      <c r="C692" s="50">
        <v>8250000</v>
      </c>
      <c r="D692" s="95">
        <v>0.12</v>
      </c>
      <c r="E692" s="94">
        <v>46721</v>
      </c>
      <c r="F692" s="50">
        <f t="shared" si="11"/>
        <v>821</v>
      </c>
      <c r="G692" t="str">
        <f>VLOOKUP(F692,T!$A$2:$C$9,3,TRUE)</f>
        <v>6. 1-3 Years</v>
      </c>
    </row>
    <row r="693" spans="1:7" x14ac:dyDescent="0.3">
      <c r="A693" s="94" t="s">
        <v>797</v>
      </c>
      <c r="B693" t="s">
        <v>774</v>
      </c>
      <c r="C693" s="50">
        <v>8250000</v>
      </c>
      <c r="D693" s="95">
        <v>0.12</v>
      </c>
      <c r="E693" s="94">
        <v>46721</v>
      </c>
      <c r="F693" s="50">
        <f t="shared" si="11"/>
        <v>821</v>
      </c>
      <c r="G693" t="str">
        <f>VLOOKUP(F693,T!$A$2:$C$9,3,TRUE)</f>
        <v>6. 1-3 Years</v>
      </c>
    </row>
    <row r="694" spans="1:7" x14ac:dyDescent="0.3">
      <c r="A694" s="94" t="s">
        <v>797</v>
      </c>
      <c r="B694" t="s">
        <v>774</v>
      </c>
      <c r="C694" s="50">
        <v>8250000</v>
      </c>
      <c r="D694" s="95">
        <v>0.12</v>
      </c>
      <c r="E694" s="94">
        <v>46721</v>
      </c>
      <c r="F694" s="50">
        <f t="shared" si="11"/>
        <v>821</v>
      </c>
      <c r="G694" t="str">
        <f>VLOOKUP(F694,T!$A$2:$C$9,3,TRUE)</f>
        <v>6. 1-3 Years</v>
      </c>
    </row>
    <row r="695" spans="1:7" x14ac:dyDescent="0.3">
      <c r="A695" s="94" t="s">
        <v>797</v>
      </c>
      <c r="B695" t="s">
        <v>774</v>
      </c>
      <c r="C695" s="50">
        <v>8250000</v>
      </c>
      <c r="D695" s="95">
        <v>0.12</v>
      </c>
      <c r="E695" s="94">
        <v>46721</v>
      </c>
      <c r="F695" s="50">
        <f t="shared" si="11"/>
        <v>821</v>
      </c>
      <c r="G695" t="str">
        <f>VLOOKUP(F695,T!$A$2:$C$9,3,TRUE)</f>
        <v>6. 1-3 Years</v>
      </c>
    </row>
    <row r="696" spans="1:7" x14ac:dyDescent="0.3">
      <c r="A696" s="94" t="s">
        <v>773</v>
      </c>
      <c r="B696" t="s">
        <v>774</v>
      </c>
      <c r="C696" s="50">
        <v>50000000</v>
      </c>
      <c r="D696" s="95">
        <v>0.12</v>
      </c>
      <c r="E696" s="94">
        <v>46734</v>
      </c>
      <c r="F696" s="50">
        <f t="shared" si="11"/>
        <v>834</v>
      </c>
      <c r="G696" t="str">
        <f>VLOOKUP(F696,T!$A$2:$C$9,3,TRUE)</f>
        <v>6. 1-3 Years</v>
      </c>
    </row>
    <row r="697" spans="1:7" x14ac:dyDescent="0.3">
      <c r="A697" s="94" t="s">
        <v>773</v>
      </c>
      <c r="B697" t="s">
        <v>774</v>
      </c>
      <c r="C697" s="50">
        <v>25000000</v>
      </c>
      <c r="D697" s="95">
        <v>0.12</v>
      </c>
      <c r="E697" s="94">
        <v>46735</v>
      </c>
      <c r="F697" s="50">
        <f t="shared" si="11"/>
        <v>835</v>
      </c>
      <c r="G697" t="str">
        <f>VLOOKUP(F697,T!$A$2:$C$9,3,TRUE)</f>
        <v>6. 1-3 Years</v>
      </c>
    </row>
    <row r="698" spans="1:7" x14ac:dyDescent="0.3">
      <c r="A698" s="94" t="s">
        <v>780</v>
      </c>
      <c r="B698" t="s">
        <v>774</v>
      </c>
      <c r="C698" s="50">
        <v>16666666.67</v>
      </c>
      <c r="D698" s="95">
        <v>8.0199999999999994E-2</v>
      </c>
      <c r="E698" s="94">
        <v>46736</v>
      </c>
      <c r="F698" s="50">
        <f t="shared" si="11"/>
        <v>836</v>
      </c>
      <c r="G698" t="str">
        <f>VLOOKUP(F698,T!$A$2:$C$9,3,TRUE)</f>
        <v>6. 1-3 Years</v>
      </c>
    </row>
    <row r="699" spans="1:7" x14ac:dyDescent="0.3">
      <c r="A699" s="94" t="s">
        <v>785</v>
      </c>
      <c r="B699" t="s">
        <v>774</v>
      </c>
      <c r="C699" s="50">
        <v>25000000</v>
      </c>
      <c r="D699" s="95">
        <v>8.0199999999999994E-2</v>
      </c>
      <c r="E699" s="94">
        <v>46739</v>
      </c>
      <c r="F699" s="50">
        <f t="shared" si="11"/>
        <v>839</v>
      </c>
      <c r="G699" t="str">
        <f>VLOOKUP(F699,T!$A$2:$C$9,3,TRUE)</f>
        <v>6. 1-3 Years</v>
      </c>
    </row>
    <row r="700" spans="1:7" x14ac:dyDescent="0.3">
      <c r="A700" s="94" t="s">
        <v>790</v>
      </c>
      <c r="B700" t="s">
        <v>774</v>
      </c>
      <c r="C700" s="50">
        <v>18283078.48</v>
      </c>
      <c r="D700" s="95">
        <v>0.12</v>
      </c>
      <c r="E700" s="94">
        <v>46740</v>
      </c>
      <c r="F700" s="50">
        <f t="shared" si="11"/>
        <v>840</v>
      </c>
      <c r="G700" t="str">
        <f>VLOOKUP(F700,T!$A$2:$C$9,3,TRUE)</f>
        <v>6. 1-3 Years</v>
      </c>
    </row>
    <row r="701" spans="1:7" x14ac:dyDescent="0.3">
      <c r="A701" s="94" t="s">
        <v>792</v>
      </c>
      <c r="B701" t="s">
        <v>774</v>
      </c>
      <c r="C701" s="50">
        <v>20800000</v>
      </c>
      <c r="D701" s="95">
        <v>0.1075</v>
      </c>
      <c r="E701" s="94">
        <v>46743</v>
      </c>
      <c r="F701" s="50">
        <f t="shared" si="11"/>
        <v>843</v>
      </c>
      <c r="G701" t="str">
        <f>VLOOKUP(F701,T!$A$2:$C$9,3,TRUE)</f>
        <v>6. 1-3 Years</v>
      </c>
    </row>
    <row r="702" spans="1:7" x14ac:dyDescent="0.3">
      <c r="A702" s="94" t="s">
        <v>792</v>
      </c>
      <c r="B702" t="s">
        <v>774</v>
      </c>
      <c r="C702" s="50">
        <v>20800000</v>
      </c>
      <c r="D702" s="95">
        <v>0.1075</v>
      </c>
      <c r="E702" s="94">
        <v>46745</v>
      </c>
      <c r="F702" s="50">
        <f t="shared" si="11"/>
        <v>845</v>
      </c>
      <c r="G702" t="str">
        <f>VLOOKUP(F702,T!$A$2:$C$9,3,TRUE)</f>
        <v>6. 1-3 Years</v>
      </c>
    </row>
    <row r="703" spans="1:7" x14ac:dyDescent="0.3">
      <c r="A703" s="94" t="s">
        <v>793</v>
      </c>
      <c r="B703" t="s">
        <v>774</v>
      </c>
      <c r="C703" s="50">
        <v>16650000</v>
      </c>
      <c r="D703" s="95">
        <v>0.09</v>
      </c>
      <c r="E703" s="94">
        <v>46746</v>
      </c>
      <c r="F703" s="50">
        <f t="shared" si="11"/>
        <v>846</v>
      </c>
      <c r="G703" t="str">
        <f>VLOOKUP(F703,T!$A$2:$C$9,3,TRUE)</f>
        <v>6. 1-3 Years</v>
      </c>
    </row>
    <row r="704" spans="1:7" x14ac:dyDescent="0.3">
      <c r="A704" s="94" t="s">
        <v>793</v>
      </c>
      <c r="B704" t="s">
        <v>774</v>
      </c>
      <c r="C704" s="50">
        <v>16650000</v>
      </c>
      <c r="D704" s="95">
        <v>0.09</v>
      </c>
      <c r="E704" s="94">
        <v>46747</v>
      </c>
      <c r="F704" s="50">
        <f t="shared" si="11"/>
        <v>847</v>
      </c>
      <c r="G704" t="str">
        <f>VLOOKUP(F704,T!$A$2:$C$9,3,TRUE)</f>
        <v>6. 1-3 Years</v>
      </c>
    </row>
    <row r="705" spans="1:7" x14ac:dyDescent="0.3">
      <c r="A705" s="94" t="s">
        <v>794</v>
      </c>
      <c r="B705" t="s">
        <v>774</v>
      </c>
      <c r="C705" s="50">
        <v>20833000</v>
      </c>
      <c r="D705" s="95">
        <v>8.0699999999999994E-2</v>
      </c>
      <c r="E705" s="94">
        <v>46747</v>
      </c>
      <c r="F705" s="50">
        <f t="shared" si="11"/>
        <v>847</v>
      </c>
      <c r="G705" t="str">
        <f>VLOOKUP(F705,T!$A$2:$C$9,3,TRUE)</f>
        <v>6. 1-3 Years</v>
      </c>
    </row>
    <row r="706" spans="1:7" x14ac:dyDescent="0.3">
      <c r="A706" s="94" t="s">
        <v>794</v>
      </c>
      <c r="B706" t="s">
        <v>774</v>
      </c>
      <c r="C706" s="50">
        <v>20833000</v>
      </c>
      <c r="D706" s="95">
        <v>8.0699999999999994E-2</v>
      </c>
      <c r="E706" s="94">
        <v>46747</v>
      </c>
      <c r="F706" s="50">
        <f t="shared" si="11"/>
        <v>847</v>
      </c>
      <c r="G706" t="str">
        <f>VLOOKUP(F706,T!$A$2:$C$9,3,TRUE)</f>
        <v>6. 1-3 Years</v>
      </c>
    </row>
    <row r="707" spans="1:7" x14ac:dyDescent="0.3">
      <c r="A707" s="94" t="s">
        <v>794</v>
      </c>
      <c r="B707" t="s">
        <v>774</v>
      </c>
      <c r="C707" s="50">
        <v>20833000</v>
      </c>
      <c r="D707" s="95">
        <v>8.0699999999999994E-2</v>
      </c>
      <c r="E707" s="94">
        <v>46747</v>
      </c>
      <c r="F707" s="50">
        <f t="shared" ref="F707:F770" si="12">E707-$F$1</f>
        <v>847</v>
      </c>
      <c r="G707" t="str">
        <f>VLOOKUP(F707,T!$A$2:$C$9,3,TRUE)</f>
        <v>6. 1-3 Years</v>
      </c>
    </row>
    <row r="708" spans="1:7" x14ac:dyDescent="0.3">
      <c r="A708" s="94" t="s">
        <v>795</v>
      </c>
      <c r="B708" t="s">
        <v>774</v>
      </c>
      <c r="C708" s="50">
        <v>20833333.333333328</v>
      </c>
      <c r="D708" s="95">
        <v>0.1075</v>
      </c>
      <c r="E708" s="94">
        <v>46748</v>
      </c>
      <c r="F708" s="50">
        <f t="shared" si="12"/>
        <v>848</v>
      </c>
      <c r="G708" t="str">
        <f>VLOOKUP(F708,T!$A$2:$C$9,3,TRUE)</f>
        <v>6. 1-3 Years</v>
      </c>
    </row>
    <row r="709" spans="1:7" x14ac:dyDescent="0.3">
      <c r="A709" s="94" t="s">
        <v>795</v>
      </c>
      <c r="B709" t="s">
        <v>774</v>
      </c>
      <c r="C709" s="50">
        <v>20833333.333333328</v>
      </c>
      <c r="D709" s="95">
        <v>0.1075</v>
      </c>
      <c r="E709" s="94">
        <v>46748</v>
      </c>
      <c r="F709" s="50">
        <f t="shared" si="12"/>
        <v>848</v>
      </c>
      <c r="G709" t="str">
        <f>VLOOKUP(F709,T!$A$2:$C$9,3,TRUE)</f>
        <v>6. 1-3 Years</v>
      </c>
    </row>
    <row r="710" spans="1:7" x14ac:dyDescent="0.3">
      <c r="A710" s="94" t="s">
        <v>795</v>
      </c>
      <c r="B710" t="s">
        <v>774</v>
      </c>
      <c r="C710" s="50">
        <v>10416666.66666667</v>
      </c>
      <c r="D710" s="95">
        <v>0.1075</v>
      </c>
      <c r="E710" s="94">
        <v>46748</v>
      </c>
      <c r="F710" s="50">
        <f t="shared" si="12"/>
        <v>848</v>
      </c>
      <c r="G710" t="str">
        <f>VLOOKUP(F710,T!$A$2:$C$9,3,TRUE)</f>
        <v>6. 1-3 Years</v>
      </c>
    </row>
    <row r="711" spans="1:7" x14ac:dyDescent="0.3">
      <c r="A711" s="94" t="s">
        <v>795</v>
      </c>
      <c r="B711" t="s">
        <v>774</v>
      </c>
      <c r="C711" s="50">
        <v>10416666.66666667</v>
      </c>
      <c r="D711" s="95">
        <v>0.1075</v>
      </c>
      <c r="E711" s="94">
        <v>46748</v>
      </c>
      <c r="F711" s="50">
        <f t="shared" si="12"/>
        <v>848</v>
      </c>
      <c r="G711" t="str">
        <f>VLOOKUP(F711,T!$A$2:$C$9,3,TRUE)</f>
        <v>6. 1-3 Years</v>
      </c>
    </row>
    <row r="712" spans="1:7" x14ac:dyDescent="0.3">
      <c r="A712" s="94" t="s">
        <v>796</v>
      </c>
      <c r="B712" t="s">
        <v>774</v>
      </c>
      <c r="C712" s="50">
        <v>13888000</v>
      </c>
      <c r="D712" s="95">
        <v>8.2199999999999995E-2</v>
      </c>
      <c r="E712" s="94">
        <v>46749</v>
      </c>
      <c r="F712" s="50">
        <f t="shared" si="12"/>
        <v>849</v>
      </c>
      <c r="G712" t="str">
        <f>VLOOKUP(F712,T!$A$2:$C$9,3,TRUE)</f>
        <v>6. 1-3 Years</v>
      </c>
    </row>
    <row r="713" spans="1:7" x14ac:dyDescent="0.3">
      <c r="A713" s="94" t="s">
        <v>780</v>
      </c>
      <c r="B713" t="s">
        <v>774</v>
      </c>
      <c r="C713" s="50">
        <v>16666666.470000001</v>
      </c>
      <c r="D713" s="95">
        <v>8.0199999999999994E-2</v>
      </c>
      <c r="E713" s="94">
        <v>46750</v>
      </c>
      <c r="F713" s="50">
        <f t="shared" si="12"/>
        <v>850</v>
      </c>
      <c r="G713" t="str">
        <f>VLOOKUP(F713,T!$A$2:$C$9,3,TRUE)</f>
        <v>6. 1-3 Years</v>
      </c>
    </row>
    <row r="714" spans="1:7" x14ac:dyDescent="0.3">
      <c r="A714" s="94" t="s">
        <v>798</v>
      </c>
      <c r="B714" t="s">
        <v>774</v>
      </c>
      <c r="C714" s="50">
        <v>145833333.34</v>
      </c>
      <c r="D714" s="95">
        <v>0.11</v>
      </c>
      <c r="E714" s="94">
        <v>46751</v>
      </c>
      <c r="F714" s="50">
        <f t="shared" si="12"/>
        <v>851</v>
      </c>
      <c r="G714" t="str">
        <f>VLOOKUP(F714,T!$A$2:$C$9,3,TRUE)</f>
        <v>6. 1-3 Years</v>
      </c>
    </row>
    <row r="715" spans="1:7" x14ac:dyDescent="0.3">
      <c r="A715" s="94" t="s">
        <v>797</v>
      </c>
      <c r="B715" t="s">
        <v>774</v>
      </c>
      <c r="C715" s="50">
        <v>8250000</v>
      </c>
      <c r="D715" s="95">
        <v>0.12</v>
      </c>
      <c r="E715" s="94">
        <v>46752</v>
      </c>
      <c r="F715" s="50">
        <f t="shared" si="12"/>
        <v>852</v>
      </c>
      <c r="G715" t="str">
        <f>VLOOKUP(F715,T!$A$2:$C$9,3,TRUE)</f>
        <v>6. 1-3 Years</v>
      </c>
    </row>
    <row r="716" spans="1:7" x14ac:dyDescent="0.3">
      <c r="A716" s="94" t="s">
        <v>797</v>
      </c>
      <c r="B716" t="s">
        <v>774</v>
      </c>
      <c r="C716" s="50">
        <v>8250000</v>
      </c>
      <c r="D716" s="95">
        <v>0.12</v>
      </c>
      <c r="E716" s="94">
        <v>46752</v>
      </c>
      <c r="F716" s="50">
        <f t="shared" si="12"/>
        <v>852</v>
      </c>
      <c r="G716" t="str">
        <f>VLOOKUP(F716,T!$A$2:$C$9,3,TRUE)</f>
        <v>6. 1-3 Years</v>
      </c>
    </row>
    <row r="717" spans="1:7" x14ac:dyDescent="0.3">
      <c r="A717" s="94" t="s">
        <v>797</v>
      </c>
      <c r="B717" t="s">
        <v>774</v>
      </c>
      <c r="C717" s="50">
        <v>8250000</v>
      </c>
      <c r="D717" s="95">
        <v>0.12</v>
      </c>
      <c r="E717" s="94">
        <v>46752</v>
      </c>
      <c r="F717" s="50">
        <f t="shared" si="12"/>
        <v>852</v>
      </c>
      <c r="G717" t="str">
        <f>VLOOKUP(F717,T!$A$2:$C$9,3,TRUE)</f>
        <v>6. 1-3 Years</v>
      </c>
    </row>
    <row r="718" spans="1:7" x14ac:dyDescent="0.3">
      <c r="A718" s="94" t="s">
        <v>797</v>
      </c>
      <c r="B718" t="s">
        <v>774</v>
      </c>
      <c r="C718" s="50">
        <v>8250000</v>
      </c>
      <c r="D718" s="95">
        <v>0.12</v>
      </c>
      <c r="E718" s="94">
        <v>46752</v>
      </c>
      <c r="F718" s="50">
        <f t="shared" si="12"/>
        <v>852</v>
      </c>
      <c r="G718" t="str">
        <f>VLOOKUP(F718,T!$A$2:$C$9,3,TRUE)</f>
        <v>6. 1-3 Years</v>
      </c>
    </row>
    <row r="719" spans="1:7" x14ac:dyDescent="0.3">
      <c r="A719" s="94" t="s">
        <v>780</v>
      </c>
      <c r="B719" t="s">
        <v>774</v>
      </c>
      <c r="C719" s="50">
        <v>16666666.67</v>
      </c>
      <c r="D719" s="95">
        <v>8.0199999999999994E-2</v>
      </c>
      <c r="E719" s="94">
        <v>46767</v>
      </c>
      <c r="F719" s="50">
        <f t="shared" si="12"/>
        <v>867</v>
      </c>
      <c r="G719" t="str">
        <f>VLOOKUP(F719,T!$A$2:$C$9,3,TRUE)</f>
        <v>6. 1-3 Years</v>
      </c>
    </row>
    <row r="720" spans="1:7" x14ac:dyDescent="0.3">
      <c r="A720" s="94" t="s">
        <v>785</v>
      </c>
      <c r="B720" t="s">
        <v>774</v>
      </c>
      <c r="C720" s="50">
        <v>25000000</v>
      </c>
      <c r="D720" s="95">
        <v>8.0199999999999994E-2</v>
      </c>
      <c r="E720" s="94">
        <v>46770</v>
      </c>
      <c r="F720" s="50">
        <f t="shared" si="12"/>
        <v>870</v>
      </c>
      <c r="G720" t="str">
        <f>VLOOKUP(F720,T!$A$2:$C$9,3,TRUE)</f>
        <v>6. 1-3 Years</v>
      </c>
    </row>
    <row r="721" spans="1:7" x14ac:dyDescent="0.3">
      <c r="A721" s="94" t="s">
        <v>790</v>
      </c>
      <c r="B721" t="s">
        <v>774</v>
      </c>
      <c r="C721" s="50">
        <v>18343568.420000002</v>
      </c>
      <c r="D721" s="95">
        <v>0.12</v>
      </c>
      <c r="E721" s="94">
        <v>46771</v>
      </c>
      <c r="F721" s="50">
        <f t="shared" si="12"/>
        <v>871</v>
      </c>
      <c r="G721" t="str">
        <f>VLOOKUP(F721,T!$A$2:$C$9,3,TRUE)</f>
        <v>6. 1-3 Years</v>
      </c>
    </row>
    <row r="722" spans="1:7" x14ac:dyDescent="0.3">
      <c r="A722" s="94" t="s">
        <v>792</v>
      </c>
      <c r="B722" t="s">
        <v>774</v>
      </c>
      <c r="C722" s="50">
        <v>20800000</v>
      </c>
      <c r="D722" s="95">
        <v>0.1075</v>
      </c>
      <c r="E722" s="94">
        <v>46774</v>
      </c>
      <c r="F722" s="50">
        <f t="shared" si="12"/>
        <v>874</v>
      </c>
      <c r="G722" t="str">
        <f>VLOOKUP(F722,T!$A$2:$C$9,3,TRUE)</f>
        <v>6. 1-3 Years</v>
      </c>
    </row>
    <row r="723" spans="1:7" x14ac:dyDescent="0.3">
      <c r="A723" s="94" t="s">
        <v>799</v>
      </c>
      <c r="B723" t="s">
        <v>774</v>
      </c>
      <c r="C723" s="50">
        <v>50000000</v>
      </c>
      <c r="D723" s="95">
        <v>0.12</v>
      </c>
      <c r="E723" s="94">
        <v>46775</v>
      </c>
      <c r="F723" s="50">
        <f t="shared" si="12"/>
        <v>875</v>
      </c>
      <c r="G723" t="str">
        <f>VLOOKUP(F723,T!$A$2:$C$9,3,TRUE)</f>
        <v>6. 1-3 Years</v>
      </c>
    </row>
    <row r="724" spans="1:7" x14ac:dyDescent="0.3">
      <c r="A724" s="94" t="s">
        <v>799</v>
      </c>
      <c r="B724" t="s">
        <v>774</v>
      </c>
      <c r="C724" s="50">
        <v>50000000</v>
      </c>
      <c r="D724" s="95">
        <v>0.12</v>
      </c>
      <c r="E724" s="94">
        <v>46775</v>
      </c>
      <c r="F724" s="50">
        <f t="shared" si="12"/>
        <v>875</v>
      </c>
      <c r="G724" t="str">
        <f>VLOOKUP(F724,T!$A$2:$C$9,3,TRUE)</f>
        <v>6. 1-3 Years</v>
      </c>
    </row>
    <row r="725" spans="1:7" x14ac:dyDescent="0.3">
      <c r="A725" s="94" t="s">
        <v>799</v>
      </c>
      <c r="B725" t="s">
        <v>774</v>
      </c>
      <c r="C725" s="50">
        <v>50000000</v>
      </c>
      <c r="D725" s="95">
        <v>0.12</v>
      </c>
      <c r="E725" s="94">
        <v>46775</v>
      </c>
      <c r="F725" s="50">
        <f t="shared" si="12"/>
        <v>875</v>
      </c>
      <c r="G725" t="str">
        <f>VLOOKUP(F725,T!$A$2:$C$9,3,TRUE)</f>
        <v>6. 1-3 Years</v>
      </c>
    </row>
    <row r="726" spans="1:7" x14ac:dyDescent="0.3">
      <c r="A726" s="94" t="s">
        <v>792</v>
      </c>
      <c r="B726" t="s">
        <v>774</v>
      </c>
      <c r="C726" s="50">
        <v>20800000</v>
      </c>
      <c r="D726" s="95">
        <v>0.1075</v>
      </c>
      <c r="E726" s="94">
        <v>46776</v>
      </c>
      <c r="F726" s="50">
        <f t="shared" si="12"/>
        <v>876</v>
      </c>
      <c r="G726" t="str">
        <f>VLOOKUP(F726,T!$A$2:$C$9,3,TRUE)</f>
        <v>6. 1-3 Years</v>
      </c>
    </row>
    <row r="727" spans="1:7" x14ac:dyDescent="0.3">
      <c r="A727" s="94" t="s">
        <v>793</v>
      </c>
      <c r="B727" t="s">
        <v>774</v>
      </c>
      <c r="C727" s="50">
        <v>16650000</v>
      </c>
      <c r="D727" s="95">
        <v>0.09</v>
      </c>
      <c r="E727" s="94">
        <v>46777</v>
      </c>
      <c r="F727" s="50">
        <f t="shared" si="12"/>
        <v>877</v>
      </c>
      <c r="G727" t="str">
        <f>VLOOKUP(F727,T!$A$2:$C$9,3,TRUE)</f>
        <v>6. 1-3 Years</v>
      </c>
    </row>
    <row r="728" spans="1:7" x14ac:dyDescent="0.3">
      <c r="A728" s="94" t="s">
        <v>793</v>
      </c>
      <c r="B728" t="s">
        <v>774</v>
      </c>
      <c r="C728" s="50">
        <v>16650000</v>
      </c>
      <c r="D728" s="95">
        <v>0.09</v>
      </c>
      <c r="E728" s="94">
        <v>46778</v>
      </c>
      <c r="F728" s="50">
        <f t="shared" si="12"/>
        <v>878</v>
      </c>
      <c r="G728" t="str">
        <f>VLOOKUP(F728,T!$A$2:$C$9,3,TRUE)</f>
        <v>6. 1-3 Years</v>
      </c>
    </row>
    <row r="729" spans="1:7" x14ac:dyDescent="0.3">
      <c r="A729" s="94" t="s">
        <v>794</v>
      </c>
      <c r="B729" t="s">
        <v>774</v>
      </c>
      <c r="C729" s="50">
        <v>20833000</v>
      </c>
      <c r="D729" s="95">
        <v>8.0699999999999994E-2</v>
      </c>
      <c r="E729" s="94">
        <v>46778</v>
      </c>
      <c r="F729" s="50">
        <f t="shared" si="12"/>
        <v>878</v>
      </c>
      <c r="G729" t="str">
        <f>VLOOKUP(F729,T!$A$2:$C$9,3,TRUE)</f>
        <v>6. 1-3 Years</v>
      </c>
    </row>
    <row r="730" spans="1:7" x14ac:dyDescent="0.3">
      <c r="A730" s="94" t="s">
        <v>794</v>
      </c>
      <c r="B730" t="s">
        <v>774</v>
      </c>
      <c r="C730" s="50">
        <v>20833000</v>
      </c>
      <c r="D730" s="95">
        <v>8.0699999999999994E-2</v>
      </c>
      <c r="E730" s="94">
        <v>46778</v>
      </c>
      <c r="F730" s="50">
        <f t="shared" si="12"/>
        <v>878</v>
      </c>
      <c r="G730" t="str">
        <f>VLOOKUP(F730,T!$A$2:$C$9,3,TRUE)</f>
        <v>6. 1-3 Years</v>
      </c>
    </row>
    <row r="731" spans="1:7" x14ac:dyDescent="0.3">
      <c r="A731" s="94" t="s">
        <v>794</v>
      </c>
      <c r="B731" t="s">
        <v>774</v>
      </c>
      <c r="C731" s="50">
        <v>20833000</v>
      </c>
      <c r="D731" s="95">
        <v>8.0699999999999994E-2</v>
      </c>
      <c r="E731" s="94">
        <v>46778</v>
      </c>
      <c r="F731" s="50">
        <f t="shared" si="12"/>
        <v>878</v>
      </c>
      <c r="G731" t="str">
        <f>VLOOKUP(F731,T!$A$2:$C$9,3,TRUE)</f>
        <v>6. 1-3 Years</v>
      </c>
    </row>
    <row r="732" spans="1:7" x14ac:dyDescent="0.3">
      <c r="A732" s="94" t="s">
        <v>795</v>
      </c>
      <c r="B732" t="s">
        <v>774</v>
      </c>
      <c r="C732" s="50">
        <v>20833333.333333328</v>
      </c>
      <c r="D732" s="95">
        <v>0.1075</v>
      </c>
      <c r="E732" s="94">
        <v>46779</v>
      </c>
      <c r="F732" s="50">
        <f t="shared" si="12"/>
        <v>879</v>
      </c>
      <c r="G732" t="str">
        <f>VLOOKUP(F732,T!$A$2:$C$9,3,TRUE)</f>
        <v>6. 1-3 Years</v>
      </c>
    </row>
    <row r="733" spans="1:7" x14ac:dyDescent="0.3">
      <c r="A733" s="94" t="s">
        <v>795</v>
      </c>
      <c r="B733" t="s">
        <v>774</v>
      </c>
      <c r="C733" s="50">
        <v>20833333.333333328</v>
      </c>
      <c r="D733" s="95">
        <v>0.1075</v>
      </c>
      <c r="E733" s="94">
        <v>46779</v>
      </c>
      <c r="F733" s="50">
        <f t="shared" si="12"/>
        <v>879</v>
      </c>
      <c r="G733" t="str">
        <f>VLOOKUP(F733,T!$A$2:$C$9,3,TRUE)</f>
        <v>6. 1-3 Years</v>
      </c>
    </row>
    <row r="734" spans="1:7" x14ac:dyDescent="0.3">
      <c r="A734" s="94" t="s">
        <v>795</v>
      </c>
      <c r="B734" t="s">
        <v>774</v>
      </c>
      <c r="C734" s="50">
        <v>10416666.66666667</v>
      </c>
      <c r="D734" s="95">
        <v>0.1075</v>
      </c>
      <c r="E734" s="94">
        <v>46779</v>
      </c>
      <c r="F734" s="50">
        <f t="shared" si="12"/>
        <v>879</v>
      </c>
      <c r="G734" t="str">
        <f>VLOOKUP(F734,T!$A$2:$C$9,3,TRUE)</f>
        <v>6. 1-3 Years</v>
      </c>
    </row>
    <row r="735" spans="1:7" x14ac:dyDescent="0.3">
      <c r="A735" s="94" t="s">
        <v>795</v>
      </c>
      <c r="B735" t="s">
        <v>774</v>
      </c>
      <c r="C735" s="50">
        <v>10416666.66666667</v>
      </c>
      <c r="D735" s="95">
        <v>0.1075</v>
      </c>
      <c r="E735" s="94">
        <v>46779</v>
      </c>
      <c r="F735" s="50">
        <f t="shared" si="12"/>
        <v>879</v>
      </c>
      <c r="G735" t="str">
        <f>VLOOKUP(F735,T!$A$2:$C$9,3,TRUE)</f>
        <v>6. 1-3 Years</v>
      </c>
    </row>
    <row r="736" spans="1:7" x14ac:dyDescent="0.3">
      <c r="A736" s="94" t="s">
        <v>796</v>
      </c>
      <c r="B736" t="s">
        <v>774</v>
      </c>
      <c r="C736" s="50">
        <v>13888000</v>
      </c>
      <c r="D736" s="95">
        <v>8.2199999999999995E-2</v>
      </c>
      <c r="E736" s="94">
        <v>46780</v>
      </c>
      <c r="F736" s="50">
        <f t="shared" si="12"/>
        <v>880</v>
      </c>
      <c r="G736" t="str">
        <f>VLOOKUP(F736,T!$A$2:$C$9,3,TRUE)</f>
        <v>6. 1-3 Years</v>
      </c>
    </row>
    <row r="737" spans="1:7" x14ac:dyDescent="0.3">
      <c r="A737" s="94" t="s">
        <v>780</v>
      </c>
      <c r="B737" t="s">
        <v>774</v>
      </c>
      <c r="C737" s="50">
        <v>16666666.470000001</v>
      </c>
      <c r="D737" s="95">
        <v>8.0199999999999994E-2</v>
      </c>
      <c r="E737" s="94">
        <v>46781</v>
      </c>
      <c r="F737" s="50">
        <f t="shared" si="12"/>
        <v>881</v>
      </c>
      <c r="G737" t="str">
        <f>VLOOKUP(F737,T!$A$2:$C$9,3,TRUE)</f>
        <v>6. 1-3 Years</v>
      </c>
    </row>
    <row r="738" spans="1:7" x14ac:dyDescent="0.3">
      <c r="A738" s="94" t="s">
        <v>797</v>
      </c>
      <c r="B738" t="s">
        <v>774</v>
      </c>
      <c r="C738" s="50">
        <v>8250000</v>
      </c>
      <c r="D738" s="95">
        <v>0.12</v>
      </c>
      <c r="E738" s="94">
        <v>46783</v>
      </c>
      <c r="F738" s="50">
        <f t="shared" si="12"/>
        <v>883</v>
      </c>
      <c r="G738" t="str">
        <f>VLOOKUP(F738,T!$A$2:$C$9,3,TRUE)</f>
        <v>6. 1-3 Years</v>
      </c>
    </row>
    <row r="739" spans="1:7" x14ac:dyDescent="0.3">
      <c r="A739" s="94" t="s">
        <v>797</v>
      </c>
      <c r="B739" t="s">
        <v>774</v>
      </c>
      <c r="C739" s="50">
        <v>8250000</v>
      </c>
      <c r="D739" s="95">
        <v>0.12</v>
      </c>
      <c r="E739" s="94">
        <v>46783</v>
      </c>
      <c r="F739" s="50">
        <f t="shared" si="12"/>
        <v>883</v>
      </c>
      <c r="G739" t="str">
        <f>VLOOKUP(F739,T!$A$2:$C$9,3,TRUE)</f>
        <v>6. 1-3 Years</v>
      </c>
    </row>
    <row r="740" spans="1:7" x14ac:dyDescent="0.3">
      <c r="A740" s="94" t="s">
        <v>797</v>
      </c>
      <c r="B740" t="s">
        <v>774</v>
      </c>
      <c r="C740" s="50">
        <v>8250000</v>
      </c>
      <c r="D740" s="95">
        <v>0.12</v>
      </c>
      <c r="E740" s="94">
        <v>46783</v>
      </c>
      <c r="F740" s="50">
        <f t="shared" si="12"/>
        <v>883</v>
      </c>
      <c r="G740" t="str">
        <f>VLOOKUP(F740,T!$A$2:$C$9,3,TRUE)</f>
        <v>6. 1-3 Years</v>
      </c>
    </row>
    <row r="741" spans="1:7" x14ac:dyDescent="0.3">
      <c r="A741" s="94" t="s">
        <v>797</v>
      </c>
      <c r="B741" t="s">
        <v>774</v>
      </c>
      <c r="C741" s="50">
        <v>8250000</v>
      </c>
      <c r="D741" s="95">
        <v>0.12</v>
      </c>
      <c r="E741" s="94">
        <v>46783</v>
      </c>
      <c r="F741" s="50">
        <f t="shared" si="12"/>
        <v>883</v>
      </c>
      <c r="G741" t="str">
        <f>VLOOKUP(F741,T!$A$2:$C$9,3,TRUE)</f>
        <v>6. 1-3 Years</v>
      </c>
    </row>
    <row r="742" spans="1:7" x14ac:dyDescent="0.3">
      <c r="A742" s="94" t="s">
        <v>780</v>
      </c>
      <c r="B742" t="s">
        <v>774</v>
      </c>
      <c r="C742" s="50">
        <v>16666666.67</v>
      </c>
      <c r="D742" s="95">
        <v>8.0199999999999994E-2</v>
      </c>
      <c r="E742" s="94">
        <v>46798</v>
      </c>
      <c r="F742" s="50">
        <f t="shared" si="12"/>
        <v>898</v>
      </c>
      <c r="G742" t="str">
        <f>VLOOKUP(F742,T!$A$2:$C$9,3,TRUE)</f>
        <v>6. 1-3 Years</v>
      </c>
    </row>
    <row r="743" spans="1:7" x14ac:dyDescent="0.3">
      <c r="A743" s="94" t="s">
        <v>785</v>
      </c>
      <c r="B743" t="s">
        <v>774</v>
      </c>
      <c r="C743" s="50">
        <v>25000000</v>
      </c>
      <c r="D743" s="95">
        <v>8.0199999999999994E-2</v>
      </c>
      <c r="E743" s="94">
        <v>46801</v>
      </c>
      <c r="F743" s="50">
        <f t="shared" si="12"/>
        <v>901</v>
      </c>
      <c r="G743" t="str">
        <f>VLOOKUP(F743,T!$A$2:$C$9,3,TRUE)</f>
        <v>6. 1-3 Years</v>
      </c>
    </row>
    <row r="744" spans="1:7" x14ac:dyDescent="0.3">
      <c r="A744" s="94" t="s">
        <v>790</v>
      </c>
      <c r="B744" t="s">
        <v>774</v>
      </c>
      <c r="C744" s="50">
        <v>18534487.960000001</v>
      </c>
      <c r="D744" s="95">
        <v>0.12</v>
      </c>
      <c r="E744" s="94">
        <v>46802</v>
      </c>
      <c r="F744" s="50">
        <f t="shared" si="12"/>
        <v>902</v>
      </c>
      <c r="G744" t="str">
        <f>VLOOKUP(F744,T!$A$2:$C$9,3,TRUE)</f>
        <v>6. 1-3 Years</v>
      </c>
    </row>
    <row r="745" spans="1:7" x14ac:dyDescent="0.3">
      <c r="A745" s="94" t="s">
        <v>800</v>
      </c>
      <c r="B745" t="s">
        <v>774</v>
      </c>
      <c r="C745" s="50">
        <v>50000000</v>
      </c>
      <c r="D745" s="95">
        <v>9.8500000000000004E-2</v>
      </c>
      <c r="E745" s="94">
        <v>46804</v>
      </c>
      <c r="F745" s="50">
        <f t="shared" si="12"/>
        <v>904</v>
      </c>
      <c r="G745" t="str">
        <f>VLOOKUP(F745,T!$A$2:$C$9,3,TRUE)</f>
        <v>6. 1-3 Years</v>
      </c>
    </row>
    <row r="746" spans="1:7" x14ac:dyDescent="0.3">
      <c r="A746" s="94" t="s">
        <v>792</v>
      </c>
      <c r="B746" t="s">
        <v>774</v>
      </c>
      <c r="C746" s="50">
        <v>20800000</v>
      </c>
      <c r="D746" s="95">
        <v>0.1075</v>
      </c>
      <c r="E746" s="94">
        <v>46805</v>
      </c>
      <c r="F746" s="50">
        <f t="shared" si="12"/>
        <v>905</v>
      </c>
      <c r="G746" t="str">
        <f>VLOOKUP(F746,T!$A$2:$C$9,3,TRUE)</f>
        <v>6. 1-3 Years</v>
      </c>
    </row>
    <row r="747" spans="1:7" x14ac:dyDescent="0.3">
      <c r="A747" s="94" t="s">
        <v>792</v>
      </c>
      <c r="B747" t="s">
        <v>774</v>
      </c>
      <c r="C747" s="50">
        <v>20800000</v>
      </c>
      <c r="D747" s="95">
        <v>0.1075</v>
      </c>
      <c r="E747" s="94">
        <v>46807</v>
      </c>
      <c r="F747" s="50">
        <f t="shared" si="12"/>
        <v>907</v>
      </c>
      <c r="G747" t="str">
        <f>VLOOKUP(F747,T!$A$2:$C$9,3,TRUE)</f>
        <v>6. 1-3 Years</v>
      </c>
    </row>
    <row r="748" spans="1:7" x14ac:dyDescent="0.3">
      <c r="A748" s="94" t="s">
        <v>793</v>
      </c>
      <c r="B748" t="s">
        <v>774</v>
      </c>
      <c r="C748" s="50">
        <v>16650000</v>
      </c>
      <c r="D748" s="95">
        <v>0.09</v>
      </c>
      <c r="E748" s="94">
        <v>46808</v>
      </c>
      <c r="F748" s="50">
        <f t="shared" si="12"/>
        <v>908</v>
      </c>
      <c r="G748" t="str">
        <f>VLOOKUP(F748,T!$A$2:$C$9,3,TRUE)</f>
        <v>6. 1-3 Years</v>
      </c>
    </row>
    <row r="749" spans="1:7" x14ac:dyDescent="0.3">
      <c r="A749" s="94" t="s">
        <v>793</v>
      </c>
      <c r="B749" t="s">
        <v>774</v>
      </c>
      <c r="C749" s="50">
        <v>16650000</v>
      </c>
      <c r="D749" s="95">
        <v>0.09</v>
      </c>
      <c r="E749" s="94">
        <v>46809</v>
      </c>
      <c r="F749" s="50">
        <f t="shared" si="12"/>
        <v>909</v>
      </c>
      <c r="G749" t="str">
        <f>VLOOKUP(F749,T!$A$2:$C$9,3,TRUE)</f>
        <v>6. 1-3 Years</v>
      </c>
    </row>
    <row r="750" spans="1:7" x14ac:dyDescent="0.3">
      <c r="A750" s="94" t="s">
        <v>794</v>
      </c>
      <c r="B750" t="s">
        <v>774</v>
      </c>
      <c r="C750" s="50">
        <v>20833000</v>
      </c>
      <c r="D750" s="95">
        <v>8.0699999999999994E-2</v>
      </c>
      <c r="E750" s="94">
        <v>46809</v>
      </c>
      <c r="F750" s="50">
        <f t="shared" si="12"/>
        <v>909</v>
      </c>
      <c r="G750" t="str">
        <f>VLOOKUP(F750,T!$A$2:$C$9,3,TRUE)</f>
        <v>6. 1-3 Years</v>
      </c>
    </row>
    <row r="751" spans="1:7" x14ac:dyDescent="0.3">
      <c r="A751" s="94" t="s">
        <v>794</v>
      </c>
      <c r="B751" t="s">
        <v>774</v>
      </c>
      <c r="C751" s="50">
        <v>20833000</v>
      </c>
      <c r="D751" s="95">
        <v>8.0699999999999994E-2</v>
      </c>
      <c r="E751" s="94">
        <v>46809</v>
      </c>
      <c r="F751" s="50">
        <f t="shared" si="12"/>
        <v>909</v>
      </c>
      <c r="G751" t="str">
        <f>VLOOKUP(F751,T!$A$2:$C$9,3,TRUE)</f>
        <v>6. 1-3 Years</v>
      </c>
    </row>
    <row r="752" spans="1:7" x14ac:dyDescent="0.3">
      <c r="A752" s="94" t="s">
        <v>794</v>
      </c>
      <c r="B752" t="s">
        <v>774</v>
      </c>
      <c r="C752" s="50">
        <v>20833000</v>
      </c>
      <c r="D752" s="95">
        <v>8.0699999999999994E-2</v>
      </c>
      <c r="E752" s="94">
        <v>46809</v>
      </c>
      <c r="F752" s="50">
        <f t="shared" si="12"/>
        <v>909</v>
      </c>
      <c r="G752" t="str">
        <f>VLOOKUP(F752,T!$A$2:$C$9,3,TRUE)</f>
        <v>6. 1-3 Years</v>
      </c>
    </row>
    <row r="753" spans="1:7" x14ac:dyDescent="0.3">
      <c r="A753" s="94" t="s">
        <v>795</v>
      </c>
      <c r="B753" t="s">
        <v>774</v>
      </c>
      <c r="C753" s="50">
        <v>20833333.333333328</v>
      </c>
      <c r="D753" s="95">
        <v>0.1075</v>
      </c>
      <c r="E753" s="94">
        <v>46810</v>
      </c>
      <c r="F753" s="50">
        <f t="shared" si="12"/>
        <v>910</v>
      </c>
      <c r="G753" t="str">
        <f>VLOOKUP(F753,T!$A$2:$C$9,3,TRUE)</f>
        <v>6. 1-3 Years</v>
      </c>
    </row>
    <row r="754" spans="1:7" x14ac:dyDescent="0.3">
      <c r="A754" s="94" t="s">
        <v>795</v>
      </c>
      <c r="B754" t="s">
        <v>774</v>
      </c>
      <c r="C754" s="50">
        <v>20833333.333333328</v>
      </c>
      <c r="D754" s="95">
        <v>0.1075</v>
      </c>
      <c r="E754" s="94">
        <v>46810</v>
      </c>
      <c r="F754" s="50">
        <f t="shared" si="12"/>
        <v>910</v>
      </c>
      <c r="G754" t="str">
        <f>VLOOKUP(F754,T!$A$2:$C$9,3,TRUE)</f>
        <v>6. 1-3 Years</v>
      </c>
    </row>
    <row r="755" spans="1:7" x14ac:dyDescent="0.3">
      <c r="A755" s="94" t="s">
        <v>795</v>
      </c>
      <c r="B755" t="s">
        <v>774</v>
      </c>
      <c r="C755" s="50">
        <v>10416666.66666667</v>
      </c>
      <c r="D755" s="95">
        <v>0.1075</v>
      </c>
      <c r="E755" s="94">
        <v>46810</v>
      </c>
      <c r="F755" s="50">
        <f t="shared" si="12"/>
        <v>910</v>
      </c>
      <c r="G755" t="str">
        <f>VLOOKUP(F755,T!$A$2:$C$9,3,TRUE)</f>
        <v>6. 1-3 Years</v>
      </c>
    </row>
    <row r="756" spans="1:7" x14ac:dyDescent="0.3">
      <c r="A756" s="94" t="s">
        <v>795</v>
      </c>
      <c r="B756" t="s">
        <v>774</v>
      </c>
      <c r="C756" s="50">
        <v>10416666.66666667</v>
      </c>
      <c r="D756" s="95">
        <v>0.1075</v>
      </c>
      <c r="E756" s="94">
        <v>46810</v>
      </c>
      <c r="F756" s="50">
        <f t="shared" si="12"/>
        <v>910</v>
      </c>
      <c r="G756" t="str">
        <f>VLOOKUP(F756,T!$A$2:$C$9,3,TRUE)</f>
        <v>6. 1-3 Years</v>
      </c>
    </row>
    <row r="757" spans="1:7" x14ac:dyDescent="0.3">
      <c r="A757" s="94" t="s">
        <v>796</v>
      </c>
      <c r="B757" t="s">
        <v>774</v>
      </c>
      <c r="C757" s="50">
        <v>13888000</v>
      </c>
      <c r="D757" s="95">
        <v>8.2199999999999995E-2</v>
      </c>
      <c r="E757" s="94">
        <v>46811</v>
      </c>
      <c r="F757" s="50">
        <f t="shared" si="12"/>
        <v>911</v>
      </c>
      <c r="G757" t="str">
        <f>VLOOKUP(F757,T!$A$2:$C$9,3,TRUE)</f>
        <v>6. 1-3 Years</v>
      </c>
    </row>
    <row r="758" spans="1:7" x14ac:dyDescent="0.3">
      <c r="A758" s="94" t="s">
        <v>800</v>
      </c>
      <c r="B758" t="s">
        <v>774</v>
      </c>
      <c r="C758" s="50">
        <v>50000000</v>
      </c>
      <c r="D758" s="95">
        <v>9.8500000000000004E-2</v>
      </c>
      <c r="E758" s="94">
        <v>46811</v>
      </c>
      <c r="F758" s="50">
        <f t="shared" si="12"/>
        <v>911</v>
      </c>
      <c r="G758" t="str">
        <f>VLOOKUP(F758,T!$A$2:$C$9,3,TRUE)</f>
        <v>6. 1-3 Years</v>
      </c>
    </row>
    <row r="759" spans="1:7" x14ac:dyDescent="0.3">
      <c r="A759" s="94" t="s">
        <v>797</v>
      </c>
      <c r="B759" t="s">
        <v>774</v>
      </c>
      <c r="C759" s="50">
        <v>8250000</v>
      </c>
      <c r="D759" s="95">
        <v>0.12</v>
      </c>
      <c r="E759" s="94">
        <v>46812</v>
      </c>
      <c r="F759" s="50">
        <f t="shared" si="12"/>
        <v>912</v>
      </c>
      <c r="G759" t="str">
        <f>VLOOKUP(F759,T!$A$2:$C$9,3,TRUE)</f>
        <v>6. 1-3 Years</v>
      </c>
    </row>
    <row r="760" spans="1:7" x14ac:dyDescent="0.3">
      <c r="A760" s="94" t="s">
        <v>797</v>
      </c>
      <c r="B760" t="s">
        <v>774</v>
      </c>
      <c r="C760" s="50">
        <v>8250000</v>
      </c>
      <c r="D760" s="95">
        <v>0.12</v>
      </c>
      <c r="E760" s="94">
        <v>46812</v>
      </c>
      <c r="F760" s="50">
        <f t="shared" si="12"/>
        <v>912</v>
      </c>
      <c r="G760" t="str">
        <f>VLOOKUP(F760,T!$A$2:$C$9,3,TRUE)</f>
        <v>6. 1-3 Years</v>
      </c>
    </row>
    <row r="761" spans="1:7" x14ac:dyDescent="0.3">
      <c r="A761" s="94" t="s">
        <v>797</v>
      </c>
      <c r="B761" t="s">
        <v>774</v>
      </c>
      <c r="C761" s="50">
        <v>8250000</v>
      </c>
      <c r="D761" s="95">
        <v>0.12</v>
      </c>
      <c r="E761" s="94">
        <v>46812</v>
      </c>
      <c r="F761" s="50">
        <f t="shared" si="12"/>
        <v>912</v>
      </c>
      <c r="G761" t="str">
        <f>VLOOKUP(F761,T!$A$2:$C$9,3,TRUE)</f>
        <v>6. 1-3 Years</v>
      </c>
    </row>
    <row r="762" spans="1:7" x14ac:dyDescent="0.3">
      <c r="A762" s="94" t="s">
        <v>797</v>
      </c>
      <c r="B762" t="s">
        <v>774</v>
      </c>
      <c r="C762" s="50">
        <v>8250000</v>
      </c>
      <c r="D762" s="95">
        <v>0.12</v>
      </c>
      <c r="E762" s="94">
        <v>46812</v>
      </c>
      <c r="F762" s="50">
        <f t="shared" si="12"/>
        <v>912</v>
      </c>
      <c r="G762" t="str">
        <f>VLOOKUP(F762,T!$A$2:$C$9,3,TRUE)</f>
        <v>6. 1-3 Years</v>
      </c>
    </row>
    <row r="763" spans="1:7" x14ac:dyDescent="0.3">
      <c r="A763" s="94" t="s">
        <v>780</v>
      </c>
      <c r="B763" t="s">
        <v>774</v>
      </c>
      <c r="C763" s="50">
        <v>16666666.470000001</v>
      </c>
      <c r="D763" s="95">
        <v>8.0199999999999994E-2</v>
      </c>
      <c r="E763" s="94">
        <v>46812</v>
      </c>
      <c r="F763" s="50">
        <f t="shared" si="12"/>
        <v>912</v>
      </c>
      <c r="G763" t="str">
        <f>VLOOKUP(F763,T!$A$2:$C$9,3,TRUE)</f>
        <v>6. 1-3 Years</v>
      </c>
    </row>
    <row r="764" spans="1:7" x14ac:dyDescent="0.3">
      <c r="A764" s="94" t="s">
        <v>773</v>
      </c>
      <c r="B764" t="s">
        <v>774</v>
      </c>
      <c r="C764" s="50">
        <v>50000000</v>
      </c>
      <c r="D764" s="95">
        <v>0.12</v>
      </c>
      <c r="E764" s="94">
        <v>46825</v>
      </c>
      <c r="F764" s="50">
        <f t="shared" si="12"/>
        <v>925</v>
      </c>
      <c r="G764" t="str">
        <f>VLOOKUP(F764,T!$A$2:$C$9,3,TRUE)</f>
        <v>6. 1-3 Years</v>
      </c>
    </row>
    <row r="765" spans="1:7" x14ac:dyDescent="0.3">
      <c r="A765" s="94" t="s">
        <v>773</v>
      </c>
      <c r="B765" t="s">
        <v>774</v>
      </c>
      <c r="C765" s="50">
        <v>25000000</v>
      </c>
      <c r="D765" s="95">
        <v>0.12</v>
      </c>
      <c r="E765" s="94">
        <v>46826</v>
      </c>
      <c r="F765" s="50">
        <f t="shared" si="12"/>
        <v>926</v>
      </c>
      <c r="G765" t="str">
        <f>VLOOKUP(F765,T!$A$2:$C$9,3,TRUE)</f>
        <v>6. 1-3 Years</v>
      </c>
    </row>
    <row r="766" spans="1:7" x14ac:dyDescent="0.3">
      <c r="A766" s="94" t="s">
        <v>780</v>
      </c>
      <c r="B766" t="s">
        <v>774</v>
      </c>
      <c r="C766" s="50">
        <v>16666666.67</v>
      </c>
      <c r="D766" s="95">
        <v>8.0199999999999994E-2</v>
      </c>
      <c r="E766" s="94">
        <v>46827</v>
      </c>
      <c r="F766" s="50">
        <f t="shared" si="12"/>
        <v>927</v>
      </c>
      <c r="G766" t="str">
        <f>VLOOKUP(F766,T!$A$2:$C$9,3,TRUE)</f>
        <v>6. 1-3 Years</v>
      </c>
    </row>
    <row r="767" spans="1:7" x14ac:dyDescent="0.3">
      <c r="A767" s="94" t="s">
        <v>785</v>
      </c>
      <c r="B767" t="s">
        <v>774</v>
      </c>
      <c r="C767" s="50">
        <v>25000000</v>
      </c>
      <c r="D767" s="95">
        <v>8.0199999999999994E-2</v>
      </c>
      <c r="E767" s="94">
        <v>46830</v>
      </c>
      <c r="F767" s="50">
        <f t="shared" si="12"/>
        <v>930</v>
      </c>
      <c r="G767" t="str">
        <f>VLOOKUP(F767,T!$A$2:$C$9,3,TRUE)</f>
        <v>6. 1-3 Years</v>
      </c>
    </row>
    <row r="768" spans="1:7" x14ac:dyDescent="0.3">
      <c r="A768" s="94" t="s">
        <v>790</v>
      </c>
      <c r="B768" t="s">
        <v>774</v>
      </c>
      <c r="C768" s="50">
        <v>18950069.719999999</v>
      </c>
      <c r="D768" s="95">
        <v>0.12</v>
      </c>
      <c r="E768" s="94">
        <v>46831</v>
      </c>
      <c r="F768" s="50">
        <f t="shared" si="12"/>
        <v>931</v>
      </c>
      <c r="G768" t="str">
        <f>VLOOKUP(F768,T!$A$2:$C$9,3,TRUE)</f>
        <v>6. 1-3 Years</v>
      </c>
    </row>
    <row r="769" spans="1:7" x14ac:dyDescent="0.3">
      <c r="A769" s="94" t="s">
        <v>792</v>
      </c>
      <c r="B769" t="s">
        <v>774</v>
      </c>
      <c r="C769" s="50">
        <v>20800000</v>
      </c>
      <c r="D769" s="95">
        <v>0.1075</v>
      </c>
      <c r="E769" s="94">
        <v>46834</v>
      </c>
      <c r="F769" s="50">
        <f t="shared" si="12"/>
        <v>934</v>
      </c>
      <c r="G769" t="str">
        <f>VLOOKUP(F769,T!$A$2:$C$9,3,TRUE)</f>
        <v>6. 1-3 Years</v>
      </c>
    </row>
    <row r="770" spans="1:7" x14ac:dyDescent="0.3">
      <c r="A770" s="94" t="s">
        <v>792</v>
      </c>
      <c r="B770" t="s">
        <v>774</v>
      </c>
      <c r="C770" s="50">
        <v>20800000</v>
      </c>
      <c r="D770" s="95">
        <v>0.1075</v>
      </c>
      <c r="E770" s="94">
        <v>46836</v>
      </c>
      <c r="F770" s="50">
        <f t="shared" si="12"/>
        <v>936</v>
      </c>
      <c r="G770" t="str">
        <f>VLOOKUP(F770,T!$A$2:$C$9,3,TRUE)</f>
        <v>6. 1-3 Years</v>
      </c>
    </row>
    <row r="771" spans="1:7" x14ac:dyDescent="0.3">
      <c r="A771" s="94" t="s">
        <v>793</v>
      </c>
      <c r="B771" t="s">
        <v>774</v>
      </c>
      <c r="C771" s="50">
        <v>16650000</v>
      </c>
      <c r="D771" s="95">
        <v>0.09</v>
      </c>
      <c r="E771" s="94">
        <v>46837</v>
      </c>
      <c r="F771" s="50">
        <f t="shared" ref="F771:F834" si="13">E771-$F$1</f>
        <v>937</v>
      </c>
      <c r="G771" t="str">
        <f>VLOOKUP(F771,T!$A$2:$C$9,3,TRUE)</f>
        <v>6. 1-3 Years</v>
      </c>
    </row>
    <row r="772" spans="1:7" x14ac:dyDescent="0.3">
      <c r="A772" s="94" t="s">
        <v>793</v>
      </c>
      <c r="B772" t="s">
        <v>774</v>
      </c>
      <c r="C772" s="50">
        <v>16650000</v>
      </c>
      <c r="D772" s="95">
        <v>0.09</v>
      </c>
      <c r="E772" s="94">
        <v>46838</v>
      </c>
      <c r="F772" s="50">
        <f t="shared" si="13"/>
        <v>938</v>
      </c>
      <c r="G772" t="str">
        <f>VLOOKUP(F772,T!$A$2:$C$9,3,TRUE)</f>
        <v>6. 1-3 Years</v>
      </c>
    </row>
    <row r="773" spans="1:7" x14ac:dyDescent="0.3">
      <c r="A773" s="94" t="s">
        <v>794</v>
      </c>
      <c r="B773" t="s">
        <v>774</v>
      </c>
      <c r="C773" s="50">
        <v>20833000</v>
      </c>
      <c r="D773" s="95">
        <v>8.0699999999999994E-2</v>
      </c>
      <c r="E773" s="94">
        <v>46838</v>
      </c>
      <c r="F773" s="50">
        <f t="shared" si="13"/>
        <v>938</v>
      </c>
      <c r="G773" t="str">
        <f>VLOOKUP(F773,T!$A$2:$C$9,3,TRUE)</f>
        <v>6. 1-3 Years</v>
      </c>
    </row>
    <row r="774" spans="1:7" x14ac:dyDescent="0.3">
      <c r="A774" s="94" t="s">
        <v>794</v>
      </c>
      <c r="B774" t="s">
        <v>774</v>
      </c>
      <c r="C774" s="50">
        <v>20833000</v>
      </c>
      <c r="D774" s="95">
        <v>8.0699999999999994E-2</v>
      </c>
      <c r="E774" s="94">
        <v>46838</v>
      </c>
      <c r="F774" s="50">
        <f t="shared" si="13"/>
        <v>938</v>
      </c>
      <c r="G774" t="str">
        <f>VLOOKUP(F774,T!$A$2:$C$9,3,TRUE)</f>
        <v>6. 1-3 Years</v>
      </c>
    </row>
    <row r="775" spans="1:7" x14ac:dyDescent="0.3">
      <c r="A775" s="94" t="s">
        <v>794</v>
      </c>
      <c r="B775" t="s">
        <v>774</v>
      </c>
      <c r="C775" s="50">
        <v>20833000</v>
      </c>
      <c r="D775" s="95">
        <v>8.0699999999999994E-2</v>
      </c>
      <c r="E775" s="94">
        <v>46838</v>
      </c>
      <c r="F775" s="50">
        <f t="shared" si="13"/>
        <v>938</v>
      </c>
      <c r="G775" t="str">
        <f>VLOOKUP(F775,T!$A$2:$C$9,3,TRUE)</f>
        <v>6. 1-3 Years</v>
      </c>
    </row>
    <row r="776" spans="1:7" x14ac:dyDescent="0.3">
      <c r="A776" s="94" t="s">
        <v>795</v>
      </c>
      <c r="B776" t="s">
        <v>774</v>
      </c>
      <c r="C776" s="50">
        <v>20833333.333333328</v>
      </c>
      <c r="D776" s="95">
        <v>0.1075</v>
      </c>
      <c r="E776" s="94">
        <v>46839</v>
      </c>
      <c r="F776" s="50">
        <f t="shared" si="13"/>
        <v>939</v>
      </c>
      <c r="G776" t="str">
        <f>VLOOKUP(F776,T!$A$2:$C$9,3,TRUE)</f>
        <v>6. 1-3 Years</v>
      </c>
    </row>
    <row r="777" spans="1:7" x14ac:dyDescent="0.3">
      <c r="A777" s="94" t="s">
        <v>795</v>
      </c>
      <c r="B777" t="s">
        <v>774</v>
      </c>
      <c r="C777" s="50">
        <v>20833333.333333328</v>
      </c>
      <c r="D777" s="95">
        <v>0.1075</v>
      </c>
      <c r="E777" s="94">
        <v>46839</v>
      </c>
      <c r="F777" s="50">
        <f t="shared" si="13"/>
        <v>939</v>
      </c>
      <c r="G777" t="str">
        <f>VLOOKUP(F777,T!$A$2:$C$9,3,TRUE)</f>
        <v>6. 1-3 Years</v>
      </c>
    </row>
    <row r="778" spans="1:7" x14ac:dyDescent="0.3">
      <c r="A778" s="94" t="s">
        <v>795</v>
      </c>
      <c r="B778" t="s">
        <v>774</v>
      </c>
      <c r="C778" s="50">
        <v>10416666.66666667</v>
      </c>
      <c r="D778" s="95">
        <v>0.1075</v>
      </c>
      <c r="E778" s="94">
        <v>46839</v>
      </c>
      <c r="F778" s="50">
        <f t="shared" si="13"/>
        <v>939</v>
      </c>
      <c r="G778" t="str">
        <f>VLOOKUP(F778,T!$A$2:$C$9,3,TRUE)</f>
        <v>6. 1-3 Years</v>
      </c>
    </row>
    <row r="779" spans="1:7" x14ac:dyDescent="0.3">
      <c r="A779" s="94" t="s">
        <v>795</v>
      </c>
      <c r="B779" t="s">
        <v>774</v>
      </c>
      <c r="C779" s="50">
        <v>10416666.66666667</v>
      </c>
      <c r="D779" s="95">
        <v>0.1075</v>
      </c>
      <c r="E779" s="94">
        <v>46839</v>
      </c>
      <c r="F779" s="50">
        <f t="shared" si="13"/>
        <v>939</v>
      </c>
      <c r="G779" t="str">
        <f>VLOOKUP(F779,T!$A$2:$C$9,3,TRUE)</f>
        <v>6. 1-3 Years</v>
      </c>
    </row>
    <row r="780" spans="1:7" x14ac:dyDescent="0.3">
      <c r="A780" s="94" t="s">
        <v>796</v>
      </c>
      <c r="B780" t="s">
        <v>774</v>
      </c>
      <c r="C780" s="50">
        <v>13920000</v>
      </c>
      <c r="D780" s="95">
        <v>8.2199999999999995E-2</v>
      </c>
      <c r="E780" s="94">
        <v>46840</v>
      </c>
      <c r="F780" s="50">
        <f t="shared" si="13"/>
        <v>940</v>
      </c>
      <c r="G780" t="str">
        <f>VLOOKUP(F780,T!$A$2:$C$9,3,TRUE)</f>
        <v>6. 1-3 Years</v>
      </c>
    </row>
    <row r="781" spans="1:7" x14ac:dyDescent="0.3">
      <c r="A781" s="94" t="s">
        <v>780</v>
      </c>
      <c r="B781" t="s">
        <v>774</v>
      </c>
      <c r="C781" s="50">
        <v>16666666.470000001</v>
      </c>
      <c r="D781" s="95">
        <v>8.0199999999999994E-2</v>
      </c>
      <c r="E781" s="94">
        <v>46841</v>
      </c>
      <c r="F781" s="50">
        <f t="shared" si="13"/>
        <v>941</v>
      </c>
      <c r="G781" t="str">
        <f>VLOOKUP(F781,T!$A$2:$C$9,3,TRUE)</f>
        <v>6. 1-3 Years</v>
      </c>
    </row>
    <row r="782" spans="1:7" x14ac:dyDescent="0.3">
      <c r="A782" s="94" t="s">
        <v>797</v>
      </c>
      <c r="B782" t="s">
        <v>774</v>
      </c>
      <c r="C782" s="50">
        <v>8250000</v>
      </c>
      <c r="D782" s="95">
        <v>0.12</v>
      </c>
      <c r="E782" s="94">
        <v>46843</v>
      </c>
      <c r="F782" s="50">
        <f t="shared" si="13"/>
        <v>943</v>
      </c>
      <c r="G782" t="str">
        <f>VLOOKUP(F782,T!$A$2:$C$9,3,TRUE)</f>
        <v>6. 1-3 Years</v>
      </c>
    </row>
    <row r="783" spans="1:7" x14ac:dyDescent="0.3">
      <c r="A783" s="94" t="s">
        <v>797</v>
      </c>
      <c r="B783" t="s">
        <v>774</v>
      </c>
      <c r="C783" s="50">
        <v>8250000</v>
      </c>
      <c r="D783" s="95">
        <v>0.12</v>
      </c>
      <c r="E783" s="94">
        <v>46843</v>
      </c>
      <c r="F783" s="50">
        <f t="shared" si="13"/>
        <v>943</v>
      </c>
      <c r="G783" t="str">
        <f>VLOOKUP(F783,T!$A$2:$C$9,3,TRUE)</f>
        <v>6. 1-3 Years</v>
      </c>
    </row>
    <row r="784" spans="1:7" x14ac:dyDescent="0.3">
      <c r="A784" s="94" t="s">
        <v>797</v>
      </c>
      <c r="B784" t="s">
        <v>774</v>
      </c>
      <c r="C784" s="50">
        <v>8250000</v>
      </c>
      <c r="D784" s="95">
        <v>0.12</v>
      </c>
      <c r="E784" s="94">
        <v>46843</v>
      </c>
      <c r="F784" s="50">
        <f t="shared" si="13"/>
        <v>943</v>
      </c>
      <c r="G784" t="str">
        <f>VLOOKUP(F784,T!$A$2:$C$9,3,TRUE)</f>
        <v>6. 1-3 Years</v>
      </c>
    </row>
    <row r="785" spans="1:7" x14ac:dyDescent="0.3">
      <c r="A785" s="94" t="s">
        <v>797</v>
      </c>
      <c r="B785" t="s">
        <v>774</v>
      </c>
      <c r="C785" s="50">
        <v>8250000</v>
      </c>
      <c r="D785" s="95">
        <v>0.12</v>
      </c>
      <c r="E785" s="94">
        <v>46843</v>
      </c>
      <c r="F785" s="50">
        <f t="shared" si="13"/>
        <v>943</v>
      </c>
      <c r="G785" t="str">
        <f>VLOOKUP(F785,T!$A$2:$C$9,3,TRUE)</f>
        <v>6. 1-3 Years</v>
      </c>
    </row>
    <row r="786" spans="1:7" x14ac:dyDescent="0.3">
      <c r="A786" s="94" t="s">
        <v>780</v>
      </c>
      <c r="B786" t="s">
        <v>774</v>
      </c>
      <c r="C786" s="50">
        <v>16666666.67</v>
      </c>
      <c r="D786" s="95">
        <v>8.0199999999999994E-2</v>
      </c>
      <c r="E786" s="94">
        <v>46858</v>
      </c>
      <c r="F786" s="50">
        <f t="shared" si="13"/>
        <v>958</v>
      </c>
      <c r="G786" t="str">
        <f>VLOOKUP(F786,T!$A$2:$C$9,3,TRUE)</f>
        <v>6. 1-3 Years</v>
      </c>
    </row>
    <row r="787" spans="1:7" x14ac:dyDescent="0.3">
      <c r="A787" s="94" t="s">
        <v>785</v>
      </c>
      <c r="B787" t="s">
        <v>774</v>
      </c>
      <c r="C787" s="50">
        <v>25000000</v>
      </c>
      <c r="D787" s="95">
        <v>8.0199999999999994E-2</v>
      </c>
      <c r="E787" s="94">
        <v>46861</v>
      </c>
      <c r="F787" s="50">
        <f t="shared" si="13"/>
        <v>961</v>
      </c>
      <c r="G787" t="str">
        <f>VLOOKUP(F787,T!$A$2:$C$9,3,TRUE)</f>
        <v>6. 1-3 Years</v>
      </c>
    </row>
    <row r="788" spans="1:7" x14ac:dyDescent="0.3">
      <c r="A788" s="94" t="s">
        <v>790</v>
      </c>
      <c r="B788" t="s">
        <v>774</v>
      </c>
      <c r="C788" s="50">
        <v>18915478.579999998</v>
      </c>
      <c r="D788" s="95">
        <v>0.12</v>
      </c>
      <c r="E788" s="94">
        <v>46862</v>
      </c>
      <c r="F788" s="50">
        <f t="shared" si="13"/>
        <v>962</v>
      </c>
      <c r="G788" t="str">
        <f>VLOOKUP(F788,T!$A$2:$C$9,3,TRUE)</f>
        <v>6. 1-3 Years</v>
      </c>
    </row>
    <row r="789" spans="1:7" x14ac:dyDescent="0.3">
      <c r="A789" s="94" t="s">
        <v>792</v>
      </c>
      <c r="B789" t="s">
        <v>774</v>
      </c>
      <c r="C789" s="50">
        <v>20800000</v>
      </c>
      <c r="D789" s="95">
        <v>0.1075</v>
      </c>
      <c r="E789" s="94">
        <v>46865</v>
      </c>
      <c r="F789" s="50">
        <f t="shared" si="13"/>
        <v>965</v>
      </c>
      <c r="G789" t="str">
        <f>VLOOKUP(F789,T!$A$2:$C$9,3,TRUE)</f>
        <v>6. 1-3 Years</v>
      </c>
    </row>
    <row r="790" spans="1:7" x14ac:dyDescent="0.3">
      <c r="A790" s="94" t="s">
        <v>799</v>
      </c>
      <c r="B790" t="s">
        <v>774</v>
      </c>
      <c r="C790" s="50">
        <v>50000000</v>
      </c>
      <c r="D790" s="95">
        <v>0.12</v>
      </c>
      <c r="E790" s="94">
        <v>46866</v>
      </c>
      <c r="F790" s="50">
        <f t="shared" si="13"/>
        <v>966</v>
      </c>
      <c r="G790" t="str">
        <f>VLOOKUP(F790,T!$A$2:$C$9,3,TRUE)</f>
        <v>6. 1-3 Years</v>
      </c>
    </row>
    <row r="791" spans="1:7" x14ac:dyDescent="0.3">
      <c r="A791" s="94" t="s">
        <v>799</v>
      </c>
      <c r="B791" t="s">
        <v>774</v>
      </c>
      <c r="C791" s="50">
        <v>50000000</v>
      </c>
      <c r="D791" s="95">
        <v>0.12</v>
      </c>
      <c r="E791" s="94">
        <v>46866</v>
      </c>
      <c r="F791" s="50">
        <f t="shared" si="13"/>
        <v>966</v>
      </c>
      <c r="G791" t="str">
        <f>VLOOKUP(F791,T!$A$2:$C$9,3,TRUE)</f>
        <v>6. 1-3 Years</v>
      </c>
    </row>
    <row r="792" spans="1:7" x14ac:dyDescent="0.3">
      <c r="A792" s="94" t="s">
        <v>799</v>
      </c>
      <c r="B792" t="s">
        <v>774</v>
      </c>
      <c r="C792" s="50">
        <v>50000000</v>
      </c>
      <c r="D792" s="95">
        <v>0.12</v>
      </c>
      <c r="E792" s="94">
        <v>46866</v>
      </c>
      <c r="F792" s="50">
        <f t="shared" si="13"/>
        <v>966</v>
      </c>
      <c r="G792" t="str">
        <f>VLOOKUP(F792,T!$A$2:$C$9,3,TRUE)</f>
        <v>6. 1-3 Years</v>
      </c>
    </row>
    <row r="793" spans="1:7" x14ac:dyDescent="0.3">
      <c r="A793" s="94" t="s">
        <v>792</v>
      </c>
      <c r="B793" t="s">
        <v>774</v>
      </c>
      <c r="C793" s="50">
        <v>20800000</v>
      </c>
      <c r="D793" s="95">
        <v>0.1075</v>
      </c>
      <c r="E793" s="94">
        <v>46867</v>
      </c>
      <c r="F793" s="50">
        <f t="shared" si="13"/>
        <v>967</v>
      </c>
      <c r="G793" t="str">
        <f>VLOOKUP(F793,T!$A$2:$C$9,3,TRUE)</f>
        <v>6. 1-3 Years</v>
      </c>
    </row>
    <row r="794" spans="1:7" x14ac:dyDescent="0.3">
      <c r="A794" s="94" t="s">
        <v>793</v>
      </c>
      <c r="B794" t="s">
        <v>774</v>
      </c>
      <c r="C794" s="50">
        <v>16650000</v>
      </c>
      <c r="D794" s="95">
        <v>0.09</v>
      </c>
      <c r="E794" s="94">
        <v>46868</v>
      </c>
      <c r="F794" s="50">
        <f t="shared" si="13"/>
        <v>968</v>
      </c>
      <c r="G794" t="str">
        <f>VLOOKUP(F794,T!$A$2:$C$9,3,TRUE)</f>
        <v>6. 1-3 Years</v>
      </c>
    </row>
    <row r="795" spans="1:7" x14ac:dyDescent="0.3">
      <c r="A795" s="94" t="s">
        <v>793</v>
      </c>
      <c r="B795" t="s">
        <v>774</v>
      </c>
      <c r="C795" s="50">
        <v>16650000</v>
      </c>
      <c r="D795" s="95">
        <v>0.09</v>
      </c>
      <c r="E795" s="94">
        <v>46869</v>
      </c>
      <c r="F795" s="50">
        <f t="shared" si="13"/>
        <v>969</v>
      </c>
      <c r="G795" t="str">
        <f>VLOOKUP(F795,T!$A$2:$C$9,3,TRUE)</f>
        <v>6. 1-3 Years</v>
      </c>
    </row>
    <row r="796" spans="1:7" x14ac:dyDescent="0.3">
      <c r="A796" s="94" t="s">
        <v>794</v>
      </c>
      <c r="B796" t="s">
        <v>774</v>
      </c>
      <c r="C796" s="50">
        <v>20833000</v>
      </c>
      <c r="D796" s="95">
        <v>8.0699999999999994E-2</v>
      </c>
      <c r="E796" s="94">
        <v>46869</v>
      </c>
      <c r="F796" s="50">
        <f t="shared" si="13"/>
        <v>969</v>
      </c>
      <c r="G796" t="str">
        <f>VLOOKUP(F796,T!$A$2:$C$9,3,TRUE)</f>
        <v>6. 1-3 Years</v>
      </c>
    </row>
    <row r="797" spans="1:7" x14ac:dyDescent="0.3">
      <c r="A797" s="94" t="s">
        <v>794</v>
      </c>
      <c r="B797" t="s">
        <v>774</v>
      </c>
      <c r="C797" s="50">
        <v>20833000</v>
      </c>
      <c r="D797" s="95">
        <v>8.0699999999999994E-2</v>
      </c>
      <c r="E797" s="94">
        <v>46869</v>
      </c>
      <c r="F797" s="50">
        <f t="shared" si="13"/>
        <v>969</v>
      </c>
      <c r="G797" t="str">
        <f>VLOOKUP(F797,T!$A$2:$C$9,3,TRUE)</f>
        <v>6. 1-3 Years</v>
      </c>
    </row>
    <row r="798" spans="1:7" x14ac:dyDescent="0.3">
      <c r="A798" s="94" t="s">
        <v>794</v>
      </c>
      <c r="B798" t="s">
        <v>774</v>
      </c>
      <c r="C798" s="50">
        <v>20833000</v>
      </c>
      <c r="D798" s="95">
        <v>8.0699999999999994E-2</v>
      </c>
      <c r="E798" s="94">
        <v>46869</v>
      </c>
      <c r="F798" s="50">
        <f t="shared" si="13"/>
        <v>969</v>
      </c>
      <c r="G798" t="str">
        <f>VLOOKUP(F798,T!$A$2:$C$9,3,TRUE)</f>
        <v>6. 1-3 Years</v>
      </c>
    </row>
    <row r="799" spans="1:7" x14ac:dyDescent="0.3">
      <c r="A799" s="94" t="s">
        <v>795</v>
      </c>
      <c r="B799" t="s">
        <v>774</v>
      </c>
      <c r="C799" s="50">
        <v>20833333.333333328</v>
      </c>
      <c r="D799" s="95">
        <v>0.1075</v>
      </c>
      <c r="E799" s="94">
        <v>46870</v>
      </c>
      <c r="F799" s="50">
        <f t="shared" si="13"/>
        <v>970</v>
      </c>
      <c r="G799" t="str">
        <f>VLOOKUP(F799,T!$A$2:$C$9,3,TRUE)</f>
        <v>6. 1-3 Years</v>
      </c>
    </row>
    <row r="800" spans="1:7" x14ac:dyDescent="0.3">
      <c r="A800" s="94" t="s">
        <v>795</v>
      </c>
      <c r="B800" t="s">
        <v>774</v>
      </c>
      <c r="C800" s="50">
        <v>20833333.333333328</v>
      </c>
      <c r="D800" s="95">
        <v>0.1075</v>
      </c>
      <c r="E800" s="94">
        <v>46870</v>
      </c>
      <c r="F800" s="50">
        <f t="shared" si="13"/>
        <v>970</v>
      </c>
      <c r="G800" t="str">
        <f>VLOOKUP(F800,T!$A$2:$C$9,3,TRUE)</f>
        <v>6. 1-3 Years</v>
      </c>
    </row>
    <row r="801" spans="1:7" x14ac:dyDescent="0.3">
      <c r="A801" s="94" t="s">
        <v>795</v>
      </c>
      <c r="B801" t="s">
        <v>774</v>
      </c>
      <c r="C801" s="50">
        <v>10416666.66666667</v>
      </c>
      <c r="D801" s="95">
        <v>0.1075</v>
      </c>
      <c r="E801" s="94">
        <v>46870</v>
      </c>
      <c r="F801" s="50">
        <f t="shared" si="13"/>
        <v>970</v>
      </c>
      <c r="G801" t="str">
        <f>VLOOKUP(F801,T!$A$2:$C$9,3,TRUE)</f>
        <v>6. 1-3 Years</v>
      </c>
    </row>
    <row r="802" spans="1:7" x14ac:dyDescent="0.3">
      <c r="A802" s="94" t="s">
        <v>795</v>
      </c>
      <c r="B802" t="s">
        <v>774</v>
      </c>
      <c r="C802" s="50">
        <v>10416666.66666667</v>
      </c>
      <c r="D802" s="95">
        <v>0.1075</v>
      </c>
      <c r="E802" s="94">
        <v>46870</v>
      </c>
      <c r="F802" s="50">
        <f t="shared" si="13"/>
        <v>970</v>
      </c>
      <c r="G802" t="str">
        <f>VLOOKUP(F802,T!$A$2:$C$9,3,TRUE)</f>
        <v>6. 1-3 Years</v>
      </c>
    </row>
    <row r="803" spans="1:7" x14ac:dyDescent="0.3">
      <c r="A803" s="94" t="s">
        <v>780</v>
      </c>
      <c r="B803" t="s">
        <v>774</v>
      </c>
      <c r="C803" s="50">
        <v>16666666.470000001</v>
      </c>
      <c r="D803" s="95">
        <v>8.0199999999999994E-2</v>
      </c>
      <c r="E803" s="94">
        <v>46872</v>
      </c>
      <c r="F803" s="50">
        <f t="shared" si="13"/>
        <v>972</v>
      </c>
      <c r="G803" t="str">
        <f>VLOOKUP(F803,T!$A$2:$C$9,3,TRUE)</f>
        <v>6. 1-3 Years</v>
      </c>
    </row>
    <row r="804" spans="1:7" x14ac:dyDescent="0.3">
      <c r="A804" s="94" t="s">
        <v>797</v>
      </c>
      <c r="B804" t="s">
        <v>774</v>
      </c>
      <c r="C804" s="50">
        <v>8250000</v>
      </c>
      <c r="D804" s="95">
        <v>0.12</v>
      </c>
      <c r="E804" s="94">
        <v>46873</v>
      </c>
      <c r="F804" s="50">
        <f t="shared" si="13"/>
        <v>973</v>
      </c>
      <c r="G804" t="str">
        <f>VLOOKUP(F804,T!$A$2:$C$9,3,TRUE)</f>
        <v>6. 1-3 Years</v>
      </c>
    </row>
    <row r="805" spans="1:7" x14ac:dyDescent="0.3">
      <c r="A805" s="94" t="s">
        <v>797</v>
      </c>
      <c r="B805" t="s">
        <v>774</v>
      </c>
      <c r="C805" s="50">
        <v>8250000</v>
      </c>
      <c r="D805" s="95">
        <v>0.12</v>
      </c>
      <c r="E805" s="94">
        <v>46873</v>
      </c>
      <c r="F805" s="50">
        <f t="shared" si="13"/>
        <v>973</v>
      </c>
      <c r="G805" t="str">
        <f>VLOOKUP(F805,T!$A$2:$C$9,3,TRUE)</f>
        <v>6. 1-3 Years</v>
      </c>
    </row>
    <row r="806" spans="1:7" x14ac:dyDescent="0.3">
      <c r="A806" s="94" t="s">
        <v>797</v>
      </c>
      <c r="B806" t="s">
        <v>774</v>
      </c>
      <c r="C806" s="50">
        <v>8250000</v>
      </c>
      <c r="D806" s="95">
        <v>0.12</v>
      </c>
      <c r="E806" s="94">
        <v>46873</v>
      </c>
      <c r="F806" s="50">
        <f t="shared" si="13"/>
        <v>973</v>
      </c>
      <c r="G806" t="str">
        <f>VLOOKUP(F806,T!$A$2:$C$9,3,TRUE)</f>
        <v>6. 1-3 Years</v>
      </c>
    </row>
    <row r="807" spans="1:7" x14ac:dyDescent="0.3">
      <c r="A807" s="94" t="s">
        <v>797</v>
      </c>
      <c r="B807" t="s">
        <v>774</v>
      </c>
      <c r="C807" s="50">
        <v>8250000</v>
      </c>
      <c r="D807" s="95">
        <v>0.12</v>
      </c>
      <c r="E807" s="94">
        <v>46873</v>
      </c>
      <c r="F807" s="50">
        <f t="shared" si="13"/>
        <v>973</v>
      </c>
      <c r="G807" t="str">
        <f>VLOOKUP(F807,T!$A$2:$C$9,3,TRUE)</f>
        <v>6. 1-3 Years</v>
      </c>
    </row>
    <row r="808" spans="1:7" x14ac:dyDescent="0.3">
      <c r="A808" s="94" t="s">
        <v>780</v>
      </c>
      <c r="B808" t="s">
        <v>774</v>
      </c>
      <c r="C808" s="50">
        <v>16666666.67</v>
      </c>
      <c r="D808" s="95">
        <v>8.0199999999999994E-2</v>
      </c>
      <c r="E808" s="94">
        <v>46888</v>
      </c>
      <c r="F808" s="50">
        <f t="shared" si="13"/>
        <v>988</v>
      </c>
      <c r="G808" t="str">
        <f>VLOOKUP(F808,T!$A$2:$C$9,3,TRUE)</f>
        <v>6. 1-3 Years</v>
      </c>
    </row>
    <row r="809" spans="1:7" x14ac:dyDescent="0.3">
      <c r="A809" s="94" t="s">
        <v>785</v>
      </c>
      <c r="B809" t="s">
        <v>774</v>
      </c>
      <c r="C809" s="50">
        <v>25000000</v>
      </c>
      <c r="D809" s="95">
        <v>8.0199999999999994E-2</v>
      </c>
      <c r="E809" s="94">
        <v>46891</v>
      </c>
      <c r="F809" s="50">
        <f t="shared" si="13"/>
        <v>991</v>
      </c>
      <c r="G809" t="str">
        <f>VLOOKUP(F809,T!$A$2:$C$9,3,TRUE)</f>
        <v>6. 1-3 Years</v>
      </c>
    </row>
    <row r="810" spans="1:7" x14ac:dyDescent="0.3">
      <c r="A810" s="94" t="s">
        <v>790</v>
      </c>
      <c r="B810" t="s">
        <v>774</v>
      </c>
      <c r="C810" s="50">
        <v>19208918.379999999</v>
      </c>
      <c r="D810" s="95">
        <v>0.12</v>
      </c>
      <c r="E810" s="94">
        <v>46892</v>
      </c>
      <c r="F810" s="50">
        <f t="shared" si="13"/>
        <v>992</v>
      </c>
      <c r="G810" t="str">
        <f>VLOOKUP(F810,T!$A$2:$C$9,3,TRUE)</f>
        <v>6. 1-3 Years</v>
      </c>
    </row>
    <row r="811" spans="1:7" x14ac:dyDescent="0.3">
      <c r="A811" s="94" t="s">
        <v>800</v>
      </c>
      <c r="B811" t="s">
        <v>774</v>
      </c>
      <c r="C811" s="50">
        <v>50000000</v>
      </c>
      <c r="D811" s="95">
        <v>9.8500000000000004E-2</v>
      </c>
      <c r="E811" s="94">
        <v>46894</v>
      </c>
      <c r="F811" s="50">
        <f t="shared" si="13"/>
        <v>994</v>
      </c>
      <c r="G811" t="str">
        <f>VLOOKUP(F811,T!$A$2:$C$9,3,TRUE)</f>
        <v>6. 1-3 Years</v>
      </c>
    </row>
    <row r="812" spans="1:7" x14ac:dyDescent="0.3">
      <c r="A812" s="94" t="s">
        <v>792</v>
      </c>
      <c r="B812" t="s">
        <v>774</v>
      </c>
      <c r="C812" s="50">
        <v>20800000</v>
      </c>
      <c r="D812" s="95">
        <v>0.1075</v>
      </c>
      <c r="E812" s="94">
        <v>46895</v>
      </c>
      <c r="F812" s="50">
        <f t="shared" si="13"/>
        <v>995</v>
      </c>
      <c r="G812" t="str">
        <f>VLOOKUP(F812,T!$A$2:$C$9,3,TRUE)</f>
        <v>6. 1-3 Years</v>
      </c>
    </row>
    <row r="813" spans="1:7" x14ac:dyDescent="0.3">
      <c r="A813" s="94" t="s">
        <v>792</v>
      </c>
      <c r="B813" t="s">
        <v>774</v>
      </c>
      <c r="C813" s="50">
        <v>20800000</v>
      </c>
      <c r="D813" s="95">
        <v>0.1075</v>
      </c>
      <c r="E813" s="94">
        <v>46897</v>
      </c>
      <c r="F813" s="50">
        <f t="shared" si="13"/>
        <v>997</v>
      </c>
      <c r="G813" t="str">
        <f>VLOOKUP(F813,T!$A$2:$C$9,3,TRUE)</f>
        <v>6. 1-3 Years</v>
      </c>
    </row>
    <row r="814" spans="1:7" x14ac:dyDescent="0.3">
      <c r="A814" s="94" t="s">
        <v>793</v>
      </c>
      <c r="B814" t="s">
        <v>774</v>
      </c>
      <c r="C814" s="50">
        <v>16650000</v>
      </c>
      <c r="D814" s="95">
        <v>0.09</v>
      </c>
      <c r="E814" s="94">
        <v>46898</v>
      </c>
      <c r="F814" s="50">
        <f t="shared" si="13"/>
        <v>998</v>
      </c>
      <c r="G814" t="str">
        <f>VLOOKUP(F814,T!$A$2:$C$9,3,TRUE)</f>
        <v>6. 1-3 Years</v>
      </c>
    </row>
    <row r="815" spans="1:7" x14ac:dyDescent="0.3">
      <c r="A815" s="94" t="s">
        <v>793</v>
      </c>
      <c r="B815" t="s">
        <v>774</v>
      </c>
      <c r="C815" s="50">
        <v>16650000</v>
      </c>
      <c r="D815" s="95">
        <v>0.09</v>
      </c>
      <c r="E815" s="94">
        <v>46899</v>
      </c>
      <c r="F815" s="50">
        <f t="shared" si="13"/>
        <v>999</v>
      </c>
      <c r="G815" t="str">
        <f>VLOOKUP(F815,T!$A$2:$C$9,3,TRUE)</f>
        <v>6. 1-3 Years</v>
      </c>
    </row>
    <row r="816" spans="1:7" x14ac:dyDescent="0.3">
      <c r="A816" s="94" t="s">
        <v>794</v>
      </c>
      <c r="B816" t="s">
        <v>774</v>
      </c>
      <c r="C816" s="50">
        <v>20833000</v>
      </c>
      <c r="D816" s="95">
        <v>8.0699999999999994E-2</v>
      </c>
      <c r="E816" s="94">
        <v>46899</v>
      </c>
      <c r="F816" s="50">
        <f t="shared" si="13"/>
        <v>999</v>
      </c>
      <c r="G816" t="str">
        <f>VLOOKUP(F816,T!$A$2:$C$9,3,TRUE)</f>
        <v>6. 1-3 Years</v>
      </c>
    </row>
    <row r="817" spans="1:7" x14ac:dyDescent="0.3">
      <c r="A817" s="94" t="s">
        <v>794</v>
      </c>
      <c r="B817" t="s">
        <v>774</v>
      </c>
      <c r="C817" s="50">
        <v>20833000</v>
      </c>
      <c r="D817" s="95">
        <v>8.0699999999999994E-2</v>
      </c>
      <c r="E817" s="94">
        <v>46899</v>
      </c>
      <c r="F817" s="50">
        <f t="shared" si="13"/>
        <v>999</v>
      </c>
      <c r="G817" t="str">
        <f>VLOOKUP(F817,T!$A$2:$C$9,3,TRUE)</f>
        <v>6. 1-3 Years</v>
      </c>
    </row>
    <row r="818" spans="1:7" x14ac:dyDescent="0.3">
      <c r="A818" s="94" t="s">
        <v>794</v>
      </c>
      <c r="B818" t="s">
        <v>774</v>
      </c>
      <c r="C818" s="50">
        <v>20833000</v>
      </c>
      <c r="D818" s="95">
        <v>8.0699999999999994E-2</v>
      </c>
      <c r="E818" s="94">
        <v>46899</v>
      </c>
      <c r="F818" s="50">
        <f t="shared" si="13"/>
        <v>999</v>
      </c>
      <c r="G818" t="str">
        <f>VLOOKUP(F818,T!$A$2:$C$9,3,TRUE)</f>
        <v>6. 1-3 Years</v>
      </c>
    </row>
    <row r="819" spans="1:7" x14ac:dyDescent="0.3">
      <c r="A819" s="94" t="s">
        <v>795</v>
      </c>
      <c r="B819" t="s">
        <v>774</v>
      </c>
      <c r="C819" s="50">
        <v>20833333.333333328</v>
      </c>
      <c r="D819" s="95">
        <v>0.1075</v>
      </c>
      <c r="E819" s="94">
        <v>46900</v>
      </c>
      <c r="F819" s="50">
        <f t="shared" si="13"/>
        <v>1000</v>
      </c>
      <c r="G819" t="str">
        <f>VLOOKUP(F819,T!$A$2:$C$9,3,TRUE)</f>
        <v>6. 1-3 Years</v>
      </c>
    </row>
    <row r="820" spans="1:7" x14ac:dyDescent="0.3">
      <c r="A820" s="94" t="s">
        <v>795</v>
      </c>
      <c r="B820" t="s">
        <v>774</v>
      </c>
      <c r="C820" s="50">
        <v>20833333.333333328</v>
      </c>
      <c r="D820" s="95">
        <v>0.1075</v>
      </c>
      <c r="E820" s="94">
        <v>46900</v>
      </c>
      <c r="F820" s="50">
        <f t="shared" si="13"/>
        <v>1000</v>
      </c>
      <c r="G820" t="str">
        <f>VLOOKUP(F820,T!$A$2:$C$9,3,TRUE)</f>
        <v>6. 1-3 Years</v>
      </c>
    </row>
    <row r="821" spans="1:7" x14ac:dyDescent="0.3">
      <c r="A821" s="94" t="s">
        <v>795</v>
      </c>
      <c r="B821" t="s">
        <v>774</v>
      </c>
      <c r="C821" s="50">
        <v>10416666.66666667</v>
      </c>
      <c r="D821" s="95">
        <v>0.1075</v>
      </c>
      <c r="E821" s="94">
        <v>46900</v>
      </c>
      <c r="F821" s="50">
        <f t="shared" si="13"/>
        <v>1000</v>
      </c>
      <c r="G821" t="str">
        <f>VLOOKUP(F821,T!$A$2:$C$9,3,TRUE)</f>
        <v>6. 1-3 Years</v>
      </c>
    </row>
    <row r="822" spans="1:7" x14ac:dyDescent="0.3">
      <c r="A822" s="94" t="s">
        <v>795</v>
      </c>
      <c r="B822" t="s">
        <v>774</v>
      </c>
      <c r="C822" s="50">
        <v>10416666.66666667</v>
      </c>
      <c r="D822" s="95">
        <v>0.1075</v>
      </c>
      <c r="E822" s="94">
        <v>46900</v>
      </c>
      <c r="F822" s="50">
        <f t="shared" si="13"/>
        <v>1000</v>
      </c>
      <c r="G822" t="str">
        <f>VLOOKUP(F822,T!$A$2:$C$9,3,TRUE)</f>
        <v>6. 1-3 Years</v>
      </c>
    </row>
    <row r="823" spans="1:7" x14ac:dyDescent="0.3">
      <c r="A823" s="94" t="s">
        <v>800</v>
      </c>
      <c r="B823" t="s">
        <v>774</v>
      </c>
      <c r="C823" s="50">
        <v>50000000</v>
      </c>
      <c r="D823" s="95">
        <v>9.8500000000000004E-2</v>
      </c>
      <c r="E823" s="94">
        <v>46901</v>
      </c>
      <c r="F823" s="50">
        <f t="shared" si="13"/>
        <v>1001</v>
      </c>
      <c r="G823" t="str">
        <f>VLOOKUP(F823,T!$A$2:$C$9,3,TRUE)</f>
        <v>6. 1-3 Years</v>
      </c>
    </row>
    <row r="824" spans="1:7" x14ac:dyDescent="0.3">
      <c r="A824" s="94" t="s">
        <v>780</v>
      </c>
      <c r="B824" t="s">
        <v>774</v>
      </c>
      <c r="C824" s="50">
        <v>16666666.470000001</v>
      </c>
      <c r="D824" s="95">
        <v>8.0199999999999994E-2</v>
      </c>
      <c r="E824" s="94">
        <v>46902</v>
      </c>
      <c r="F824" s="50">
        <f t="shared" si="13"/>
        <v>1002</v>
      </c>
      <c r="G824" t="str">
        <f>VLOOKUP(F824,T!$A$2:$C$9,3,TRUE)</f>
        <v>6. 1-3 Years</v>
      </c>
    </row>
    <row r="825" spans="1:7" x14ac:dyDescent="0.3">
      <c r="A825" s="94" t="s">
        <v>797</v>
      </c>
      <c r="B825" t="s">
        <v>774</v>
      </c>
      <c r="C825" s="50">
        <v>8250000</v>
      </c>
      <c r="D825" s="95">
        <v>0.12</v>
      </c>
      <c r="E825" s="94">
        <v>46904</v>
      </c>
      <c r="F825" s="50">
        <f t="shared" si="13"/>
        <v>1004</v>
      </c>
      <c r="G825" t="str">
        <f>VLOOKUP(F825,T!$A$2:$C$9,3,TRUE)</f>
        <v>6. 1-3 Years</v>
      </c>
    </row>
    <row r="826" spans="1:7" x14ac:dyDescent="0.3">
      <c r="A826" s="94" t="s">
        <v>797</v>
      </c>
      <c r="B826" t="s">
        <v>774</v>
      </c>
      <c r="C826" s="50">
        <v>8250000</v>
      </c>
      <c r="D826" s="95">
        <v>0.12</v>
      </c>
      <c r="E826" s="94">
        <v>46904</v>
      </c>
      <c r="F826" s="50">
        <f t="shared" si="13"/>
        <v>1004</v>
      </c>
      <c r="G826" t="str">
        <f>VLOOKUP(F826,T!$A$2:$C$9,3,TRUE)</f>
        <v>6. 1-3 Years</v>
      </c>
    </row>
    <row r="827" spans="1:7" x14ac:dyDescent="0.3">
      <c r="A827" s="94" t="s">
        <v>797</v>
      </c>
      <c r="B827" t="s">
        <v>774</v>
      </c>
      <c r="C827" s="50">
        <v>8250000</v>
      </c>
      <c r="D827" s="95">
        <v>0.12</v>
      </c>
      <c r="E827" s="94">
        <v>46904</v>
      </c>
      <c r="F827" s="50">
        <f t="shared" si="13"/>
        <v>1004</v>
      </c>
      <c r="G827" t="str">
        <f>VLOOKUP(F827,T!$A$2:$C$9,3,TRUE)</f>
        <v>6. 1-3 Years</v>
      </c>
    </row>
    <row r="828" spans="1:7" x14ac:dyDescent="0.3">
      <c r="A828" s="94" t="s">
        <v>797</v>
      </c>
      <c r="B828" t="s">
        <v>774</v>
      </c>
      <c r="C828" s="50">
        <v>8250000</v>
      </c>
      <c r="D828" s="95">
        <v>0.12</v>
      </c>
      <c r="E828" s="94">
        <v>46904</v>
      </c>
      <c r="F828" s="50">
        <f t="shared" si="13"/>
        <v>1004</v>
      </c>
      <c r="G828" t="str">
        <f>VLOOKUP(F828,T!$A$2:$C$9,3,TRUE)</f>
        <v>6. 1-3 Years</v>
      </c>
    </row>
    <row r="829" spans="1:7" x14ac:dyDescent="0.3">
      <c r="A829" s="94" t="s">
        <v>773</v>
      </c>
      <c r="B829" t="s">
        <v>774</v>
      </c>
      <c r="C829" s="50">
        <v>50000000</v>
      </c>
      <c r="D829" s="95">
        <v>0.12</v>
      </c>
      <c r="E829" s="94">
        <v>46917</v>
      </c>
      <c r="F829" s="50">
        <f t="shared" si="13"/>
        <v>1017</v>
      </c>
      <c r="G829" t="str">
        <f>VLOOKUP(F829,T!$A$2:$C$9,3,TRUE)</f>
        <v>6. 1-3 Years</v>
      </c>
    </row>
    <row r="830" spans="1:7" x14ac:dyDescent="0.3">
      <c r="A830" s="94" t="s">
        <v>773</v>
      </c>
      <c r="B830" t="s">
        <v>774</v>
      </c>
      <c r="C830" s="50">
        <v>25000000</v>
      </c>
      <c r="D830" s="95">
        <v>0.12</v>
      </c>
      <c r="E830" s="94">
        <v>46918</v>
      </c>
      <c r="F830" s="50">
        <f t="shared" si="13"/>
        <v>1018</v>
      </c>
      <c r="G830" t="str">
        <f>VLOOKUP(F830,T!$A$2:$C$9,3,TRUE)</f>
        <v>6. 1-3 Years</v>
      </c>
    </row>
    <row r="831" spans="1:7" x14ac:dyDescent="0.3">
      <c r="A831" s="94" t="s">
        <v>780</v>
      </c>
      <c r="B831" t="s">
        <v>774</v>
      </c>
      <c r="C831" s="50">
        <v>16666666.67</v>
      </c>
      <c r="D831" s="95">
        <v>8.0199999999999994E-2</v>
      </c>
      <c r="E831" s="94">
        <v>46919</v>
      </c>
      <c r="F831" s="50">
        <f t="shared" si="13"/>
        <v>1019</v>
      </c>
      <c r="G831" t="str">
        <f>VLOOKUP(F831,T!$A$2:$C$9,3,TRUE)</f>
        <v>6. 1-3 Years</v>
      </c>
    </row>
    <row r="832" spans="1:7" x14ac:dyDescent="0.3">
      <c r="A832" s="94" t="s">
        <v>785</v>
      </c>
      <c r="B832" t="s">
        <v>774</v>
      </c>
      <c r="C832" s="50">
        <v>25000000</v>
      </c>
      <c r="D832" s="95">
        <v>8.0199999999999994E-2</v>
      </c>
      <c r="E832" s="94">
        <v>46922</v>
      </c>
      <c r="F832" s="50">
        <f t="shared" si="13"/>
        <v>1022</v>
      </c>
      <c r="G832" t="str">
        <f>VLOOKUP(F832,T!$A$2:$C$9,3,TRUE)</f>
        <v>6. 1-3 Years</v>
      </c>
    </row>
    <row r="833" spans="1:7" x14ac:dyDescent="0.3">
      <c r="A833" s="94" t="s">
        <v>790</v>
      </c>
      <c r="B833" t="s">
        <v>774</v>
      </c>
      <c r="C833" s="50">
        <v>19302972.379999999</v>
      </c>
      <c r="D833" s="95">
        <v>0.12</v>
      </c>
      <c r="E833" s="94">
        <v>46923</v>
      </c>
      <c r="F833" s="50">
        <f t="shared" si="13"/>
        <v>1023</v>
      </c>
      <c r="G833" t="str">
        <f>VLOOKUP(F833,T!$A$2:$C$9,3,TRUE)</f>
        <v>6. 1-3 Years</v>
      </c>
    </row>
    <row r="834" spans="1:7" x14ac:dyDescent="0.3">
      <c r="A834" s="94" t="s">
        <v>792</v>
      </c>
      <c r="B834" t="s">
        <v>774</v>
      </c>
      <c r="C834" s="50">
        <v>20800000</v>
      </c>
      <c r="D834" s="95">
        <v>0.1075</v>
      </c>
      <c r="E834" s="94">
        <v>46926</v>
      </c>
      <c r="F834" s="50">
        <f t="shared" si="13"/>
        <v>1026</v>
      </c>
      <c r="G834" t="str">
        <f>VLOOKUP(F834,T!$A$2:$C$9,3,TRUE)</f>
        <v>6. 1-3 Years</v>
      </c>
    </row>
    <row r="835" spans="1:7" x14ac:dyDescent="0.3">
      <c r="A835" s="94" t="s">
        <v>792</v>
      </c>
      <c r="B835" t="s">
        <v>774</v>
      </c>
      <c r="C835" s="50">
        <v>20800000</v>
      </c>
      <c r="D835" s="95">
        <v>0.1075</v>
      </c>
      <c r="E835" s="94">
        <v>46928</v>
      </c>
      <c r="F835" s="50">
        <f t="shared" ref="F835:F898" si="14">E835-$F$1</f>
        <v>1028</v>
      </c>
      <c r="G835" t="str">
        <f>VLOOKUP(F835,T!$A$2:$C$9,3,TRUE)</f>
        <v>6. 1-3 Years</v>
      </c>
    </row>
    <row r="836" spans="1:7" x14ac:dyDescent="0.3">
      <c r="A836" s="94" t="s">
        <v>793</v>
      </c>
      <c r="B836" t="s">
        <v>774</v>
      </c>
      <c r="C836" s="50">
        <v>16650000</v>
      </c>
      <c r="D836" s="95">
        <v>0.09</v>
      </c>
      <c r="E836" s="94">
        <v>46929</v>
      </c>
      <c r="F836" s="50">
        <f t="shared" si="14"/>
        <v>1029</v>
      </c>
      <c r="G836" t="str">
        <f>VLOOKUP(F836,T!$A$2:$C$9,3,TRUE)</f>
        <v>6. 1-3 Years</v>
      </c>
    </row>
    <row r="837" spans="1:7" x14ac:dyDescent="0.3">
      <c r="A837" s="94" t="s">
        <v>793</v>
      </c>
      <c r="B837" t="s">
        <v>774</v>
      </c>
      <c r="C837" s="50">
        <v>16650000</v>
      </c>
      <c r="D837" s="95">
        <v>0.09</v>
      </c>
      <c r="E837" s="94">
        <v>46930</v>
      </c>
      <c r="F837" s="50">
        <f t="shared" si="14"/>
        <v>1030</v>
      </c>
      <c r="G837" t="str">
        <f>VLOOKUP(F837,T!$A$2:$C$9,3,TRUE)</f>
        <v>6. 1-3 Years</v>
      </c>
    </row>
    <row r="838" spans="1:7" x14ac:dyDescent="0.3">
      <c r="A838" s="94" t="s">
        <v>794</v>
      </c>
      <c r="B838" t="s">
        <v>774</v>
      </c>
      <c r="C838" s="50">
        <v>20833000</v>
      </c>
      <c r="D838" s="95">
        <v>8.0699999999999994E-2</v>
      </c>
      <c r="E838" s="94">
        <v>46930</v>
      </c>
      <c r="F838" s="50">
        <f t="shared" si="14"/>
        <v>1030</v>
      </c>
      <c r="G838" t="str">
        <f>VLOOKUP(F838,T!$A$2:$C$9,3,TRUE)</f>
        <v>6. 1-3 Years</v>
      </c>
    </row>
    <row r="839" spans="1:7" x14ac:dyDescent="0.3">
      <c r="A839" s="94" t="s">
        <v>794</v>
      </c>
      <c r="B839" t="s">
        <v>774</v>
      </c>
      <c r="C839" s="50">
        <v>20833000</v>
      </c>
      <c r="D839" s="95">
        <v>8.0699999999999994E-2</v>
      </c>
      <c r="E839" s="94">
        <v>46930</v>
      </c>
      <c r="F839" s="50">
        <f t="shared" si="14"/>
        <v>1030</v>
      </c>
      <c r="G839" t="str">
        <f>VLOOKUP(F839,T!$A$2:$C$9,3,TRUE)</f>
        <v>6. 1-3 Years</v>
      </c>
    </row>
    <row r="840" spans="1:7" x14ac:dyDescent="0.3">
      <c r="A840" s="94" t="s">
        <v>794</v>
      </c>
      <c r="B840" t="s">
        <v>774</v>
      </c>
      <c r="C840" s="50">
        <v>20833000</v>
      </c>
      <c r="D840" s="95">
        <v>8.0699999999999994E-2</v>
      </c>
      <c r="E840" s="94">
        <v>46930</v>
      </c>
      <c r="F840" s="50">
        <f t="shared" si="14"/>
        <v>1030</v>
      </c>
      <c r="G840" t="str">
        <f>VLOOKUP(F840,T!$A$2:$C$9,3,TRUE)</f>
        <v>6. 1-3 Years</v>
      </c>
    </row>
    <row r="841" spans="1:7" x14ac:dyDescent="0.3">
      <c r="A841" s="94" t="s">
        <v>795</v>
      </c>
      <c r="B841" t="s">
        <v>774</v>
      </c>
      <c r="C841" s="50">
        <v>20833333.333333328</v>
      </c>
      <c r="D841" s="95">
        <v>0.1075</v>
      </c>
      <c r="E841" s="94">
        <v>46931</v>
      </c>
      <c r="F841" s="50">
        <f t="shared" si="14"/>
        <v>1031</v>
      </c>
      <c r="G841" t="str">
        <f>VLOOKUP(F841,T!$A$2:$C$9,3,TRUE)</f>
        <v>6. 1-3 Years</v>
      </c>
    </row>
    <row r="842" spans="1:7" x14ac:dyDescent="0.3">
      <c r="A842" s="94" t="s">
        <v>795</v>
      </c>
      <c r="B842" t="s">
        <v>774</v>
      </c>
      <c r="C842" s="50">
        <v>20833333.333333328</v>
      </c>
      <c r="D842" s="95">
        <v>0.1075</v>
      </c>
      <c r="E842" s="94">
        <v>46931</v>
      </c>
      <c r="F842" s="50">
        <f t="shared" si="14"/>
        <v>1031</v>
      </c>
      <c r="G842" t="str">
        <f>VLOOKUP(F842,T!$A$2:$C$9,3,TRUE)</f>
        <v>6. 1-3 Years</v>
      </c>
    </row>
    <row r="843" spans="1:7" x14ac:dyDescent="0.3">
      <c r="A843" s="94" t="s">
        <v>795</v>
      </c>
      <c r="B843" t="s">
        <v>774</v>
      </c>
      <c r="C843" s="50">
        <v>10416666.66666667</v>
      </c>
      <c r="D843" s="95">
        <v>0.1075</v>
      </c>
      <c r="E843" s="94">
        <v>46931</v>
      </c>
      <c r="F843" s="50">
        <f t="shared" si="14"/>
        <v>1031</v>
      </c>
      <c r="G843" t="str">
        <f>VLOOKUP(F843,T!$A$2:$C$9,3,TRUE)</f>
        <v>6. 1-3 Years</v>
      </c>
    </row>
    <row r="844" spans="1:7" x14ac:dyDescent="0.3">
      <c r="A844" s="94" t="s">
        <v>795</v>
      </c>
      <c r="B844" t="s">
        <v>774</v>
      </c>
      <c r="C844" s="50">
        <v>10416666.66666667</v>
      </c>
      <c r="D844" s="95">
        <v>0.1075</v>
      </c>
      <c r="E844" s="94">
        <v>46931</v>
      </c>
      <c r="F844" s="50">
        <f t="shared" si="14"/>
        <v>1031</v>
      </c>
      <c r="G844" t="str">
        <f>VLOOKUP(F844,T!$A$2:$C$9,3,TRUE)</f>
        <v>6. 1-3 Years</v>
      </c>
    </row>
    <row r="845" spans="1:7" x14ac:dyDescent="0.3">
      <c r="A845" s="94" t="s">
        <v>780</v>
      </c>
      <c r="B845" t="s">
        <v>774</v>
      </c>
      <c r="C845" s="50">
        <v>16666666.470000001</v>
      </c>
      <c r="D845" s="95">
        <v>8.0199999999999994E-2</v>
      </c>
      <c r="E845" s="94">
        <v>46933</v>
      </c>
      <c r="F845" s="50">
        <f t="shared" si="14"/>
        <v>1033</v>
      </c>
      <c r="G845" t="str">
        <f>VLOOKUP(F845,T!$A$2:$C$9,3,TRUE)</f>
        <v>6. 1-3 Years</v>
      </c>
    </row>
    <row r="846" spans="1:7" x14ac:dyDescent="0.3">
      <c r="A846" s="94" t="s">
        <v>797</v>
      </c>
      <c r="B846" t="s">
        <v>774</v>
      </c>
      <c r="C846" s="50">
        <v>8250000</v>
      </c>
      <c r="D846" s="95">
        <v>0.12</v>
      </c>
      <c r="E846" s="94">
        <v>46934</v>
      </c>
      <c r="F846" s="50">
        <f t="shared" si="14"/>
        <v>1034</v>
      </c>
      <c r="G846" t="str">
        <f>VLOOKUP(F846,T!$A$2:$C$9,3,TRUE)</f>
        <v>6. 1-3 Years</v>
      </c>
    </row>
    <row r="847" spans="1:7" x14ac:dyDescent="0.3">
      <c r="A847" s="94" t="s">
        <v>797</v>
      </c>
      <c r="B847" t="s">
        <v>774</v>
      </c>
      <c r="C847" s="50">
        <v>8250000</v>
      </c>
      <c r="D847" s="95">
        <v>0.12</v>
      </c>
      <c r="E847" s="94">
        <v>46934</v>
      </c>
      <c r="F847" s="50">
        <f t="shared" si="14"/>
        <v>1034</v>
      </c>
      <c r="G847" t="str">
        <f>VLOOKUP(F847,T!$A$2:$C$9,3,TRUE)</f>
        <v>6. 1-3 Years</v>
      </c>
    </row>
    <row r="848" spans="1:7" x14ac:dyDescent="0.3">
      <c r="A848" s="94" t="s">
        <v>797</v>
      </c>
      <c r="B848" t="s">
        <v>774</v>
      </c>
      <c r="C848" s="50">
        <v>8250000</v>
      </c>
      <c r="D848" s="95">
        <v>0.12</v>
      </c>
      <c r="E848" s="94">
        <v>46934</v>
      </c>
      <c r="F848" s="50">
        <f t="shared" si="14"/>
        <v>1034</v>
      </c>
      <c r="G848" t="str">
        <f>VLOOKUP(F848,T!$A$2:$C$9,3,TRUE)</f>
        <v>6. 1-3 Years</v>
      </c>
    </row>
    <row r="849" spans="1:7" x14ac:dyDescent="0.3">
      <c r="A849" s="94" t="s">
        <v>797</v>
      </c>
      <c r="B849" t="s">
        <v>774</v>
      </c>
      <c r="C849" s="50">
        <v>8250000</v>
      </c>
      <c r="D849" s="95">
        <v>0.12</v>
      </c>
      <c r="E849" s="94">
        <v>46934</v>
      </c>
      <c r="F849" s="50">
        <f t="shared" si="14"/>
        <v>1034</v>
      </c>
      <c r="G849" t="str">
        <f>VLOOKUP(F849,T!$A$2:$C$9,3,TRUE)</f>
        <v>6. 1-3 Years</v>
      </c>
    </row>
    <row r="850" spans="1:7" x14ac:dyDescent="0.3">
      <c r="A850" s="94" t="s">
        <v>780</v>
      </c>
      <c r="B850" t="s">
        <v>774</v>
      </c>
      <c r="C850" s="50">
        <v>16666666.67</v>
      </c>
      <c r="D850" s="95">
        <v>8.0199999999999994E-2</v>
      </c>
      <c r="E850" s="94">
        <v>46949</v>
      </c>
      <c r="F850" s="50">
        <f t="shared" si="14"/>
        <v>1049</v>
      </c>
      <c r="G850" t="str">
        <f>VLOOKUP(F850,T!$A$2:$C$9,3,TRUE)</f>
        <v>6. 1-3 Years</v>
      </c>
    </row>
    <row r="851" spans="1:7" x14ac:dyDescent="0.3">
      <c r="A851" s="94" t="s">
        <v>785</v>
      </c>
      <c r="B851" t="s">
        <v>774</v>
      </c>
      <c r="C851" s="50">
        <v>25000000</v>
      </c>
      <c r="D851" s="95">
        <v>8.0199999999999994E-2</v>
      </c>
      <c r="E851" s="94">
        <v>46952</v>
      </c>
      <c r="F851" s="50">
        <f t="shared" si="14"/>
        <v>1052</v>
      </c>
      <c r="G851" t="str">
        <f>VLOOKUP(F851,T!$A$2:$C$9,3,TRUE)</f>
        <v>6. 1-3 Years</v>
      </c>
    </row>
    <row r="852" spans="1:7" x14ac:dyDescent="0.3">
      <c r="A852" s="94" t="s">
        <v>790</v>
      </c>
      <c r="B852" t="s">
        <v>774</v>
      </c>
      <c r="C852" s="50">
        <v>19587723.879999999</v>
      </c>
      <c r="D852" s="95">
        <v>0.12</v>
      </c>
      <c r="E852" s="94">
        <v>46953</v>
      </c>
      <c r="F852" s="50">
        <f t="shared" si="14"/>
        <v>1053</v>
      </c>
      <c r="G852" t="str">
        <f>VLOOKUP(F852,T!$A$2:$C$9,3,TRUE)</f>
        <v>6. 1-3 Years</v>
      </c>
    </row>
    <row r="853" spans="1:7" x14ac:dyDescent="0.3">
      <c r="A853" s="94" t="s">
        <v>792</v>
      </c>
      <c r="B853" t="s">
        <v>774</v>
      </c>
      <c r="C853" s="50">
        <v>20800000</v>
      </c>
      <c r="D853" s="95">
        <v>0.1075</v>
      </c>
      <c r="E853" s="94">
        <v>46956</v>
      </c>
      <c r="F853" s="50">
        <f t="shared" si="14"/>
        <v>1056</v>
      </c>
      <c r="G853" t="str">
        <f>VLOOKUP(F853,T!$A$2:$C$9,3,TRUE)</f>
        <v>6. 1-3 Years</v>
      </c>
    </row>
    <row r="854" spans="1:7" x14ac:dyDescent="0.3">
      <c r="A854" s="94" t="s">
        <v>799</v>
      </c>
      <c r="B854" t="s">
        <v>774</v>
      </c>
      <c r="C854" s="50">
        <v>50000000</v>
      </c>
      <c r="D854" s="95">
        <v>0.12</v>
      </c>
      <c r="E854" s="94">
        <v>46957</v>
      </c>
      <c r="F854" s="50">
        <f t="shared" si="14"/>
        <v>1057</v>
      </c>
      <c r="G854" t="str">
        <f>VLOOKUP(F854,T!$A$2:$C$9,3,TRUE)</f>
        <v>6. 1-3 Years</v>
      </c>
    </row>
    <row r="855" spans="1:7" x14ac:dyDescent="0.3">
      <c r="A855" s="94" t="s">
        <v>799</v>
      </c>
      <c r="B855" t="s">
        <v>774</v>
      </c>
      <c r="C855" s="50">
        <v>50000000</v>
      </c>
      <c r="D855" s="95">
        <v>0.12</v>
      </c>
      <c r="E855" s="94">
        <v>46957</v>
      </c>
      <c r="F855" s="50">
        <f t="shared" si="14"/>
        <v>1057</v>
      </c>
      <c r="G855" t="str">
        <f>VLOOKUP(F855,T!$A$2:$C$9,3,TRUE)</f>
        <v>6. 1-3 Years</v>
      </c>
    </row>
    <row r="856" spans="1:7" x14ac:dyDescent="0.3">
      <c r="A856" s="94" t="s">
        <v>799</v>
      </c>
      <c r="B856" t="s">
        <v>774</v>
      </c>
      <c r="C856" s="50">
        <v>50000000</v>
      </c>
      <c r="D856" s="95">
        <v>0.12</v>
      </c>
      <c r="E856" s="94">
        <v>46957</v>
      </c>
      <c r="F856" s="50">
        <f t="shared" si="14"/>
        <v>1057</v>
      </c>
      <c r="G856" t="str">
        <f>VLOOKUP(F856,T!$A$2:$C$9,3,TRUE)</f>
        <v>6. 1-3 Years</v>
      </c>
    </row>
    <row r="857" spans="1:7" x14ac:dyDescent="0.3">
      <c r="A857" s="94" t="s">
        <v>792</v>
      </c>
      <c r="B857" t="s">
        <v>774</v>
      </c>
      <c r="C857" s="50">
        <v>20800000</v>
      </c>
      <c r="D857" s="95">
        <v>0.1075</v>
      </c>
      <c r="E857" s="94">
        <v>46958</v>
      </c>
      <c r="F857" s="50">
        <f t="shared" si="14"/>
        <v>1058</v>
      </c>
      <c r="G857" t="str">
        <f>VLOOKUP(F857,T!$A$2:$C$9,3,TRUE)</f>
        <v>6. 1-3 Years</v>
      </c>
    </row>
    <row r="858" spans="1:7" x14ac:dyDescent="0.3">
      <c r="A858" s="94" t="s">
        <v>793</v>
      </c>
      <c r="B858" t="s">
        <v>774</v>
      </c>
      <c r="C858" s="50">
        <v>16650000</v>
      </c>
      <c r="D858" s="95">
        <v>0.09</v>
      </c>
      <c r="E858" s="94">
        <v>46959</v>
      </c>
      <c r="F858" s="50">
        <f t="shared" si="14"/>
        <v>1059</v>
      </c>
      <c r="G858" t="str">
        <f>VLOOKUP(F858,T!$A$2:$C$9,3,TRUE)</f>
        <v>6. 1-3 Years</v>
      </c>
    </row>
    <row r="859" spans="1:7" x14ac:dyDescent="0.3">
      <c r="A859" s="94" t="s">
        <v>793</v>
      </c>
      <c r="B859" t="s">
        <v>774</v>
      </c>
      <c r="C859" s="50">
        <v>16650000</v>
      </c>
      <c r="D859" s="95">
        <v>0.09</v>
      </c>
      <c r="E859" s="94">
        <v>46960</v>
      </c>
      <c r="F859" s="50">
        <f t="shared" si="14"/>
        <v>1060</v>
      </c>
      <c r="G859" t="str">
        <f>VLOOKUP(F859,T!$A$2:$C$9,3,TRUE)</f>
        <v>6. 1-3 Years</v>
      </c>
    </row>
    <row r="860" spans="1:7" x14ac:dyDescent="0.3">
      <c r="A860" s="94" t="s">
        <v>794</v>
      </c>
      <c r="B860" t="s">
        <v>774</v>
      </c>
      <c r="C860" s="50">
        <v>20833000</v>
      </c>
      <c r="D860" s="95">
        <v>8.0699999999999994E-2</v>
      </c>
      <c r="E860" s="94">
        <v>46960</v>
      </c>
      <c r="F860" s="50">
        <f t="shared" si="14"/>
        <v>1060</v>
      </c>
      <c r="G860" t="str">
        <f>VLOOKUP(F860,T!$A$2:$C$9,3,TRUE)</f>
        <v>6. 1-3 Years</v>
      </c>
    </row>
    <row r="861" spans="1:7" x14ac:dyDescent="0.3">
      <c r="A861" s="94" t="s">
        <v>794</v>
      </c>
      <c r="B861" t="s">
        <v>774</v>
      </c>
      <c r="C861" s="50">
        <v>20833000</v>
      </c>
      <c r="D861" s="95">
        <v>8.0699999999999994E-2</v>
      </c>
      <c r="E861" s="94">
        <v>46960</v>
      </c>
      <c r="F861" s="50">
        <f t="shared" si="14"/>
        <v>1060</v>
      </c>
      <c r="G861" t="str">
        <f>VLOOKUP(F861,T!$A$2:$C$9,3,TRUE)</f>
        <v>6. 1-3 Years</v>
      </c>
    </row>
    <row r="862" spans="1:7" x14ac:dyDescent="0.3">
      <c r="A862" s="94" t="s">
        <v>794</v>
      </c>
      <c r="B862" t="s">
        <v>774</v>
      </c>
      <c r="C862" s="50">
        <v>20833000</v>
      </c>
      <c r="D862" s="95">
        <v>8.0699999999999994E-2</v>
      </c>
      <c r="E862" s="94">
        <v>46960</v>
      </c>
      <c r="F862" s="50">
        <f t="shared" si="14"/>
        <v>1060</v>
      </c>
      <c r="G862" t="str">
        <f>VLOOKUP(F862,T!$A$2:$C$9,3,TRUE)</f>
        <v>6. 1-3 Years</v>
      </c>
    </row>
    <row r="863" spans="1:7" x14ac:dyDescent="0.3">
      <c r="A863" s="94" t="s">
        <v>795</v>
      </c>
      <c r="B863" t="s">
        <v>774</v>
      </c>
      <c r="C863" s="50">
        <v>20833333.333333328</v>
      </c>
      <c r="D863" s="95">
        <v>0.1075</v>
      </c>
      <c r="E863" s="94">
        <v>46961</v>
      </c>
      <c r="F863" s="50">
        <f t="shared" si="14"/>
        <v>1061</v>
      </c>
      <c r="G863" t="str">
        <f>VLOOKUP(F863,T!$A$2:$C$9,3,TRUE)</f>
        <v>6. 1-3 Years</v>
      </c>
    </row>
    <row r="864" spans="1:7" x14ac:dyDescent="0.3">
      <c r="A864" s="94" t="s">
        <v>795</v>
      </c>
      <c r="B864" t="s">
        <v>774</v>
      </c>
      <c r="C864" s="50">
        <v>20833333.333333328</v>
      </c>
      <c r="D864" s="95">
        <v>0.1075</v>
      </c>
      <c r="E864" s="94">
        <v>46961</v>
      </c>
      <c r="F864" s="50">
        <f t="shared" si="14"/>
        <v>1061</v>
      </c>
      <c r="G864" t="str">
        <f>VLOOKUP(F864,T!$A$2:$C$9,3,TRUE)</f>
        <v>6. 1-3 Years</v>
      </c>
    </row>
    <row r="865" spans="1:7" x14ac:dyDescent="0.3">
      <c r="A865" s="94" t="s">
        <v>795</v>
      </c>
      <c r="B865" t="s">
        <v>774</v>
      </c>
      <c r="C865" s="50">
        <v>10416666.66666667</v>
      </c>
      <c r="D865" s="95">
        <v>0.1075</v>
      </c>
      <c r="E865" s="94">
        <v>46961</v>
      </c>
      <c r="F865" s="50">
        <f t="shared" si="14"/>
        <v>1061</v>
      </c>
      <c r="G865" t="str">
        <f>VLOOKUP(F865,T!$A$2:$C$9,3,TRUE)</f>
        <v>6. 1-3 Years</v>
      </c>
    </row>
    <row r="866" spans="1:7" x14ac:dyDescent="0.3">
      <c r="A866" s="94" t="s">
        <v>795</v>
      </c>
      <c r="B866" t="s">
        <v>774</v>
      </c>
      <c r="C866" s="50">
        <v>10416666.66666667</v>
      </c>
      <c r="D866" s="95">
        <v>0.1075</v>
      </c>
      <c r="E866" s="94">
        <v>46961</v>
      </c>
      <c r="F866" s="50">
        <f t="shared" si="14"/>
        <v>1061</v>
      </c>
      <c r="G866" t="str">
        <f>VLOOKUP(F866,T!$A$2:$C$9,3,TRUE)</f>
        <v>6. 1-3 Years</v>
      </c>
    </row>
    <row r="867" spans="1:7" x14ac:dyDescent="0.3">
      <c r="A867" s="94" t="s">
        <v>780</v>
      </c>
      <c r="B867" t="s">
        <v>774</v>
      </c>
      <c r="C867" s="50">
        <v>16666666.470000001</v>
      </c>
      <c r="D867" s="95">
        <v>8.0199999999999994E-2</v>
      </c>
      <c r="E867" s="94">
        <v>46963</v>
      </c>
      <c r="F867" s="50">
        <f t="shared" si="14"/>
        <v>1063</v>
      </c>
      <c r="G867" t="str">
        <f>VLOOKUP(F867,T!$A$2:$C$9,3,TRUE)</f>
        <v>6. 1-3 Years</v>
      </c>
    </row>
    <row r="868" spans="1:7" x14ac:dyDescent="0.3">
      <c r="A868" s="94" t="s">
        <v>797</v>
      </c>
      <c r="B868" t="s">
        <v>774</v>
      </c>
      <c r="C868" s="50">
        <v>8250000</v>
      </c>
      <c r="D868" s="95">
        <v>0.12</v>
      </c>
      <c r="E868" s="94">
        <v>46965</v>
      </c>
      <c r="F868" s="50">
        <f t="shared" si="14"/>
        <v>1065</v>
      </c>
      <c r="G868" t="str">
        <f>VLOOKUP(F868,T!$A$2:$C$9,3,TRUE)</f>
        <v>6. 1-3 Years</v>
      </c>
    </row>
    <row r="869" spans="1:7" x14ac:dyDescent="0.3">
      <c r="A869" s="94" t="s">
        <v>797</v>
      </c>
      <c r="B869" t="s">
        <v>774</v>
      </c>
      <c r="C869" s="50">
        <v>8250000</v>
      </c>
      <c r="D869" s="95">
        <v>0.12</v>
      </c>
      <c r="E869" s="94">
        <v>46965</v>
      </c>
      <c r="F869" s="50">
        <f t="shared" si="14"/>
        <v>1065</v>
      </c>
      <c r="G869" t="str">
        <f>VLOOKUP(F869,T!$A$2:$C$9,3,TRUE)</f>
        <v>6. 1-3 Years</v>
      </c>
    </row>
    <row r="870" spans="1:7" x14ac:dyDescent="0.3">
      <c r="A870" s="94" t="s">
        <v>797</v>
      </c>
      <c r="B870" t="s">
        <v>774</v>
      </c>
      <c r="C870" s="50">
        <v>8250000</v>
      </c>
      <c r="D870" s="95">
        <v>0.12</v>
      </c>
      <c r="E870" s="94">
        <v>46965</v>
      </c>
      <c r="F870" s="50">
        <f t="shared" si="14"/>
        <v>1065</v>
      </c>
      <c r="G870" t="str">
        <f>VLOOKUP(F870,T!$A$2:$C$9,3,TRUE)</f>
        <v>6. 1-3 Years</v>
      </c>
    </row>
    <row r="871" spans="1:7" x14ac:dyDescent="0.3">
      <c r="A871" s="94" t="s">
        <v>797</v>
      </c>
      <c r="B871" t="s">
        <v>774</v>
      </c>
      <c r="C871" s="50">
        <v>8250000</v>
      </c>
      <c r="D871" s="95">
        <v>0.12</v>
      </c>
      <c r="E871" s="94">
        <v>46965</v>
      </c>
      <c r="F871" s="50">
        <f t="shared" si="14"/>
        <v>1065</v>
      </c>
      <c r="G871" t="str">
        <f>VLOOKUP(F871,T!$A$2:$C$9,3,TRUE)</f>
        <v>6. 1-3 Years</v>
      </c>
    </row>
    <row r="872" spans="1:7" x14ac:dyDescent="0.3">
      <c r="A872" s="94" t="s">
        <v>780</v>
      </c>
      <c r="B872" t="s">
        <v>774</v>
      </c>
      <c r="C872" s="50">
        <v>16666666.67</v>
      </c>
      <c r="D872" s="95">
        <v>8.0199999999999994E-2</v>
      </c>
      <c r="E872" s="94">
        <v>46980</v>
      </c>
      <c r="F872" s="50">
        <f t="shared" si="14"/>
        <v>1080</v>
      </c>
      <c r="G872" t="str">
        <f>VLOOKUP(F872,T!$A$2:$C$9,3,TRUE)</f>
        <v>6. 1-3 Years</v>
      </c>
    </row>
    <row r="873" spans="1:7" x14ac:dyDescent="0.3">
      <c r="A873" s="94" t="s">
        <v>785</v>
      </c>
      <c r="B873" t="s">
        <v>774</v>
      </c>
      <c r="C873" s="50">
        <v>25000000</v>
      </c>
      <c r="D873" s="95">
        <v>8.0199999999999994E-2</v>
      </c>
      <c r="E873" s="94">
        <v>46983</v>
      </c>
      <c r="F873" s="50">
        <f t="shared" si="14"/>
        <v>1083</v>
      </c>
      <c r="G873" t="str">
        <f>VLOOKUP(F873,T!$A$2:$C$9,3,TRUE)</f>
        <v>6. 1-3 Years</v>
      </c>
    </row>
    <row r="874" spans="1:7" x14ac:dyDescent="0.3">
      <c r="A874" s="94" t="s">
        <v>790</v>
      </c>
      <c r="B874" t="s">
        <v>774</v>
      </c>
      <c r="C874" s="50">
        <v>19698254.93</v>
      </c>
      <c r="D874" s="95">
        <v>0.12</v>
      </c>
      <c r="E874" s="94">
        <v>46984</v>
      </c>
      <c r="F874" s="50">
        <f t="shared" si="14"/>
        <v>1084</v>
      </c>
      <c r="G874" t="str">
        <f>VLOOKUP(F874,T!$A$2:$C$9,3,TRUE)</f>
        <v>6. 1-3 Years</v>
      </c>
    </row>
    <row r="875" spans="1:7" x14ac:dyDescent="0.3">
      <c r="A875" s="94" t="s">
        <v>800</v>
      </c>
      <c r="B875" t="s">
        <v>774</v>
      </c>
      <c r="C875" s="50">
        <v>50000000</v>
      </c>
      <c r="D875" s="95">
        <v>9.8500000000000004E-2</v>
      </c>
      <c r="E875" s="94">
        <v>46986</v>
      </c>
      <c r="F875" s="50">
        <f t="shared" si="14"/>
        <v>1086</v>
      </c>
      <c r="G875" t="str">
        <f>VLOOKUP(F875,T!$A$2:$C$9,3,TRUE)</f>
        <v>6. 1-3 Years</v>
      </c>
    </row>
    <row r="876" spans="1:7" x14ac:dyDescent="0.3">
      <c r="A876" s="94" t="s">
        <v>792</v>
      </c>
      <c r="B876" t="s">
        <v>774</v>
      </c>
      <c r="C876" s="50">
        <v>20800000</v>
      </c>
      <c r="D876" s="95">
        <v>0.1075</v>
      </c>
      <c r="E876" s="94">
        <v>46987</v>
      </c>
      <c r="F876" s="50">
        <f t="shared" si="14"/>
        <v>1087</v>
      </c>
      <c r="G876" t="str">
        <f>VLOOKUP(F876,T!$A$2:$C$9,3,TRUE)</f>
        <v>6. 1-3 Years</v>
      </c>
    </row>
    <row r="877" spans="1:7" x14ac:dyDescent="0.3">
      <c r="A877" s="94" t="s">
        <v>792</v>
      </c>
      <c r="B877" t="s">
        <v>774</v>
      </c>
      <c r="C877" s="50">
        <v>20800000</v>
      </c>
      <c r="D877" s="95">
        <v>0.1075</v>
      </c>
      <c r="E877" s="94">
        <v>46989</v>
      </c>
      <c r="F877" s="50">
        <f t="shared" si="14"/>
        <v>1089</v>
      </c>
      <c r="G877" t="str">
        <f>VLOOKUP(F877,T!$A$2:$C$9,3,TRUE)</f>
        <v>6. 1-3 Years</v>
      </c>
    </row>
    <row r="878" spans="1:7" x14ac:dyDescent="0.3">
      <c r="A878" s="94" t="s">
        <v>793</v>
      </c>
      <c r="B878" t="s">
        <v>774</v>
      </c>
      <c r="C878" s="50">
        <v>16650000</v>
      </c>
      <c r="D878" s="95">
        <v>0.09</v>
      </c>
      <c r="E878" s="94">
        <v>46990</v>
      </c>
      <c r="F878" s="50">
        <f t="shared" si="14"/>
        <v>1090</v>
      </c>
      <c r="G878" t="str">
        <f>VLOOKUP(F878,T!$A$2:$C$9,3,TRUE)</f>
        <v>6. 1-3 Years</v>
      </c>
    </row>
    <row r="879" spans="1:7" x14ac:dyDescent="0.3">
      <c r="A879" s="94" t="s">
        <v>793</v>
      </c>
      <c r="B879" t="s">
        <v>774</v>
      </c>
      <c r="C879" s="50">
        <v>16650000</v>
      </c>
      <c r="D879" s="95">
        <v>0.09</v>
      </c>
      <c r="E879" s="94">
        <v>46991</v>
      </c>
      <c r="F879" s="50">
        <f t="shared" si="14"/>
        <v>1091</v>
      </c>
      <c r="G879" t="str">
        <f>VLOOKUP(F879,T!$A$2:$C$9,3,TRUE)</f>
        <v>6. 1-3 Years</v>
      </c>
    </row>
    <row r="880" spans="1:7" x14ac:dyDescent="0.3">
      <c r="A880" s="94" t="s">
        <v>794</v>
      </c>
      <c r="B880" t="s">
        <v>774</v>
      </c>
      <c r="C880" s="50">
        <v>20833000</v>
      </c>
      <c r="D880" s="95">
        <v>8.0699999999999994E-2</v>
      </c>
      <c r="E880" s="94">
        <v>46991</v>
      </c>
      <c r="F880" s="50">
        <f t="shared" si="14"/>
        <v>1091</v>
      </c>
      <c r="G880" t="str">
        <f>VLOOKUP(F880,T!$A$2:$C$9,3,TRUE)</f>
        <v>6. 1-3 Years</v>
      </c>
    </row>
    <row r="881" spans="1:7" x14ac:dyDescent="0.3">
      <c r="A881" s="94" t="s">
        <v>794</v>
      </c>
      <c r="B881" t="s">
        <v>774</v>
      </c>
      <c r="C881" s="50">
        <v>20833000</v>
      </c>
      <c r="D881" s="95">
        <v>8.0699999999999994E-2</v>
      </c>
      <c r="E881" s="94">
        <v>46991</v>
      </c>
      <c r="F881" s="50">
        <f t="shared" si="14"/>
        <v>1091</v>
      </c>
      <c r="G881" t="str">
        <f>VLOOKUP(F881,T!$A$2:$C$9,3,TRUE)</f>
        <v>6. 1-3 Years</v>
      </c>
    </row>
    <row r="882" spans="1:7" x14ac:dyDescent="0.3">
      <c r="A882" s="94" t="s">
        <v>794</v>
      </c>
      <c r="B882" t="s">
        <v>774</v>
      </c>
      <c r="C882" s="50">
        <v>20833000</v>
      </c>
      <c r="D882" s="95">
        <v>8.0699999999999994E-2</v>
      </c>
      <c r="E882" s="94">
        <v>46991</v>
      </c>
      <c r="F882" s="50">
        <f t="shared" si="14"/>
        <v>1091</v>
      </c>
      <c r="G882" t="str">
        <f>VLOOKUP(F882,T!$A$2:$C$9,3,TRUE)</f>
        <v>6. 1-3 Years</v>
      </c>
    </row>
    <row r="883" spans="1:7" x14ac:dyDescent="0.3">
      <c r="A883" s="94" t="s">
        <v>795</v>
      </c>
      <c r="B883" t="s">
        <v>774</v>
      </c>
      <c r="C883" s="50">
        <v>20833333.333333328</v>
      </c>
      <c r="D883" s="95">
        <v>0.1075</v>
      </c>
      <c r="E883" s="94">
        <v>46992</v>
      </c>
      <c r="F883" s="50">
        <f t="shared" si="14"/>
        <v>1092</v>
      </c>
      <c r="G883" t="str">
        <f>VLOOKUP(F883,T!$A$2:$C$9,3,TRUE)</f>
        <v>6. 1-3 Years</v>
      </c>
    </row>
    <row r="884" spans="1:7" x14ac:dyDescent="0.3">
      <c r="A884" s="94" t="s">
        <v>795</v>
      </c>
      <c r="B884" t="s">
        <v>774</v>
      </c>
      <c r="C884" s="50">
        <v>20833333.333333328</v>
      </c>
      <c r="D884" s="95">
        <v>0.1075</v>
      </c>
      <c r="E884" s="94">
        <v>46992</v>
      </c>
      <c r="F884" s="50">
        <f t="shared" si="14"/>
        <v>1092</v>
      </c>
      <c r="G884" t="str">
        <f>VLOOKUP(F884,T!$A$2:$C$9,3,TRUE)</f>
        <v>6. 1-3 Years</v>
      </c>
    </row>
    <row r="885" spans="1:7" x14ac:dyDescent="0.3">
      <c r="A885" s="94" t="s">
        <v>795</v>
      </c>
      <c r="B885" t="s">
        <v>774</v>
      </c>
      <c r="C885" s="50">
        <v>10416666.66666667</v>
      </c>
      <c r="D885" s="95">
        <v>0.1075</v>
      </c>
      <c r="E885" s="94">
        <v>46992</v>
      </c>
      <c r="F885" s="50">
        <f t="shared" si="14"/>
        <v>1092</v>
      </c>
      <c r="G885" t="str">
        <f>VLOOKUP(F885,T!$A$2:$C$9,3,TRUE)</f>
        <v>6. 1-3 Years</v>
      </c>
    </row>
    <row r="886" spans="1:7" x14ac:dyDescent="0.3">
      <c r="A886" s="94" t="s">
        <v>795</v>
      </c>
      <c r="B886" t="s">
        <v>774</v>
      </c>
      <c r="C886" s="50">
        <v>10416666.66666667</v>
      </c>
      <c r="D886" s="95">
        <v>0.1075</v>
      </c>
      <c r="E886" s="94">
        <v>46992</v>
      </c>
      <c r="F886" s="50">
        <f t="shared" si="14"/>
        <v>1092</v>
      </c>
      <c r="G886" t="str">
        <f>VLOOKUP(F886,T!$A$2:$C$9,3,TRUE)</f>
        <v>6. 1-3 Years</v>
      </c>
    </row>
    <row r="887" spans="1:7" x14ac:dyDescent="0.3">
      <c r="A887" s="94" t="s">
        <v>800</v>
      </c>
      <c r="B887" t="s">
        <v>774</v>
      </c>
      <c r="C887" s="50">
        <v>50000000</v>
      </c>
      <c r="D887" s="95">
        <v>9.8500000000000004E-2</v>
      </c>
      <c r="E887" s="94">
        <v>46993</v>
      </c>
      <c r="F887" s="50">
        <f t="shared" si="14"/>
        <v>1093</v>
      </c>
      <c r="G887" t="str">
        <f>VLOOKUP(F887,T!$A$2:$C$9,3,TRUE)</f>
        <v>6. 1-3 Years</v>
      </c>
    </row>
    <row r="888" spans="1:7" x14ac:dyDescent="0.3">
      <c r="A888" s="94" t="s">
        <v>780</v>
      </c>
      <c r="B888" t="s">
        <v>774</v>
      </c>
      <c r="C888" s="50">
        <v>16666666.470000001</v>
      </c>
      <c r="D888" s="95">
        <v>8.0199999999999994E-2</v>
      </c>
      <c r="E888" s="94">
        <v>46994</v>
      </c>
      <c r="F888" s="50">
        <f t="shared" si="14"/>
        <v>1094</v>
      </c>
      <c r="G888" t="str">
        <f>VLOOKUP(F888,T!$A$2:$C$9,3,TRUE)</f>
        <v>6. 1-3 Years</v>
      </c>
    </row>
    <row r="889" spans="1:7" x14ac:dyDescent="0.3">
      <c r="A889" s="94" t="s">
        <v>797</v>
      </c>
      <c r="B889" t="s">
        <v>774</v>
      </c>
      <c r="C889" s="50">
        <v>8250000</v>
      </c>
      <c r="D889" s="95">
        <v>0.12</v>
      </c>
      <c r="E889" s="94">
        <v>46996</v>
      </c>
      <c r="F889" s="50">
        <f t="shared" si="14"/>
        <v>1096</v>
      </c>
      <c r="G889" t="str">
        <f>VLOOKUP(F889,T!$A$2:$C$9,3,TRUE)</f>
        <v>7. 3-5 Years</v>
      </c>
    </row>
    <row r="890" spans="1:7" x14ac:dyDescent="0.3">
      <c r="A890" s="94" t="s">
        <v>797</v>
      </c>
      <c r="B890" t="s">
        <v>774</v>
      </c>
      <c r="C890" s="50">
        <v>8250000</v>
      </c>
      <c r="D890" s="95">
        <v>0.12</v>
      </c>
      <c r="E890" s="94">
        <v>46996</v>
      </c>
      <c r="F890" s="50">
        <f t="shared" si="14"/>
        <v>1096</v>
      </c>
      <c r="G890" t="str">
        <f>VLOOKUP(F890,T!$A$2:$C$9,3,TRUE)</f>
        <v>7. 3-5 Years</v>
      </c>
    </row>
    <row r="891" spans="1:7" x14ac:dyDescent="0.3">
      <c r="A891" s="94" t="s">
        <v>797</v>
      </c>
      <c r="B891" t="s">
        <v>774</v>
      </c>
      <c r="C891" s="50">
        <v>8250000</v>
      </c>
      <c r="D891" s="95">
        <v>0.12</v>
      </c>
      <c r="E891" s="94">
        <v>46996</v>
      </c>
      <c r="F891" s="50">
        <f t="shared" si="14"/>
        <v>1096</v>
      </c>
      <c r="G891" t="str">
        <f>VLOOKUP(F891,T!$A$2:$C$9,3,TRUE)</f>
        <v>7. 3-5 Years</v>
      </c>
    </row>
    <row r="892" spans="1:7" x14ac:dyDescent="0.3">
      <c r="A892" s="94" t="s">
        <v>797</v>
      </c>
      <c r="B892" t="s">
        <v>774</v>
      </c>
      <c r="C892" s="50">
        <v>8250000</v>
      </c>
      <c r="D892" s="95">
        <v>0.12</v>
      </c>
      <c r="E892" s="94">
        <v>46996</v>
      </c>
      <c r="F892" s="50">
        <f t="shared" si="14"/>
        <v>1096</v>
      </c>
      <c r="G892" t="str">
        <f>VLOOKUP(F892,T!$A$2:$C$9,3,TRUE)</f>
        <v>7. 3-5 Years</v>
      </c>
    </row>
    <row r="893" spans="1:7" x14ac:dyDescent="0.3">
      <c r="A893" s="94" t="s">
        <v>773</v>
      </c>
      <c r="B893" t="s">
        <v>774</v>
      </c>
      <c r="C893" s="50">
        <v>50000000</v>
      </c>
      <c r="D893" s="95">
        <v>0.12</v>
      </c>
      <c r="E893" s="94">
        <v>47009</v>
      </c>
      <c r="F893" s="50">
        <f t="shared" si="14"/>
        <v>1109</v>
      </c>
      <c r="G893" t="str">
        <f>VLOOKUP(F893,T!$A$2:$C$9,3,TRUE)</f>
        <v>7. 3-5 Years</v>
      </c>
    </row>
    <row r="894" spans="1:7" x14ac:dyDescent="0.3">
      <c r="A894" s="94" t="s">
        <v>773</v>
      </c>
      <c r="B894" t="s">
        <v>774</v>
      </c>
      <c r="C894" s="50">
        <v>25000000</v>
      </c>
      <c r="D894" s="95">
        <v>0.12</v>
      </c>
      <c r="E894" s="94">
        <v>47010</v>
      </c>
      <c r="F894" s="50">
        <f t="shared" si="14"/>
        <v>1110</v>
      </c>
      <c r="G894" t="str">
        <f>VLOOKUP(F894,T!$A$2:$C$9,3,TRUE)</f>
        <v>7. 3-5 Years</v>
      </c>
    </row>
    <row r="895" spans="1:7" x14ac:dyDescent="0.3">
      <c r="A895" s="94" t="s">
        <v>780</v>
      </c>
      <c r="B895" t="s">
        <v>774</v>
      </c>
      <c r="C895" s="50">
        <v>16666666.67</v>
      </c>
      <c r="D895" s="95">
        <v>8.0199999999999994E-2</v>
      </c>
      <c r="E895" s="94">
        <v>47011</v>
      </c>
      <c r="F895" s="50">
        <f t="shared" si="14"/>
        <v>1111</v>
      </c>
      <c r="G895" t="str">
        <f>VLOOKUP(F895,T!$A$2:$C$9,3,TRUE)</f>
        <v>7. 3-5 Years</v>
      </c>
    </row>
    <row r="896" spans="1:7" x14ac:dyDescent="0.3">
      <c r="A896" s="94" t="s">
        <v>785</v>
      </c>
      <c r="B896" t="s">
        <v>774</v>
      </c>
      <c r="C896" s="50">
        <v>25000000</v>
      </c>
      <c r="D896" s="95">
        <v>8.0199999999999994E-2</v>
      </c>
      <c r="E896" s="94">
        <v>47014</v>
      </c>
      <c r="F896" s="50">
        <f t="shared" si="14"/>
        <v>1114</v>
      </c>
      <c r="G896" t="str">
        <f>VLOOKUP(F896,T!$A$2:$C$9,3,TRUE)</f>
        <v>7. 3-5 Years</v>
      </c>
    </row>
    <row r="897" spans="1:7" x14ac:dyDescent="0.3">
      <c r="A897" s="94" t="s">
        <v>790</v>
      </c>
      <c r="B897" t="s">
        <v>774</v>
      </c>
      <c r="C897" s="50">
        <v>19898466.57</v>
      </c>
      <c r="D897" s="95">
        <v>0.12</v>
      </c>
      <c r="E897" s="94">
        <v>47015</v>
      </c>
      <c r="F897" s="50">
        <f t="shared" si="14"/>
        <v>1115</v>
      </c>
      <c r="G897" t="str">
        <f>VLOOKUP(F897,T!$A$2:$C$9,3,TRUE)</f>
        <v>7. 3-5 Years</v>
      </c>
    </row>
    <row r="898" spans="1:7" x14ac:dyDescent="0.3">
      <c r="A898" s="94" t="s">
        <v>792</v>
      </c>
      <c r="B898" t="s">
        <v>774</v>
      </c>
      <c r="C898" s="50">
        <v>20800000</v>
      </c>
      <c r="D898" s="95">
        <v>0.1075</v>
      </c>
      <c r="E898" s="94">
        <v>47018</v>
      </c>
      <c r="F898" s="50">
        <f t="shared" si="14"/>
        <v>1118</v>
      </c>
      <c r="G898" t="str">
        <f>VLOOKUP(F898,T!$A$2:$C$9,3,TRUE)</f>
        <v>7. 3-5 Years</v>
      </c>
    </row>
    <row r="899" spans="1:7" x14ac:dyDescent="0.3">
      <c r="A899" s="94" t="s">
        <v>792</v>
      </c>
      <c r="B899" t="s">
        <v>774</v>
      </c>
      <c r="C899" s="50">
        <v>20800000</v>
      </c>
      <c r="D899" s="95">
        <v>0.1075</v>
      </c>
      <c r="E899" s="94">
        <v>47020</v>
      </c>
      <c r="F899" s="50">
        <f t="shared" ref="F899:F962" si="15">E899-$F$1</f>
        <v>1120</v>
      </c>
      <c r="G899" t="str">
        <f>VLOOKUP(F899,T!$A$2:$C$9,3,TRUE)</f>
        <v>7. 3-5 Years</v>
      </c>
    </row>
    <row r="900" spans="1:7" x14ac:dyDescent="0.3">
      <c r="A900" s="94" t="s">
        <v>793</v>
      </c>
      <c r="B900" t="s">
        <v>774</v>
      </c>
      <c r="C900" s="50">
        <v>16650000</v>
      </c>
      <c r="D900" s="95">
        <v>0.09</v>
      </c>
      <c r="E900" s="94">
        <v>47021</v>
      </c>
      <c r="F900" s="50">
        <f t="shared" si="15"/>
        <v>1121</v>
      </c>
      <c r="G900" t="str">
        <f>VLOOKUP(F900,T!$A$2:$C$9,3,TRUE)</f>
        <v>7. 3-5 Years</v>
      </c>
    </row>
    <row r="901" spans="1:7" x14ac:dyDescent="0.3">
      <c r="A901" s="94" t="s">
        <v>793</v>
      </c>
      <c r="B901" t="s">
        <v>774</v>
      </c>
      <c r="C901" s="50">
        <v>16650000</v>
      </c>
      <c r="D901" s="95">
        <v>0.09</v>
      </c>
      <c r="E901" s="94">
        <v>47022</v>
      </c>
      <c r="F901" s="50">
        <f t="shared" si="15"/>
        <v>1122</v>
      </c>
      <c r="G901" t="str">
        <f>VLOOKUP(F901,T!$A$2:$C$9,3,TRUE)</f>
        <v>7. 3-5 Years</v>
      </c>
    </row>
    <row r="902" spans="1:7" x14ac:dyDescent="0.3">
      <c r="A902" s="94" t="s">
        <v>794</v>
      </c>
      <c r="B902" t="s">
        <v>774</v>
      </c>
      <c r="C902" s="50">
        <v>20833000</v>
      </c>
      <c r="D902" s="95">
        <v>8.0699999999999994E-2</v>
      </c>
      <c r="E902" s="94">
        <v>47022</v>
      </c>
      <c r="F902" s="50">
        <f t="shared" si="15"/>
        <v>1122</v>
      </c>
      <c r="G902" t="str">
        <f>VLOOKUP(F902,T!$A$2:$C$9,3,TRUE)</f>
        <v>7. 3-5 Years</v>
      </c>
    </row>
    <row r="903" spans="1:7" x14ac:dyDescent="0.3">
      <c r="A903" s="94" t="s">
        <v>794</v>
      </c>
      <c r="B903" t="s">
        <v>774</v>
      </c>
      <c r="C903" s="50">
        <v>20833000</v>
      </c>
      <c r="D903" s="95">
        <v>8.0699999999999994E-2</v>
      </c>
      <c r="E903" s="94">
        <v>47022</v>
      </c>
      <c r="F903" s="50">
        <f t="shared" si="15"/>
        <v>1122</v>
      </c>
      <c r="G903" t="str">
        <f>VLOOKUP(F903,T!$A$2:$C$9,3,TRUE)</f>
        <v>7. 3-5 Years</v>
      </c>
    </row>
    <row r="904" spans="1:7" x14ac:dyDescent="0.3">
      <c r="A904" s="94" t="s">
        <v>794</v>
      </c>
      <c r="B904" t="s">
        <v>774</v>
      </c>
      <c r="C904" s="50">
        <v>20833000</v>
      </c>
      <c r="D904" s="95">
        <v>8.0699999999999994E-2</v>
      </c>
      <c r="E904" s="94">
        <v>47022</v>
      </c>
      <c r="F904" s="50">
        <f t="shared" si="15"/>
        <v>1122</v>
      </c>
      <c r="G904" t="str">
        <f>VLOOKUP(F904,T!$A$2:$C$9,3,TRUE)</f>
        <v>7. 3-5 Years</v>
      </c>
    </row>
    <row r="905" spans="1:7" x14ac:dyDescent="0.3">
      <c r="A905" s="94" t="s">
        <v>795</v>
      </c>
      <c r="B905" t="s">
        <v>774</v>
      </c>
      <c r="C905" s="50">
        <v>20833333.333333328</v>
      </c>
      <c r="D905" s="95">
        <v>0.1075</v>
      </c>
      <c r="E905" s="94">
        <v>47023</v>
      </c>
      <c r="F905" s="50">
        <f t="shared" si="15"/>
        <v>1123</v>
      </c>
      <c r="G905" t="str">
        <f>VLOOKUP(F905,T!$A$2:$C$9,3,TRUE)</f>
        <v>7. 3-5 Years</v>
      </c>
    </row>
    <row r="906" spans="1:7" x14ac:dyDescent="0.3">
      <c r="A906" s="94" t="s">
        <v>795</v>
      </c>
      <c r="B906" t="s">
        <v>774</v>
      </c>
      <c r="C906" s="50">
        <v>20833333.333333328</v>
      </c>
      <c r="D906" s="95">
        <v>0.1075</v>
      </c>
      <c r="E906" s="94">
        <v>47023</v>
      </c>
      <c r="F906" s="50">
        <f t="shared" si="15"/>
        <v>1123</v>
      </c>
      <c r="G906" t="str">
        <f>VLOOKUP(F906,T!$A$2:$C$9,3,TRUE)</f>
        <v>7. 3-5 Years</v>
      </c>
    </row>
    <row r="907" spans="1:7" x14ac:dyDescent="0.3">
      <c r="A907" s="94" t="s">
        <v>795</v>
      </c>
      <c r="B907" t="s">
        <v>774</v>
      </c>
      <c r="C907" s="50">
        <v>10416666.66666667</v>
      </c>
      <c r="D907" s="95">
        <v>0.1075</v>
      </c>
      <c r="E907" s="94">
        <v>47023</v>
      </c>
      <c r="F907" s="50">
        <f t="shared" si="15"/>
        <v>1123</v>
      </c>
      <c r="G907" t="str">
        <f>VLOOKUP(F907,T!$A$2:$C$9,3,TRUE)</f>
        <v>7. 3-5 Years</v>
      </c>
    </row>
    <row r="908" spans="1:7" x14ac:dyDescent="0.3">
      <c r="A908" s="94" t="s">
        <v>795</v>
      </c>
      <c r="B908" t="s">
        <v>774</v>
      </c>
      <c r="C908" s="50">
        <v>10416666.66666667</v>
      </c>
      <c r="D908" s="95">
        <v>0.1075</v>
      </c>
      <c r="E908" s="94">
        <v>47023</v>
      </c>
      <c r="F908" s="50">
        <f t="shared" si="15"/>
        <v>1123</v>
      </c>
      <c r="G908" t="str">
        <f>VLOOKUP(F908,T!$A$2:$C$9,3,TRUE)</f>
        <v>7. 3-5 Years</v>
      </c>
    </row>
    <row r="909" spans="1:7" x14ac:dyDescent="0.3">
      <c r="A909" s="94" t="s">
        <v>780</v>
      </c>
      <c r="B909" t="s">
        <v>774</v>
      </c>
      <c r="C909" s="50">
        <v>16666666.470000001</v>
      </c>
      <c r="D909" s="95">
        <v>8.0199999999999994E-2</v>
      </c>
      <c r="E909" s="94">
        <v>47025</v>
      </c>
      <c r="F909" s="50">
        <f t="shared" si="15"/>
        <v>1125</v>
      </c>
      <c r="G909" t="str">
        <f>VLOOKUP(F909,T!$A$2:$C$9,3,TRUE)</f>
        <v>7. 3-5 Years</v>
      </c>
    </row>
    <row r="910" spans="1:7" x14ac:dyDescent="0.3">
      <c r="A910" s="94" t="s">
        <v>797</v>
      </c>
      <c r="B910" t="s">
        <v>774</v>
      </c>
      <c r="C910" s="50">
        <v>8250000</v>
      </c>
      <c r="D910" s="95">
        <v>0.12</v>
      </c>
      <c r="E910" s="94">
        <v>47026</v>
      </c>
      <c r="F910" s="50">
        <f t="shared" si="15"/>
        <v>1126</v>
      </c>
      <c r="G910" t="str">
        <f>VLOOKUP(F910,T!$A$2:$C$9,3,TRUE)</f>
        <v>7. 3-5 Years</v>
      </c>
    </row>
    <row r="911" spans="1:7" x14ac:dyDescent="0.3">
      <c r="A911" s="94" t="s">
        <v>797</v>
      </c>
      <c r="B911" t="s">
        <v>774</v>
      </c>
      <c r="C911" s="50">
        <v>8250000</v>
      </c>
      <c r="D911" s="95">
        <v>0.12</v>
      </c>
      <c r="E911" s="94">
        <v>47026</v>
      </c>
      <c r="F911" s="50">
        <f t="shared" si="15"/>
        <v>1126</v>
      </c>
      <c r="G911" t="str">
        <f>VLOOKUP(F911,T!$A$2:$C$9,3,TRUE)</f>
        <v>7. 3-5 Years</v>
      </c>
    </row>
    <row r="912" spans="1:7" x14ac:dyDescent="0.3">
      <c r="A912" s="94" t="s">
        <v>797</v>
      </c>
      <c r="B912" t="s">
        <v>774</v>
      </c>
      <c r="C912" s="50">
        <v>8250000</v>
      </c>
      <c r="D912" s="95">
        <v>0.12</v>
      </c>
      <c r="E912" s="94">
        <v>47026</v>
      </c>
      <c r="F912" s="50">
        <f t="shared" si="15"/>
        <v>1126</v>
      </c>
      <c r="G912" t="str">
        <f>VLOOKUP(F912,T!$A$2:$C$9,3,TRUE)</f>
        <v>7. 3-5 Years</v>
      </c>
    </row>
    <row r="913" spans="1:7" x14ac:dyDescent="0.3">
      <c r="A913" s="94" t="s">
        <v>797</v>
      </c>
      <c r="B913" t="s">
        <v>774</v>
      </c>
      <c r="C913" s="50">
        <v>8250000</v>
      </c>
      <c r="D913" s="95">
        <v>0.12</v>
      </c>
      <c r="E913" s="94">
        <v>47026</v>
      </c>
      <c r="F913" s="50">
        <f t="shared" si="15"/>
        <v>1126</v>
      </c>
      <c r="G913" t="str">
        <f>VLOOKUP(F913,T!$A$2:$C$9,3,TRUE)</f>
        <v>7. 3-5 Years</v>
      </c>
    </row>
    <row r="914" spans="1:7" x14ac:dyDescent="0.3">
      <c r="A914" s="94" t="s">
        <v>780</v>
      </c>
      <c r="B914" t="s">
        <v>774</v>
      </c>
      <c r="C914" s="50">
        <v>16666666.67</v>
      </c>
      <c r="D914" s="95">
        <v>8.0199999999999994E-2</v>
      </c>
      <c r="E914" s="94">
        <v>47041</v>
      </c>
      <c r="F914" s="50">
        <f t="shared" si="15"/>
        <v>1141</v>
      </c>
      <c r="G914" t="str">
        <f>VLOOKUP(F914,T!$A$2:$C$9,3,TRUE)</f>
        <v>7. 3-5 Years</v>
      </c>
    </row>
    <row r="915" spans="1:7" x14ac:dyDescent="0.3">
      <c r="A915" s="94" t="s">
        <v>785</v>
      </c>
      <c r="B915" t="s">
        <v>774</v>
      </c>
      <c r="C915" s="50">
        <v>25000000</v>
      </c>
      <c r="D915" s="95">
        <v>8.0199999999999994E-2</v>
      </c>
      <c r="E915" s="94">
        <v>47044</v>
      </c>
      <c r="F915" s="50">
        <f t="shared" si="15"/>
        <v>1144</v>
      </c>
      <c r="G915" t="str">
        <f>VLOOKUP(F915,T!$A$2:$C$9,3,TRUE)</f>
        <v>7. 3-5 Years</v>
      </c>
    </row>
    <row r="916" spans="1:7" x14ac:dyDescent="0.3">
      <c r="A916" s="94" t="s">
        <v>790</v>
      </c>
      <c r="B916" t="s">
        <v>774</v>
      </c>
      <c r="C916" s="50">
        <v>20169866.079999998</v>
      </c>
      <c r="D916" s="95">
        <v>0.12</v>
      </c>
      <c r="E916" s="94">
        <v>47045</v>
      </c>
      <c r="F916" s="50">
        <f t="shared" si="15"/>
        <v>1145</v>
      </c>
      <c r="G916" t="str">
        <f>VLOOKUP(F916,T!$A$2:$C$9,3,TRUE)</f>
        <v>7. 3-5 Years</v>
      </c>
    </row>
    <row r="917" spans="1:7" x14ac:dyDescent="0.3">
      <c r="A917" s="94" t="s">
        <v>792</v>
      </c>
      <c r="B917" t="s">
        <v>774</v>
      </c>
      <c r="C917" s="50">
        <v>20800000</v>
      </c>
      <c r="D917" s="95">
        <v>0.1075</v>
      </c>
      <c r="E917" s="94">
        <v>47048</v>
      </c>
      <c r="F917" s="50">
        <f t="shared" si="15"/>
        <v>1148</v>
      </c>
      <c r="G917" t="str">
        <f>VLOOKUP(F917,T!$A$2:$C$9,3,TRUE)</f>
        <v>7. 3-5 Years</v>
      </c>
    </row>
    <row r="918" spans="1:7" x14ac:dyDescent="0.3">
      <c r="A918" s="94" t="s">
        <v>799</v>
      </c>
      <c r="B918" t="s">
        <v>774</v>
      </c>
      <c r="C918" s="50">
        <v>50000000</v>
      </c>
      <c r="D918" s="95">
        <v>0.12</v>
      </c>
      <c r="E918" s="94">
        <v>47049</v>
      </c>
      <c r="F918" s="50">
        <f t="shared" si="15"/>
        <v>1149</v>
      </c>
      <c r="G918" t="str">
        <f>VLOOKUP(F918,T!$A$2:$C$9,3,TRUE)</f>
        <v>7. 3-5 Years</v>
      </c>
    </row>
    <row r="919" spans="1:7" x14ac:dyDescent="0.3">
      <c r="A919" s="94" t="s">
        <v>799</v>
      </c>
      <c r="B919" t="s">
        <v>774</v>
      </c>
      <c r="C919" s="50">
        <v>50000000</v>
      </c>
      <c r="D919" s="95">
        <v>0.12</v>
      </c>
      <c r="E919" s="94">
        <v>47049</v>
      </c>
      <c r="F919" s="50">
        <f t="shared" si="15"/>
        <v>1149</v>
      </c>
      <c r="G919" t="str">
        <f>VLOOKUP(F919,T!$A$2:$C$9,3,TRUE)</f>
        <v>7. 3-5 Years</v>
      </c>
    </row>
    <row r="920" spans="1:7" x14ac:dyDescent="0.3">
      <c r="A920" s="94" t="s">
        <v>799</v>
      </c>
      <c r="B920" t="s">
        <v>774</v>
      </c>
      <c r="C920" s="50">
        <v>50000000</v>
      </c>
      <c r="D920" s="95">
        <v>0.12</v>
      </c>
      <c r="E920" s="94">
        <v>47049</v>
      </c>
      <c r="F920" s="50">
        <f t="shared" si="15"/>
        <v>1149</v>
      </c>
      <c r="G920" t="str">
        <f>VLOOKUP(F920,T!$A$2:$C$9,3,TRUE)</f>
        <v>7. 3-5 Years</v>
      </c>
    </row>
    <row r="921" spans="1:7" x14ac:dyDescent="0.3">
      <c r="A921" s="94" t="s">
        <v>792</v>
      </c>
      <c r="B921" t="s">
        <v>774</v>
      </c>
      <c r="C921" s="50">
        <v>20800000</v>
      </c>
      <c r="D921" s="95">
        <v>0.1075</v>
      </c>
      <c r="E921" s="94">
        <v>47050</v>
      </c>
      <c r="F921" s="50">
        <f t="shared" si="15"/>
        <v>1150</v>
      </c>
      <c r="G921" t="str">
        <f>VLOOKUP(F921,T!$A$2:$C$9,3,TRUE)</f>
        <v>7. 3-5 Years</v>
      </c>
    </row>
    <row r="922" spans="1:7" x14ac:dyDescent="0.3">
      <c r="A922" s="94" t="s">
        <v>793</v>
      </c>
      <c r="B922" t="s">
        <v>774</v>
      </c>
      <c r="C922" s="50">
        <v>16650000</v>
      </c>
      <c r="D922" s="95">
        <v>0.09</v>
      </c>
      <c r="E922" s="94">
        <v>47051</v>
      </c>
      <c r="F922" s="50">
        <f t="shared" si="15"/>
        <v>1151</v>
      </c>
      <c r="G922" t="str">
        <f>VLOOKUP(F922,T!$A$2:$C$9,3,TRUE)</f>
        <v>7. 3-5 Years</v>
      </c>
    </row>
    <row r="923" spans="1:7" x14ac:dyDescent="0.3">
      <c r="A923" s="94" t="s">
        <v>793</v>
      </c>
      <c r="B923" t="s">
        <v>774</v>
      </c>
      <c r="C923" s="50">
        <v>16650000</v>
      </c>
      <c r="D923" s="95">
        <v>0.09</v>
      </c>
      <c r="E923" s="94">
        <v>47052</v>
      </c>
      <c r="F923" s="50">
        <f t="shared" si="15"/>
        <v>1152</v>
      </c>
      <c r="G923" t="str">
        <f>VLOOKUP(F923,T!$A$2:$C$9,3,TRUE)</f>
        <v>7. 3-5 Years</v>
      </c>
    </row>
    <row r="924" spans="1:7" x14ac:dyDescent="0.3">
      <c r="A924" s="94" t="s">
        <v>794</v>
      </c>
      <c r="B924" t="s">
        <v>774</v>
      </c>
      <c r="C924" s="50">
        <v>20833000</v>
      </c>
      <c r="D924" s="95">
        <v>8.0699999999999994E-2</v>
      </c>
      <c r="E924" s="94">
        <v>47052</v>
      </c>
      <c r="F924" s="50">
        <f t="shared" si="15"/>
        <v>1152</v>
      </c>
      <c r="G924" t="str">
        <f>VLOOKUP(F924,T!$A$2:$C$9,3,TRUE)</f>
        <v>7. 3-5 Years</v>
      </c>
    </row>
    <row r="925" spans="1:7" x14ac:dyDescent="0.3">
      <c r="A925" s="94" t="s">
        <v>794</v>
      </c>
      <c r="B925" t="s">
        <v>774</v>
      </c>
      <c r="C925" s="50">
        <v>20833000</v>
      </c>
      <c r="D925" s="95">
        <v>8.0699999999999994E-2</v>
      </c>
      <c r="E925" s="94">
        <v>47052</v>
      </c>
      <c r="F925" s="50">
        <f t="shared" si="15"/>
        <v>1152</v>
      </c>
      <c r="G925" t="str">
        <f>VLOOKUP(F925,T!$A$2:$C$9,3,TRUE)</f>
        <v>7. 3-5 Years</v>
      </c>
    </row>
    <row r="926" spans="1:7" x14ac:dyDescent="0.3">
      <c r="A926" s="94" t="s">
        <v>794</v>
      </c>
      <c r="B926" t="s">
        <v>774</v>
      </c>
      <c r="C926" s="50">
        <v>20833000</v>
      </c>
      <c r="D926" s="95">
        <v>8.0699999999999994E-2</v>
      </c>
      <c r="E926" s="94">
        <v>47052</v>
      </c>
      <c r="F926" s="50">
        <f t="shared" si="15"/>
        <v>1152</v>
      </c>
      <c r="G926" t="str">
        <f>VLOOKUP(F926,T!$A$2:$C$9,3,TRUE)</f>
        <v>7. 3-5 Years</v>
      </c>
    </row>
    <row r="927" spans="1:7" x14ac:dyDescent="0.3">
      <c r="A927" s="94" t="s">
        <v>795</v>
      </c>
      <c r="B927" t="s">
        <v>774</v>
      </c>
      <c r="C927" s="50">
        <v>20833333.333333328</v>
      </c>
      <c r="D927" s="95">
        <v>0.1075</v>
      </c>
      <c r="E927" s="94">
        <v>47053</v>
      </c>
      <c r="F927" s="50">
        <f t="shared" si="15"/>
        <v>1153</v>
      </c>
      <c r="G927" t="str">
        <f>VLOOKUP(F927,T!$A$2:$C$9,3,TRUE)</f>
        <v>7. 3-5 Years</v>
      </c>
    </row>
    <row r="928" spans="1:7" x14ac:dyDescent="0.3">
      <c r="A928" s="94" t="s">
        <v>795</v>
      </c>
      <c r="B928" t="s">
        <v>774</v>
      </c>
      <c r="C928" s="50">
        <v>20833333.333333328</v>
      </c>
      <c r="D928" s="95">
        <v>0.1075</v>
      </c>
      <c r="E928" s="94">
        <v>47053</v>
      </c>
      <c r="F928" s="50">
        <f t="shared" si="15"/>
        <v>1153</v>
      </c>
      <c r="G928" t="str">
        <f>VLOOKUP(F928,T!$A$2:$C$9,3,TRUE)</f>
        <v>7. 3-5 Years</v>
      </c>
    </row>
    <row r="929" spans="1:7" x14ac:dyDescent="0.3">
      <c r="A929" s="94" t="s">
        <v>795</v>
      </c>
      <c r="B929" t="s">
        <v>774</v>
      </c>
      <c r="C929" s="50">
        <v>10416666.66666667</v>
      </c>
      <c r="D929" s="95">
        <v>0.1075</v>
      </c>
      <c r="E929" s="94">
        <v>47053</v>
      </c>
      <c r="F929" s="50">
        <f t="shared" si="15"/>
        <v>1153</v>
      </c>
      <c r="G929" t="str">
        <f>VLOOKUP(F929,T!$A$2:$C$9,3,TRUE)</f>
        <v>7. 3-5 Years</v>
      </c>
    </row>
    <row r="930" spans="1:7" x14ac:dyDescent="0.3">
      <c r="A930" s="94" t="s">
        <v>795</v>
      </c>
      <c r="B930" t="s">
        <v>774</v>
      </c>
      <c r="C930" s="50">
        <v>10416666.66666667</v>
      </c>
      <c r="D930" s="95">
        <v>0.1075</v>
      </c>
      <c r="E930" s="94">
        <v>47053</v>
      </c>
      <c r="F930" s="50">
        <f t="shared" si="15"/>
        <v>1153</v>
      </c>
      <c r="G930" t="str">
        <f>VLOOKUP(F930,T!$A$2:$C$9,3,TRUE)</f>
        <v>7. 3-5 Years</v>
      </c>
    </row>
    <row r="931" spans="1:7" x14ac:dyDescent="0.3">
      <c r="A931" s="94" t="s">
        <v>780</v>
      </c>
      <c r="B931" t="s">
        <v>774</v>
      </c>
      <c r="C931" s="50">
        <v>16666666.470000001</v>
      </c>
      <c r="D931" s="95">
        <v>8.0199999999999994E-2</v>
      </c>
      <c r="E931" s="94">
        <v>47055</v>
      </c>
      <c r="F931" s="50">
        <f t="shared" si="15"/>
        <v>1155</v>
      </c>
      <c r="G931" t="str">
        <f>VLOOKUP(F931,T!$A$2:$C$9,3,TRUE)</f>
        <v>7. 3-5 Years</v>
      </c>
    </row>
    <row r="932" spans="1:7" x14ac:dyDescent="0.3">
      <c r="A932" s="94" t="s">
        <v>797</v>
      </c>
      <c r="B932" t="s">
        <v>774</v>
      </c>
      <c r="C932" s="50">
        <v>8250000</v>
      </c>
      <c r="D932" s="95">
        <v>0.12</v>
      </c>
      <c r="E932" s="94">
        <v>47057</v>
      </c>
      <c r="F932" s="50">
        <f t="shared" si="15"/>
        <v>1157</v>
      </c>
      <c r="G932" t="str">
        <f>VLOOKUP(F932,T!$A$2:$C$9,3,TRUE)</f>
        <v>7. 3-5 Years</v>
      </c>
    </row>
    <row r="933" spans="1:7" x14ac:dyDescent="0.3">
      <c r="A933" s="94" t="s">
        <v>797</v>
      </c>
      <c r="B933" t="s">
        <v>774</v>
      </c>
      <c r="C933" s="50">
        <v>8250000</v>
      </c>
      <c r="D933" s="95">
        <v>0.12</v>
      </c>
      <c r="E933" s="94">
        <v>47057</v>
      </c>
      <c r="F933" s="50">
        <f t="shared" si="15"/>
        <v>1157</v>
      </c>
      <c r="G933" t="str">
        <f>VLOOKUP(F933,T!$A$2:$C$9,3,TRUE)</f>
        <v>7. 3-5 Years</v>
      </c>
    </row>
    <row r="934" spans="1:7" x14ac:dyDescent="0.3">
      <c r="A934" s="94" t="s">
        <v>797</v>
      </c>
      <c r="B934" t="s">
        <v>774</v>
      </c>
      <c r="C934" s="50">
        <v>8250000</v>
      </c>
      <c r="D934" s="95">
        <v>0.12</v>
      </c>
      <c r="E934" s="94">
        <v>47057</v>
      </c>
      <c r="F934" s="50">
        <f t="shared" si="15"/>
        <v>1157</v>
      </c>
      <c r="G934" t="str">
        <f>VLOOKUP(F934,T!$A$2:$C$9,3,TRUE)</f>
        <v>7. 3-5 Years</v>
      </c>
    </row>
    <row r="935" spans="1:7" x14ac:dyDescent="0.3">
      <c r="A935" s="94" t="s">
        <v>797</v>
      </c>
      <c r="B935" t="s">
        <v>774</v>
      </c>
      <c r="C935" s="50">
        <v>8250000</v>
      </c>
      <c r="D935" s="95">
        <v>0.12</v>
      </c>
      <c r="E935" s="94">
        <v>47057</v>
      </c>
      <c r="F935" s="50">
        <f t="shared" si="15"/>
        <v>1157</v>
      </c>
      <c r="G935" t="str">
        <f>VLOOKUP(F935,T!$A$2:$C$9,3,TRUE)</f>
        <v>7. 3-5 Years</v>
      </c>
    </row>
    <row r="936" spans="1:7" x14ac:dyDescent="0.3">
      <c r="A936" s="94" t="s">
        <v>780</v>
      </c>
      <c r="B936" t="s">
        <v>774</v>
      </c>
      <c r="C936" s="50">
        <v>16666666.67</v>
      </c>
      <c r="D936" s="95">
        <v>8.0199999999999994E-2</v>
      </c>
      <c r="E936" s="94">
        <v>47072</v>
      </c>
      <c r="F936" s="50">
        <f t="shared" si="15"/>
        <v>1172</v>
      </c>
      <c r="G936" t="str">
        <f>VLOOKUP(F936,T!$A$2:$C$9,3,TRUE)</f>
        <v>7. 3-5 Years</v>
      </c>
    </row>
    <row r="937" spans="1:7" x14ac:dyDescent="0.3">
      <c r="A937" s="94" t="s">
        <v>785</v>
      </c>
      <c r="B937" t="s">
        <v>774</v>
      </c>
      <c r="C937" s="50">
        <v>25000000</v>
      </c>
      <c r="D937" s="95">
        <v>8.0199999999999994E-2</v>
      </c>
      <c r="E937" s="94">
        <v>47075</v>
      </c>
      <c r="F937" s="50">
        <f t="shared" si="15"/>
        <v>1175</v>
      </c>
      <c r="G937" t="str">
        <f>VLOOKUP(F937,T!$A$2:$C$9,3,TRUE)</f>
        <v>7. 3-5 Years</v>
      </c>
    </row>
    <row r="938" spans="1:7" x14ac:dyDescent="0.3">
      <c r="A938" s="94" t="s">
        <v>790</v>
      </c>
      <c r="B938" t="s">
        <v>774</v>
      </c>
      <c r="C938" s="50">
        <v>20305718.530000001</v>
      </c>
      <c r="D938" s="95">
        <v>0.12</v>
      </c>
      <c r="E938" s="94">
        <v>47076</v>
      </c>
      <c r="F938" s="50">
        <f t="shared" si="15"/>
        <v>1176</v>
      </c>
      <c r="G938" t="str">
        <f>VLOOKUP(F938,T!$A$2:$C$9,3,TRUE)</f>
        <v>7. 3-5 Years</v>
      </c>
    </row>
    <row r="939" spans="1:7" x14ac:dyDescent="0.3">
      <c r="A939" s="94" t="s">
        <v>800</v>
      </c>
      <c r="B939" t="s">
        <v>774</v>
      </c>
      <c r="C939" s="50">
        <v>50000000</v>
      </c>
      <c r="D939" s="95">
        <v>9.8500000000000004E-2</v>
      </c>
      <c r="E939" s="94">
        <v>47078</v>
      </c>
      <c r="F939" s="50">
        <f t="shared" si="15"/>
        <v>1178</v>
      </c>
      <c r="G939" t="str">
        <f>VLOOKUP(F939,T!$A$2:$C$9,3,TRUE)</f>
        <v>7. 3-5 Years</v>
      </c>
    </row>
    <row r="940" spans="1:7" x14ac:dyDescent="0.3">
      <c r="A940" s="94" t="s">
        <v>792</v>
      </c>
      <c r="B940" t="s">
        <v>774</v>
      </c>
      <c r="C940" s="50">
        <v>20800000</v>
      </c>
      <c r="D940" s="95">
        <v>0.1075</v>
      </c>
      <c r="E940" s="94">
        <v>47079</v>
      </c>
      <c r="F940" s="50">
        <f t="shared" si="15"/>
        <v>1179</v>
      </c>
      <c r="G940" t="str">
        <f>VLOOKUP(F940,T!$A$2:$C$9,3,TRUE)</f>
        <v>7. 3-5 Years</v>
      </c>
    </row>
    <row r="941" spans="1:7" x14ac:dyDescent="0.3">
      <c r="A941" s="94" t="s">
        <v>792</v>
      </c>
      <c r="B941" t="s">
        <v>774</v>
      </c>
      <c r="C941" s="50">
        <v>20800000</v>
      </c>
      <c r="D941" s="95">
        <v>0.1075</v>
      </c>
      <c r="E941" s="94">
        <v>47081</v>
      </c>
      <c r="F941" s="50">
        <f t="shared" si="15"/>
        <v>1181</v>
      </c>
      <c r="G941" t="str">
        <f>VLOOKUP(F941,T!$A$2:$C$9,3,TRUE)</f>
        <v>7. 3-5 Years</v>
      </c>
    </row>
    <row r="942" spans="1:7" x14ac:dyDescent="0.3">
      <c r="A942" s="94" t="s">
        <v>793</v>
      </c>
      <c r="B942" t="s">
        <v>774</v>
      </c>
      <c r="C942" s="50">
        <v>16650000</v>
      </c>
      <c r="D942" s="95">
        <v>0.09</v>
      </c>
      <c r="E942" s="94">
        <v>47082</v>
      </c>
      <c r="F942" s="50">
        <f t="shared" si="15"/>
        <v>1182</v>
      </c>
      <c r="G942" t="str">
        <f>VLOOKUP(F942,T!$A$2:$C$9,3,TRUE)</f>
        <v>7. 3-5 Years</v>
      </c>
    </row>
    <row r="943" spans="1:7" x14ac:dyDescent="0.3">
      <c r="A943" s="94" t="s">
        <v>793</v>
      </c>
      <c r="B943" t="s">
        <v>774</v>
      </c>
      <c r="C943" s="50">
        <v>16650000</v>
      </c>
      <c r="D943" s="95">
        <v>0.09</v>
      </c>
      <c r="E943" s="94">
        <v>47083</v>
      </c>
      <c r="F943" s="50">
        <f t="shared" si="15"/>
        <v>1183</v>
      </c>
      <c r="G943" t="str">
        <f>VLOOKUP(F943,T!$A$2:$C$9,3,TRUE)</f>
        <v>7. 3-5 Years</v>
      </c>
    </row>
    <row r="944" spans="1:7" x14ac:dyDescent="0.3">
      <c r="A944" s="94" t="s">
        <v>794</v>
      </c>
      <c r="B944" t="s">
        <v>774</v>
      </c>
      <c r="C944" s="50">
        <v>20833000</v>
      </c>
      <c r="D944" s="95">
        <v>8.0699999999999994E-2</v>
      </c>
      <c r="E944" s="94">
        <v>47083</v>
      </c>
      <c r="F944" s="50">
        <f t="shared" si="15"/>
        <v>1183</v>
      </c>
      <c r="G944" t="str">
        <f>VLOOKUP(F944,T!$A$2:$C$9,3,TRUE)</f>
        <v>7. 3-5 Years</v>
      </c>
    </row>
    <row r="945" spans="1:7" x14ac:dyDescent="0.3">
      <c r="A945" s="94" t="s">
        <v>794</v>
      </c>
      <c r="B945" t="s">
        <v>774</v>
      </c>
      <c r="C945" s="50">
        <v>20833000</v>
      </c>
      <c r="D945" s="95">
        <v>8.0699999999999994E-2</v>
      </c>
      <c r="E945" s="94">
        <v>47083</v>
      </c>
      <c r="F945" s="50">
        <f t="shared" si="15"/>
        <v>1183</v>
      </c>
      <c r="G945" t="str">
        <f>VLOOKUP(F945,T!$A$2:$C$9,3,TRUE)</f>
        <v>7. 3-5 Years</v>
      </c>
    </row>
    <row r="946" spans="1:7" x14ac:dyDescent="0.3">
      <c r="A946" s="94" t="s">
        <v>794</v>
      </c>
      <c r="B946" t="s">
        <v>774</v>
      </c>
      <c r="C946" s="50">
        <v>20833000</v>
      </c>
      <c r="D946" s="95">
        <v>8.0699999999999994E-2</v>
      </c>
      <c r="E946" s="94">
        <v>47083</v>
      </c>
      <c r="F946" s="50">
        <f t="shared" si="15"/>
        <v>1183</v>
      </c>
      <c r="G946" t="str">
        <f>VLOOKUP(F946,T!$A$2:$C$9,3,TRUE)</f>
        <v>7. 3-5 Years</v>
      </c>
    </row>
    <row r="947" spans="1:7" x14ac:dyDescent="0.3">
      <c r="A947" s="94" t="s">
        <v>795</v>
      </c>
      <c r="B947" t="s">
        <v>774</v>
      </c>
      <c r="C947" s="50">
        <v>20833333.333333328</v>
      </c>
      <c r="D947" s="95">
        <v>0.1075</v>
      </c>
      <c r="E947" s="94">
        <v>47084</v>
      </c>
      <c r="F947" s="50">
        <f t="shared" si="15"/>
        <v>1184</v>
      </c>
      <c r="G947" t="str">
        <f>VLOOKUP(F947,T!$A$2:$C$9,3,TRUE)</f>
        <v>7. 3-5 Years</v>
      </c>
    </row>
    <row r="948" spans="1:7" x14ac:dyDescent="0.3">
      <c r="A948" s="94" t="s">
        <v>795</v>
      </c>
      <c r="B948" t="s">
        <v>774</v>
      </c>
      <c r="C948" s="50">
        <v>20833333.333333328</v>
      </c>
      <c r="D948" s="95">
        <v>0.1075</v>
      </c>
      <c r="E948" s="94">
        <v>47084</v>
      </c>
      <c r="F948" s="50">
        <f t="shared" si="15"/>
        <v>1184</v>
      </c>
      <c r="G948" t="str">
        <f>VLOOKUP(F948,T!$A$2:$C$9,3,TRUE)</f>
        <v>7. 3-5 Years</v>
      </c>
    </row>
    <row r="949" spans="1:7" x14ac:dyDescent="0.3">
      <c r="A949" s="94" t="s">
        <v>795</v>
      </c>
      <c r="B949" t="s">
        <v>774</v>
      </c>
      <c r="C949" s="50">
        <v>10416666.66666667</v>
      </c>
      <c r="D949" s="95">
        <v>0.1075</v>
      </c>
      <c r="E949" s="94">
        <v>47084</v>
      </c>
      <c r="F949" s="50">
        <f t="shared" si="15"/>
        <v>1184</v>
      </c>
      <c r="G949" t="str">
        <f>VLOOKUP(F949,T!$A$2:$C$9,3,TRUE)</f>
        <v>7. 3-5 Years</v>
      </c>
    </row>
    <row r="950" spans="1:7" x14ac:dyDescent="0.3">
      <c r="A950" s="94" t="s">
        <v>795</v>
      </c>
      <c r="B950" t="s">
        <v>774</v>
      </c>
      <c r="C950" s="50">
        <v>10416666.66666667</v>
      </c>
      <c r="D950" s="95">
        <v>0.1075</v>
      </c>
      <c r="E950" s="94">
        <v>47084</v>
      </c>
      <c r="F950" s="50">
        <f t="shared" si="15"/>
        <v>1184</v>
      </c>
      <c r="G950" t="str">
        <f>VLOOKUP(F950,T!$A$2:$C$9,3,TRUE)</f>
        <v>7. 3-5 Years</v>
      </c>
    </row>
    <row r="951" spans="1:7" x14ac:dyDescent="0.3">
      <c r="A951" s="94" t="s">
        <v>800</v>
      </c>
      <c r="B951" t="s">
        <v>774</v>
      </c>
      <c r="C951" s="50">
        <v>50000000</v>
      </c>
      <c r="D951" s="95">
        <v>9.8500000000000004E-2</v>
      </c>
      <c r="E951" s="94">
        <v>47085</v>
      </c>
      <c r="F951" s="50">
        <f t="shared" si="15"/>
        <v>1185</v>
      </c>
      <c r="G951" t="str">
        <f>VLOOKUP(F951,T!$A$2:$C$9,3,TRUE)</f>
        <v>7. 3-5 Years</v>
      </c>
    </row>
    <row r="952" spans="1:7" x14ac:dyDescent="0.3">
      <c r="A952" s="94" t="s">
        <v>780</v>
      </c>
      <c r="B952" t="s">
        <v>774</v>
      </c>
      <c r="C952" s="50">
        <v>16666666.470000001</v>
      </c>
      <c r="D952" s="95">
        <v>8.0199999999999994E-2</v>
      </c>
      <c r="E952" s="94">
        <v>47086</v>
      </c>
      <c r="F952" s="50">
        <f t="shared" si="15"/>
        <v>1186</v>
      </c>
      <c r="G952" t="str">
        <f>VLOOKUP(F952,T!$A$2:$C$9,3,TRUE)</f>
        <v>7. 3-5 Years</v>
      </c>
    </row>
    <row r="953" spans="1:7" x14ac:dyDescent="0.3">
      <c r="A953" s="94" t="s">
        <v>797</v>
      </c>
      <c r="B953" t="s">
        <v>774</v>
      </c>
      <c r="C953" s="50">
        <v>8250000</v>
      </c>
      <c r="D953" s="95">
        <v>0.12</v>
      </c>
      <c r="E953" s="94">
        <v>47087</v>
      </c>
      <c r="F953" s="50">
        <f t="shared" si="15"/>
        <v>1187</v>
      </c>
      <c r="G953" t="str">
        <f>VLOOKUP(F953,T!$A$2:$C$9,3,TRUE)</f>
        <v>7. 3-5 Years</v>
      </c>
    </row>
    <row r="954" spans="1:7" x14ac:dyDescent="0.3">
      <c r="A954" s="94" t="s">
        <v>797</v>
      </c>
      <c r="B954" t="s">
        <v>774</v>
      </c>
      <c r="C954" s="50">
        <v>8250000</v>
      </c>
      <c r="D954" s="95">
        <v>0.12</v>
      </c>
      <c r="E954" s="94">
        <v>47087</v>
      </c>
      <c r="F954" s="50">
        <f t="shared" si="15"/>
        <v>1187</v>
      </c>
      <c r="G954" t="str">
        <f>VLOOKUP(F954,T!$A$2:$C$9,3,TRUE)</f>
        <v>7. 3-5 Years</v>
      </c>
    </row>
    <row r="955" spans="1:7" x14ac:dyDescent="0.3">
      <c r="A955" s="94" t="s">
        <v>797</v>
      </c>
      <c r="B955" t="s">
        <v>774</v>
      </c>
      <c r="C955" s="50">
        <v>8250000</v>
      </c>
      <c r="D955" s="95">
        <v>0.12</v>
      </c>
      <c r="E955" s="94">
        <v>47087</v>
      </c>
      <c r="F955" s="50">
        <f t="shared" si="15"/>
        <v>1187</v>
      </c>
      <c r="G955" t="str">
        <f>VLOOKUP(F955,T!$A$2:$C$9,3,TRUE)</f>
        <v>7. 3-5 Years</v>
      </c>
    </row>
    <row r="956" spans="1:7" x14ac:dyDescent="0.3">
      <c r="A956" s="94" t="s">
        <v>797</v>
      </c>
      <c r="B956" t="s">
        <v>774</v>
      </c>
      <c r="C956" s="50">
        <v>8250000</v>
      </c>
      <c r="D956" s="95">
        <v>0.12</v>
      </c>
      <c r="E956" s="94">
        <v>47087</v>
      </c>
      <c r="F956" s="50">
        <f t="shared" si="15"/>
        <v>1187</v>
      </c>
      <c r="G956" t="str">
        <f>VLOOKUP(F956,T!$A$2:$C$9,3,TRUE)</f>
        <v>7. 3-5 Years</v>
      </c>
    </row>
    <row r="957" spans="1:7" x14ac:dyDescent="0.3">
      <c r="A957" s="94" t="s">
        <v>773</v>
      </c>
      <c r="B957" t="s">
        <v>774</v>
      </c>
      <c r="C957" s="50">
        <v>50000000</v>
      </c>
      <c r="D957" s="95">
        <v>0.12</v>
      </c>
      <c r="E957" s="94">
        <v>47100</v>
      </c>
      <c r="F957" s="50">
        <f t="shared" si="15"/>
        <v>1200</v>
      </c>
      <c r="G957" t="str">
        <f>VLOOKUP(F957,T!$A$2:$C$9,3,TRUE)</f>
        <v>7. 3-5 Years</v>
      </c>
    </row>
    <row r="958" spans="1:7" x14ac:dyDescent="0.3">
      <c r="A958" s="94" t="s">
        <v>773</v>
      </c>
      <c r="B958" t="s">
        <v>774</v>
      </c>
      <c r="C958" s="50">
        <v>25000000</v>
      </c>
      <c r="D958" s="95">
        <v>0.12</v>
      </c>
      <c r="E958" s="94">
        <v>47101</v>
      </c>
      <c r="F958" s="50">
        <f t="shared" si="15"/>
        <v>1201</v>
      </c>
      <c r="G958" t="str">
        <f>VLOOKUP(F958,T!$A$2:$C$9,3,TRUE)</f>
        <v>7. 3-5 Years</v>
      </c>
    </row>
    <row r="959" spans="1:7" x14ac:dyDescent="0.3">
      <c r="A959" s="94" t="s">
        <v>780</v>
      </c>
      <c r="B959" t="s">
        <v>774</v>
      </c>
      <c r="C959" s="50">
        <v>16666666.67</v>
      </c>
      <c r="D959" s="95">
        <v>8.0199999999999994E-2</v>
      </c>
      <c r="E959" s="94">
        <v>47102</v>
      </c>
      <c r="F959" s="50">
        <f t="shared" si="15"/>
        <v>1202</v>
      </c>
      <c r="G959" t="str">
        <f>VLOOKUP(F959,T!$A$2:$C$9,3,TRUE)</f>
        <v>7. 3-5 Years</v>
      </c>
    </row>
    <row r="960" spans="1:7" x14ac:dyDescent="0.3">
      <c r="A960" s="94" t="s">
        <v>785</v>
      </c>
      <c r="B960" t="s">
        <v>774</v>
      </c>
      <c r="C960" s="50">
        <v>25000000</v>
      </c>
      <c r="D960" s="95">
        <v>8.0199999999999994E-2</v>
      </c>
      <c r="E960" s="94">
        <v>47105</v>
      </c>
      <c r="F960" s="50">
        <f t="shared" si="15"/>
        <v>1205</v>
      </c>
      <c r="G960" t="str">
        <f>VLOOKUP(F960,T!$A$2:$C$9,3,TRUE)</f>
        <v>7. 3-5 Years</v>
      </c>
    </row>
    <row r="961" spans="1:7" x14ac:dyDescent="0.3">
      <c r="A961" s="94" t="s">
        <v>790</v>
      </c>
      <c r="B961" t="s">
        <v>774</v>
      </c>
      <c r="C961" s="50">
        <v>20567986.48</v>
      </c>
      <c r="D961" s="95">
        <v>0.12</v>
      </c>
      <c r="E961" s="94">
        <v>47106</v>
      </c>
      <c r="F961" s="50">
        <f t="shared" si="15"/>
        <v>1206</v>
      </c>
      <c r="G961" t="str">
        <f>VLOOKUP(F961,T!$A$2:$C$9,3,TRUE)</f>
        <v>7. 3-5 Years</v>
      </c>
    </row>
    <row r="962" spans="1:7" x14ac:dyDescent="0.3">
      <c r="A962" s="94" t="s">
        <v>792</v>
      </c>
      <c r="B962" t="s">
        <v>774</v>
      </c>
      <c r="C962" s="50">
        <v>20800000</v>
      </c>
      <c r="D962" s="95">
        <v>0.1075</v>
      </c>
      <c r="E962" s="94">
        <v>47109</v>
      </c>
      <c r="F962" s="50">
        <f t="shared" si="15"/>
        <v>1209</v>
      </c>
      <c r="G962" t="str">
        <f>VLOOKUP(F962,T!$A$2:$C$9,3,TRUE)</f>
        <v>7. 3-5 Years</v>
      </c>
    </row>
    <row r="963" spans="1:7" x14ac:dyDescent="0.3">
      <c r="A963" s="94" t="s">
        <v>792</v>
      </c>
      <c r="B963" t="s">
        <v>774</v>
      </c>
      <c r="C963" s="50">
        <v>20800000</v>
      </c>
      <c r="D963" s="95">
        <v>0.1075</v>
      </c>
      <c r="E963" s="94">
        <v>47111</v>
      </c>
      <c r="F963" s="50">
        <f t="shared" ref="F963:F1026" si="16">E963-$F$1</f>
        <v>1211</v>
      </c>
      <c r="G963" t="str">
        <f>VLOOKUP(F963,T!$A$2:$C$9,3,TRUE)</f>
        <v>7. 3-5 Years</v>
      </c>
    </row>
    <row r="964" spans="1:7" x14ac:dyDescent="0.3">
      <c r="A964" s="94" t="s">
        <v>793</v>
      </c>
      <c r="B964" t="s">
        <v>774</v>
      </c>
      <c r="C964" s="50">
        <v>16650000</v>
      </c>
      <c r="D964" s="95">
        <v>0.09</v>
      </c>
      <c r="E964" s="94">
        <v>47112</v>
      </c>
      <c r="F964" s="50">
        <f t="shared" si="16"/>
        <v>1212</v>
      </c>
      <c r="G964" t="str">
        <f>VLOOKUP(F964,T!$A$2:$C$9,3,TRUE)</f>
        <v>7. 3-5 Years</v>
      </c>
    </row>
    <row r="965" spans="1:7" x14ac:dyDescent="0.3">
      <c r="A965" s="94" t="s">
        <v>793</v>
      </c>
      <c r="B965" t="s">
        <v>774</v>
      </c>
      <c r="C965" s="50">
        <v>16650000</v>
      </c>
      <c r="D965" s="95">
        <v>0.09</v>
      </c>
      <c r="E965" s="94">
        <v>47113</v>
      </c>
      <c r="F965" s="50">
        <f t="shared" si="16"/>
        <v>1213</v>
      </c>
      <c r="G965" t="str">
        <f>VLOOKUP(F965,T!$A$2:$C$9,3,TRUE)</f>
        <v>7. 3-5 Years</v>
      </c>
    </row>
    <row r="966" spans="1:7" x14ac:dyDescent="0.3">
      <c r="A966" s="94" t="s">
        <v>794</v>
      </c>
      <c r="B966" t="s">
        <v>774</v>
      </c>
      <c r="C966" s="50">
        <v>20833000</v>
      </c>
      <c r="D966" s="95">
        <v>8.0699999999999994E-2</v>
      </c>
      <c r="E966" s="94">
        <v>47113</v>
      </c>
      <c r="F966" s="50">
        <f t="shared" si="16"/>
        <v>1213</v>
      </c>
      <c r="G966" t="str">
        <f>VLOOKUP(F966,T!$A$2:$C$9,3,TRUE)</f>
        <v>7. 3-5 Years</v>
      </c>
    </row>
    <row r="967" spans="1:7" x14ac:dyDescent="0.3">
      <c r="A967" s="94" t="s">
        <v>794</v>
      </c>
      <c r="B967" t="s">
        <v>774</v>
      </c>
      <c r="C967" s="50">
        <v>20833000</v>
      </c>
      <c r="D967" s="95">
        <v>8.0699999999999994E-2</v>
      </c>
      <c r="E967" s="94">
        <v>47113</v>
      </c>
      <c r="F967" s="50">
        <f t="shared" si="16"/>
        <v>1213</v>
      </c>
      <c r="G967" t="str">
        <f>VLOOKUP(F967,T!$A$2:$C$9,3,TRUE)</f>
        <v>7. 3-5 Years</v>
      </c>
    </row>
    <row r="968" spans="1:7" x14ac:dyDescent="0.3">
      <c r="A968" s="94" t="s">
        <v>794</v>
      </c>
      <c r="B968" t="s">
        <v>774</v>
      </c>
      <c r="C968" s="50">
        <v>20833000</v>
      </c>
      <c r="D968" s="95">
        <v>8.0699999999999994E-2</v>
      </c>
      <c r="E968" s="94">
        <v>47113</v>
      </c>
      <c r="F968" s="50">
        <f t="shared" si="16"/>
        <v>1213</v>
      </c>
      <c r="G968" t="str">
        <f>VLOOKUP(F968,T!$A$2:$C$9,3,TRUE)</f>
        <v>7. 3-5 Years</v>
      </c>
    </row>
    <row r="969" spans="1:7" x14ac:dyDescent="0.3">
      <c r="A969" s="94" t="s">
        <v>795</v>
      </c>
      <c r="B969" t="s">
        <v>774</v>
      </c>
      <c r="C969" s="50">
        <v>20833333.333333328</v>
      </c>
      <c r="D969" s="95">
        <v>0.1075</v>
      </c>
      <c r="E969" s="94">
        <v>47114</v>
      </c>
      <c r="F969" s="50">
        <f t="shared" si="16"/>
        <v>1214</v>
      </c>
      <c r="G969" t="str">
        <f>VLOOKUP(F969,T!$A$2:$C$9,3,TRUE)</f>
        <v>7. 3-5 Years</v>
      </c>
    </row>
    <row r="970" spans="1:7" x14ac:dyDescent="0.3">
      <c r="A970" s="94" t="s">
        <v>795</v>
      </c>
      <c r="B970" t="s">
        <v>774</v>
      </c>
      <c r="C970" s="50">
        <v>20833333.333333328</v>
      </c>
      <c r="D970" s="95">
        <v>0.1075</v>
      </c>
      <c r="E970" s="94">
        <v>47114</v>
      </c>
      <c r="F970" s="50">
        <f t="shared" si="16"/>
        <v>1214</v>
      </c>
      <c r="G970" t="str">
        <f>VLOOKUP(F970,T!$A$2:$C$9,3,TRUE)</f>
        <v>7. 3-5 Years</v>
      </c>
    </row>
    <row r="971" spans="1:7" x14ac:dyDescent="0.3">
      <c r="A971" s="94" t="s">
        <v>795</v>
      </c>
      <c r="B971" t="s">
        <v>774</v>
      </c>
      <c r="C971" s="50">
        <v>10416666.66666667</v>
      </c>
      <c r="D971" s="95">
        <v>0.1075</v>
      </c>
      <c r="E971" s="94">
        <v>47114</v>
      </c>
      <c r="F971" s="50">
        <f t="shared" si="16"/>
        <v>1214</v>
      </c>
      <c r="G971" t="str">
        <f>VLOOKUP(F971,T!$A$2:$C$9,3,TRUE)</f>
        <v>7. 3-5 Years</v>
      </c>
    </row>
    <row r="972" spans="1:7" x14ac:dyDescent="0.3">
      <c r="A972" s="94" t="s">
        <v>795</v>
      </c>
      <c r="B972" t="s">
        <v>774</v>
      </c>
      <c r="C972" s="50">
        <v>10416666.66666667</v>
      </c>
      <c r="D972" s="95">
        <v>0.1075</v>
      </c>
      <c r="E972" s="94">
        <v>47114</v>
      </c>
      <c r="F972" s="50">
        <f t="shared" si="16"/>
        <v>1214</v>
      </c>
      <c r="G972" t="str">
        <f>VLOOKUP(F972,T!$A$2:$C$9,3,TRUE)</f>
        <v>7. 3-5 Years</v>
      </c>
    </row>
    <row r="973" spans="1:7" x14ac:dyDescent="0.3">
      <c r="A973" s="94" t="s">
        <v>780</v>
      </c>
      <c r="B973" t="s">
        <v>774</v>
      </c>
      <c r="C973" s="50">
        <v>16666666.470000001</v>
      </c>
      <c r="D973" s="95">
        <v>8.0199999999999994E-2</v>
      </c>
      <c r="E973" s="94">
        <v>47116</v>
      </c>
      <c r="F973" s="50">
        <f t="shared" si="16"/>
        <v>1216</v>
      </c>
      <c r="G973" t="str">
        <f>VLOOKUP(F973,T!$A$2:$C$9,3,TRUE)</f>
        <v>7. 3-5 Years</v>
      </c>
    </row>
    <row r="974" spans="1:7" x14ac:dyDescent="0.3">
      <c r="A974" s="94" t="s">
        <v>797</v>
      </c>
      <c r="B974" t="s">
        <v>774</v>
      </c>
      <c r="C974" s="50">
        <v>8250000</v>
      </c>
      <c r="D974" s="95">
        <v>0.12</v>
      </c>
      <c r="E974" s="94">
        <v>47118</v>
      </c>
      <c r="F974" s="50">
        <f t="shared" si="16"/>
        <v>1218</v>
      </c>
      <c r="G974" t="str">
        <f>VLOOKUP(F974,T!$A$2:$C$9,3,TRUE)</f>
        <v>7. 3-5 Years</v>
      </c>
    </row>
    <row r="975" spans="1:7" x14ac:dyDescent="0.3">
      <c r="A975" s="94" t="s">
        <v>797</v>
      </c>
      <c r="B975" t="s">
        <v>774</v>
      </c>
      <c r="C975" s="50">
        <v>8250000</v>
      </c>
      <c r="D975" s="95">
        <v>0.12</v>
      </c>
      <c r="E975" s="94">
        <v>47118</v>
      </c>
      <c r="F975" s="50">
        <f t="shared" si="16"/>
        <v>1218</v>
      </c>
      <c r="G975" t="str">
        <f>VLOOKUP(F975,T!$A$2:$C$9,3,TRUE)</f>
        <v>7. 3-5 Years</v>
      </c>
    </row>
    <row r="976" spans="1:7" x14ac:dyDescent="0.3">
      <c r="A976" s="94" t="s">
        <v>797</v>
      </c>
      <c r="B976" t="s">
        <v>774</v>
      </c>
      <c r="C976" s="50">
        <v>8250000</v>
      </c>
      <c r="D976" s="95">
        <v>0.12</v>
      </c>
      <c r="E976" s="94">
        <v>47118</v>
      </c>
      <c r="F976" s="50">
        <f t="shared" si="16"/>
        <v>1218</v>
      </c>
      <c r="G976" t="str">
        <f>VLOOKUP(F976,T!$A$2:$C$9,3,TRUE)</f>
        <v>7. 3-5 Years</v>
      </c>
    </row>
    <row r="977" spans="1:7" x14ac:dyDescent="0.3">
      <c r="A977" s="94" t="s">
        <v>797</v>
      </c>
      <c r="B977" t="s">
        <v>774</v>
      </c>
      <c r="C977" s="50">
        <v>8250000</v>
      </c>
      <c r="D977" s="95">
        <v>0.12</v>
      </c>
      <c r="E977" s="94">
        <v>47118</v>
      </c>
      <c r="F977" s="50">
        <f t="shared" si="16"/>
        <v>1218</v>
      </c>
      <c r="G977" t="str">
        <f>VLOOKUP(F977,T!$A$2:$C$9,3,TRUE)</f>
        <v>7. 3-5 Years</v>
      </c>
    </row>
    <row r="978" spans="1:7" x14ac:dyDescent="0.3">
      <c r="A978" s="94" t="s">
        <v>780</v>
      </c>
      <c r="B978" t="s">
        <v>774</v>
      </c>
      <c r="C978" s="50">
        <v>16666666.67</v>
      </c>
      <c r="D978" s="95">
        <v>8.0199999999999994E-2</v>
      </c>
      <c r="E978" s="94">
        <v>47133</v>
      </c>
      <c r="F978" s="50">
        <f t="shared" si="16"/>
        <v>1233</v>
      </c>
      <c r="G978" t="str">
        <f>VLOOKUP(F978,T!$A$2:$C$9,3,TRUE)</f>
        <v>7. 3-5 Years</v>
      </c>
    </row>
    <row r="979" spans="1:7" x14ac:dyDescent="0.3">
      <c r="A979" s="94" t="s">
        <v>785</v>
      </c>
      <c r="B979" t="s">
        <v>774</v>
      </c>
      <c r="C979" s="50">
        <v>25000000</v>
      </c>
      <c r="D979" s="95">
        <v>8.0199999999999994E-2</v>
      </c>
      <c r="E979" s="94">
        <v>47136</v>
      </c>
      <c r="F979" s="50">
        <f t="shared" si="16"/>
        <v>1236</v>
      </c>
      <c r="G979" t="str">
        <f>VLOOKUP(F979,T!$A$2:$C$9,3,TRUE)</f>
        <v>7. 3-5 Years</v>
      </c>
    </row>
    <row r="980" spans="1:7" x14ac:dyDescent="0.3">
      <c r="A980" s="94" t="s">
        <v>790</v>
      </c>
      <c r="B980" t="s">
        <v>774</v>
      </c>
      <c r="C980" s="50">
        <v>20718732.879999999</v>
      </c>
      <c r="D980" s="95">
        <v>0.12</v>
      </c>
      <c r="E980" s="94">
        <v>47137</v>
      </c>
      <c r="F980" s="50">
        <f t="shared" si="16"/>
        <v>1237</v>
      </c>
      <c r="G980" t="str">
        <f>VLOOKUP(F980,T!$A$2:$C$9,3,TRUE)</f>
        <v>7. 3-5 Years</v>
      </c>
    </row>
    <row r="981" spans="1:7" x14ac:dyDescent="0.3">
      <c r="A981" s="94" t="s">
        <v>792</v>
      </c>
      <c r="B981" t="s">
        <v>774</v>
      </c>
      <c r="C981" s="50">
        <v>20800000</v>
      </c>
      <c r="D981" s="95">
        <v>0.1075</v>
      </c>
      <c r="E981" s="94">
        <v>47140</v>
      </c>
      <c r="F981" s="50">
        <f t="shared" si="16"/>
        <v>1240</v>
      </c>
      <c r="G981" t="str">
        <f>VLOOKUP(F981,T!$A$2:$C$9,3,TRUE)</f>
        <v>7. 3-5 Years</v>
      </c>
    </row>
    <row r="982" spans="1:7" x14ac:dyDescent="0.3">
      <c r="A982" s="94" t="s">
        <v>799</v>
      </c>
      <c r="B982" t="s">
        <v>774</v>
      </c>
      <c r="C982" s="50">
        <v>50000000</v>
      </c>
      <c r="D982" s="95">
        <v>0.12</v>
      </c>
      <c r="E982" s="94">
        <v>47141</v>
      </c>
      <c r="F982" s="50">
        <f t="shared" si="16"/>
        <v>1241</v>
      </c>
      <c r="G982" t="str">
        <f>VLOOKUP(F982,T!$A$2:$C$9,3,TRUE)</f>
        <v>7. 3-5 Years</v>
      </c>
    </row>
    <row r="983" spans="1:7" x14ac:dyDescent="0.3">
      <c r="A983" s="94" t="s">
        <v>799</v>
      </c>
      <c r="B983" t="s">
        <v>774</v>
      </c>
      <c r="C983" s="50">
        <v>50000000</v>
      </c>
      <c r="D983" s="95">
        <v>0.12</v>
      </c>
      <c r="E983" s="94">
        <v>47141</v>
      </c>
      <c r="F983" s="50">
        <f t="shared" si="16"/>
        <v>1241</v>
      </c>
      <c r="G983" t="str">
        <f>VLOOKUP(F983,T!$A$2:$C$9,3,TRUE)</f>
        <v>7. 3-5 Years</v>
      </c>
    </row>
    <row r="984" spans="1:7" x14ac:dyDescent="0.3">
      <c r="A984" s="94" t="s">
        <v>799</v>
      </c>
      <c r="B984" t="s">
        <v>774</v>
      </c>
      <c r="C984" s="50">
        <v>50000000</v>
      </c>
      <c r="D984" s="95">
        <v>0.12</v>
      </c>
      <c r="E984" s="94">
        <v>47141</v>
      </c>
      <c r="F984" s="50">
        <f t="shared" si="16"/>
        <v>1241</v>
      </c>
      <c r="G984" t="str">
        <f>VLOOKUP(F984,T!$A$2:$C$9,3,TRUE)</f>
        <v>7. 3-5 Years</v>
      </c>
    </row>
    <row r="985" spans="1:7" x14ac:dyDescent="0.3">
      <c r="A985" s="94" t="s">
        <v>792</v>
      </c>
      <c r="B985" t="s">
        <v>774</v>
      </c>
      <c r="C985" s="50">
        <v>20800000</v>
      </c>
      <c r="D985" s="95">
        <v>0.1075</v>
      </c>
      <c r="E985" s="94">
        <v>47142</v>
      </c>
      <c r="F985" s="50">
        <f t="shared" si="16"/>
        <v>1242</v>
      </c>
      <c r="G985" t="str">
        <f>VLOOKUP(F985,T!$A$2:$C$9,3,TRUE)</f>
        <v>7. 3-5 Years</v>
      </c>
    </row>
    <row r="986" spans="1:7" x14ac:dyDescent="0.3">
      <c r="A986" s="94" t="s">
        <v>793</v>
      </c>
      <c r="B986" t="s">
        <v>774</v>
      </c>
      <c r="C986" s="50">
        <v>16650000</v>
      </c>
      <c r="D986" s="95">
        <v>0.09</v>
      </c>
      <c r="E986" s="94">
        <v>47143</v>
      </c>
      <c r="F986" s="50">
        <f t="shared" si="16"/>
        <v>1243</v>
      </c>
      <c r="G986" t="str">
        <f>VLOOKUP(F986,T!$A$2:$C$9,3,TRUE)</f>
        <v>7. 3-5 Years</v>
      </c>
    </row>
    <row r="987" spans="1:7" x14ac:dyDescent="0.3">
      <c r="A987" s="94" t="s">
        <v>793</v>
      </c>
      <c r="B987" t="s">
        <v>774</v>
      </c>
      <c r="C987" s="50">
        <v>16650000</v>
      </c>
      <c r="D987" s="95">
        <v>0.09</v>
      </c>
      <c r="E987" s="94">
        <v>47144</v>
      </c>
      <c r="F987" s="50">
        <f t="shared" si="16"/>
        <v>1244</v>
      </c>
      <c r="G987" t="str">
        <f>VLOOKUP(F987,T!$A$2:$C$9,3,TRUE)</f>
        <v>7. 3-5 Years</v>
      </c>
    </row>
    <row r="988" spans="1:7" x14ac:dyDescent="0.3">
      <c r="A988" s="94" t="s">
        <v>794</v>
      </c>
      <c r="B988" t="s">
        <v>774</v>
      </c>
      <c r="C988" s="50">
        <v>20833000</v>
      </c>
      <c r="D988" s="95">
        <v>8.0699999999999994E-2</v>
      </c>
      <c r="E988" s="94">
        <v>47144</v>
      </c>
      <c r="F988" s="50">
        <f t="shared" si="16"/>
        <v>1244</v>
      </c>
      <c r="G988" t="str">
        <f>VLOOKUP(F988,T!$A$2:$C$9,3,TRUE)</f>
        <v>7. 3-5 Years</v>
      </c>
    </row>
    <row r="989" spans="1:7" x14ac:dyDescent="0.3">
      <c r="A989" s="94" t="s">
        <v>794</v>
      </c>
      <c r="B989" t="s">
        <v>774</v>
      </c>
      <c r="C989" s="50">
        <v>20833000</v>
      </c>
      <c r="D989" s="95">
        <v>8.0699999999999994E-2</v>
      </c>
      <c r="E989" s="94">
        <v>47144</v>
      </c>
      <c r="F989" s="50">
        <f t="shared" si="16"/>
        <v>1244</v>
      </c>
      <c r="G989" t="str">
        <f>VLOOKUP(F989,T!$A$2:$C$9,3,TRUE)</f>
        <v>7. 3-5 Years</v>
      </c>
    </row>
    <row r="990" spans="1:7" x14ac:dyDescent="0.3">
      <c r="A990" s="94" t="s">
        <v>794</v>
      </c>
      <c r="B990" t="s">
        <v>774</v>
      </c>
      <c r="C990" s="50">
        <v>20833000</v>
      </c>
      <c r="D990" s="95">
        <v>8.0699999999999994E-2</v>
      </c>
      <c r="E990" s="94">
        <v>47144</v>
      </c>
      <c r="F990" s="50">
        <f t="shared" si="16"/>
        <v>1244</v>
      </c>
      <c r="G990" t="str">
        <f>VLOOKUP(F990,T!$A$2:$C$9,3,TRUE)</f>
        <v>7. 3-5 Years</v>
      </c>
    </row>
    <row r="991" spans="1:7" x14ac:dyDescent="0.3">
      <c r="A991" s="94" t="s">
        <v>795</v>
      </c>
      <c r="B991" t="s">
        <v>774</v>
      </c>
      <c r="C991" s="50">
        <v>20833333.333333328</v>
      </c>
      <c r="D991" s="95">
        <v>0.1075</v>
      </c>
      <c r="E991" s="94">
        <v>47145</v>
      </c>
      <c r="F991" s="50">
        <f t="shared" si="16"/>
        <v>1245</v>
      </c>
      <c r="G991" t="str">
        <f>VLOOKUP(F991,T!$A$2:$C$9,3,TRUE)</f>
        <v>7. 3-5 Years</v>
      </c>
    </row>
    <row r="992" spans="1:7" x14ac:dyDescent="0.3">
      <c r="A992" s="94" t="s">
        <v>795</v>
      </c>
      <c r="B992" t="s">
        <v>774</v>
      </c>
      <c r="C992" s="50">
        <v>20833333.333333328</v>
      </c>
      <c r="D992" s="95">
        <v>0.1075</v>
      </c>
      <c r="E992" s="94">
        <v>47145</v>
      </c>
      <c r="F992" s="50">
        <f t="shared" si="16"/>
        <v>1245</v>
      </c>
      <c r="G992" t="str">
        <f>VLOOKUP(F992,T!$A$2:$C$9,3,TRUE)</f>
        <v>7. 3-5 Years</v>
      </c>
    </row>
    <row r="993" spans="1:7" x14ac:dyDescent="0.3">
      <c r="A993" s="94" t="s">
        <v>795</v>
      </c>
      <c r="B993" t="s">
        <v>774</v>
      </c>
      <c r="C993" s="50">
        <v>10416666.66666667</v>
      </c>
      <c r="D993" s="95">
        <v>0.1075</v>
      </c>
      <c r="E993" s="94">
        <v>47145</v>
      </c>
      <c r="F993" s="50">
        <f t="shared" si="16"/>
        <v>1245</v>
      </c>
      <c r="G993" t="str">
        <f>VLOOKUP(F993,T!$A$2:$C$9,3,TRUE)</f>
        <v>7. 3-5 Years</v>
      </c>
    </row>
    <row r="994" spans="1:7" x14ac:dyDescent="0.3">
      <c r="A994" s="94" t="s">
        <v>795</v>
      </c>
      <c r="B994" t="s">
        <v>774</v>
      </c>
      <c r="C994" s="50">
        <v>10416666.66666667</v>
      </c>
      <c r="D994" s="95">
        <v>0.1075</v>
      </c>
      <c r="E994" s="94">
        <v>47145</v>
      </c>
      <c r="F994" s="50">
        <f t="shared" si="16"/>
        <v>1245</v>
      </c>
      <c r="G994" t="str">
        <f>VLOOKUP(F994,T!$A$2:$C$9,3,TRUE)</f>
        <v>7. 3-5 Years</v>
      </c>
    </row>
    <row r="995" spans="1:7" x14ac:dyDescent="0.3">
      <c r="A995" s="94" t="s">
        <v>780</v>
      </c>
      <c r="B995" t="s">
        <v>774</v>
      </c>
      <c r="C995" s="50">
        <v>16666666.470000001</v>
      </c>
      <c r="D995" s="95">
        <v>8.0199999999999994E-2</v>
      </c>
      <c r="E995" s="94">
        <v>47147</v>
      </c>
      <c r="F995" s="50">
        <f t="shared" si="16"/>
        <v>1247</v>
      </c>
      <c r="G995" t="str">
        <f>VLOOKUP(F995,T!$A$2:$C$9,3,TRUE)</f>
        <v>7. 3-5 Years</v>
      </c>
    </row>
    <row r="996" spans="1:7" x14ac:dyDescent="0.3">
      <c r="A996" s="94" t="s">
        <v>797</v>
      </c>
      <c r="B996" t="s">
        <v>774</v>
      </c>
      <c r="C996" s="50">
        <v>8250000</v>
      </c>
      <c r="D996" s="95">
        <v>0.12</v>
      </c>
      <c r="E996" s="94">
        <v>47149</v>
      </c>
      <c r="F996" s="50">
        <f t="shared" si="16"/>
        <v>1249</v>
      </c>
      <c r="G996" t="str">
        <f>VLOOKUP(F996,T!$A$2:$C$9,3,TRUE)</f>
        <v>7. 3-5 Years</v>
      </c>
    </row>
    <row r="997" spans="1:7" x14ac:dyDescent="0.3">
      <c r="A997" s="94" t="s">
        <v>797</v>
      </c>
      <c r="B997" t="s">
        <v>774</v>
      </c>
      <c r="C997" s="50">
        <v>8250000</v>
      </c>
      <c r="D997" s="95">
        <v>0.12</v>
      </c>
      <c r="E997" s="94">
        <v>47149</v>
      </c>
      <c r="F997" s="50">
        <f t="shared" si="16"/>
        <v>1249</v>
      </c>
      <c r="G997" t="str">
        <f>VLOOKUP(F997,T!$A$2:$C$9,3,TRUE)</f>
        <v>7. 3-5 Years</v>
      </c>
    </row>
    <row r="998" spans="1:7" x14ac:dyDescent="0.3">
      <c r="A998" s="94" t="s">
        <v>797</v>
      </c>
      <c r="B998" t="s">
        <v>774</v>
      </c>
      <c r="C998" s="50">
        <v>8250000</v>
      </c>
      <c r="D998" s="95">
        <v>0.12</v>
      </c>
      <c r="E998" s="94">
        <v>47149</v>
      </c>
      <c r="F998" s="50">
        <f t="shared" si="16"/>
        <v>1249</v>
      </c>
      <c r="G998" t="str">
        <f>VLOOKUP(F998,T!$A$2:$C$9,3,TRUE)</f>
        <v>7. 3-5 Years</v>
      </c>
    </row>
    <row r="999" spans="1:7" x14ac:dyDescent="0.3">
      <c r="A999" s="94" t="s">
        <v>797</v>
      </c>
      <c r="B999" t="s">
        <v>774</v>
      </c>
      <c r="C999" s="50">
        <v>8250000</v>
      </c>
      <c r="D999" s="95">
        <v>0.12</v>
      </c>
      <c r="E999" s="94">
        <v>47149</v>
      </c>
      <c r="F999" s="50">
        <f t="shared" si="16"/>
        <v>1249</v>
      </c>
      <c r="G999" t="str">
        <f>VLOOKUP(F999,T!$A$2:$C$9,3,TRUE)</f>
        <v>7. 3-5 Years</v>
      </c>
    </row>
    <row r="1000" spans="1:7" x14ac:dyDescent="0.3">
      <c r="A1000" s="94" t="s">
        <v>780</v>
      </c>
      <c r="B1000" t="s">
        <v>774</v>
      </c>
      <c r="C1000" s="50">
        <v>16666666.67</v>
      </c>
      <c r="D1000" s="95">
        <v>8.0199999999999994E-2</v>
      </c>
      <c r="E1000" s="94">
        <v>47164</v>
      </c>
      <c r="F1000" s="50">
        <f t="shared" si="16"/>
        <v>1264</v>
      </c>
      <c r="G1000" t="str">
        <f>VLOOKUP(F1000,T!$A$2:$C$9,3,TRUE)</f>
        <v>7. 3-5 Years</v>
      </c>
    </row>
    <row r="1001" spans="1:7" x14ac:dyDescent="0.3">
      <c r="A1001" s="94" t="s">
        <v>785</v>
      </c>
      <c r="B1001" t="s">
        <v>774</v>
      </c>
      <c r="C1001" s="50">
        <v>25000000</v>
      </c>
      <c r="D1001" s="95">
        <v>8.0199999999999994E-2</v>
      </c>
      <c r="E1001" s="94">
        <v>47167</v>
      </c>
      <c r="F1001" s="50">
        <f t="shared" si="16"/>
        <v>1267</v>
      </c>
      <c r="G1001" t="str">
        <f>VLOOKUP(F1001,T!$A$2:$C$9,3,TRUE)</f>
        <v>7. 3-5 Years</v>
      </c>
    </row>
    <row r="1002" spans="1:7" x14ac:dyDescent="0.3">
      <c r="A1002" s="94" t="s">
        <v>790</v>
      </c>
      <c r="B1002" t="s">
        <v>774</v>
      </c>
      <c r="C1002" s="50">
        <v>20928143.66</v>
      </c>
      <c r="D1002" s="95">
        <v>0.12</v>
      </c>
      <c r="E1002" s="94">
        <v>47168</v>
      </c>
      <c r="F1002" s="50">
        <f t="shared" si="16"/>
        <v>1268</v>
      </c>
      <c r="G1002" t="str">
        <f>VLOOKUP(F1002,T!$A$2:$C$9,3,TRUE)</f>
        <v>7. 3-5 Years</v>
      </c>
    </row>
    <row r="1003" spans="1:7" x14ac:dyDescent="0.3">
      <c r="A1003" s="94" t="s">
        <v>800</v>
      </c>
      <c r="B1003" t="s">
        <v>774</v>
      </c>
      <c r="C1003" s="50">
        <v>50000000</v>
      </c>
      <c r="D1003" s="95">
        <v>9.8500000000000004E-2</v>
      </c>
      <c r="E1003" s="94">
        <v>47170</v>
      </c>
      <c r="F1003" s="50">
        <f t="shared" si="16"/>
        <v>1270</v>
      </c>
      <c r="G1003" t="str">
        <f>VLOOKUP(F1003,T!$A$2:$C$9,3,TRUE)</f>
        <v>7. 3-5 Years</v>
      </c>
    </row>
    <row r="1004" spans="1:7" x14ac:dyDescent="0.3">
      <c r="A1004" s="94" t="s">
        <v>792</v>
      </c>
      <c r="B1004" t="s">
        <v>774</v>
      </c>
      <c r="C1004" s="50">
        <v>20800000</v>
      </c>
      <c r="D1004" s="95">
        <v>0.1075</v>
      </c>
      <c r="E1004" s="94">
        <v>47171</v>
      </c>
      <c r="F1004" s="50">
        <f t="shared" si="16"/>
        <v>1271</v>
      </c>
      <c r="G1004" t="str">
        <f>VLOOKUP(F1004,T!$A$2:$C$9,3,TRUE)</f>
        <v>7. 3-5 Years</v>
      </c>
    </row>
    <row r="1005" spans="1:7" x14ac:dyDescent="0.3">
      <c r="A1005" s="94" t="s">
        <v>792</v>
      </c>
      <c r="B1005" t="s">
        <v>774</v>
      </c>
      <c r="C1005" s="50">
        <v>20800000</v>
      </c>
      <c r="D1005" s="95">
        <v>0.1075</v>
      </c>
      <c r="E1005" s="94">
        <v>47173</v>
      </c>
      <c r="F1005" s="50">
        <f t="shared" si="16"/>
        <v>1273</v>
      </c>
      <c r="G1005" t="str">
        <f>VLOOKUP(F1005,T!$A$2:$C$9,3,TRUE)</f>
        <v>7. 3-5 Years</v>
      </c>
    </row>
    <row r="1006" spans="1:7" x14ac:dyDescent="0.3">
      <c r="A1006" s="94" t="s">
        <v>793</v>
      </c>
      <c r="B1006" t="s">
        <v>774</v>
      </c>
      <c r="C1006" s="50">
        <v>16650000</v>
      </c>
      <c r="D1006" s="95">
        <v>0.09</v>
      </c>
      <c r="E1006" s="94">
        <v>47174</v>
      </c>
      <c r="F1006" s="50">
        <f t="shared" si="16"/>
        <v>1274</v>
      </c>
      <c r="G1006" t="str">
        <f>VLOOKUP(F1006,T!$A$2:$C$9,3,TRUE)</f>
        <v>7. 3-5 Years</v>
      </c>
    </row>
    <row r="1007" spans="1:7" x14ac:dyDescent="0.3">
      <c r="A1007" s="94" t="s">
        <v>793</v>
      </c>
      <c r="B1007" t="s">
        <v>774</v>
      </c>
      <c r="C1007" s="50">
        <v>16650000</v>
      </c>
      <c r="D1007" s="95">
        <v>0.09</v>
      </c>
      <c r="E1007" s="94">
        <v>47175</v>
      </c>
      <c r="F1007" s="50">
        <f t="shared" si="16"/>
        <v>1275</v>
      </c>
      <c r="G1007" t="str">
        <f>VLOOKUP(F1007,T!$A$2:$C$9,3,TRUE)</f>
        <v>7. 3-5 Years</v>
      </c>
    </row>
    <row r="1008" spans="1:7" x14ac:dyDescent="0.3">
      <c r="A1008" s="94" t="s">
        <v>794</v>
      </c>
      <c r="B1008" t="s">
        <v>774</v>
      </c>
      <c r="C1008" s="50">
        <v>20833000</v>
      </c>
      <c r="D1008" s="95">
        <v>8.0699999999999994E-2</v>
      </c>
      <c r="E1008" s="94">
        <v>47175</v>
      </c>
      <c r="F1008" s="50">
        <f t="shared" si="16"/>
        <v>1275</v>
      </c>
      <c r="G1008" t="str">
        <f>VLOOKUP(F1008,T!$A$2:$C$9,3,TRUE)</f>
        <v>7. 3-5 Years</v>
      </c>
    </row>
    <row r="1009" spans="1:7" x14ac:dyDescent="0.3">
      <c r="A1009" s="94" t="s">
        <v>794</v>
      </c>
      <c r="B1009" t="s">
        <v>774</v>
      </c>
      <c r="C1009" s="50">
        <v>20833000</v>
      </c>
      <c r="D1009" s="95">
        <v>8.0699999999999994E-2</v>
      </c>
      <c r="E1009" s="94">
        <v>47175</v>
      </c>
      <c r="F1009" s="50">
        <f t="shared" si="16"/>
        <v>1275</v>
      </c>
      <c r="G1009" t="str">
        <f>VLOOKUP(F1009,T!$A$2:$C$9,3,TRUE)</f>
        <v>7. 3-5 Years</v>
      </c>
    </row>
    <row r="1010" spans="1:7" x14ac:dyDescent="0.3">
      <c r="A1010" s="94" t="s">
        <v>794</v>
      </c>
      <c r="B1010" t="s">
        <v>774</v>
      </c>
      <c r="C1010" s="50">
        <v>20833000</v>
      </c>
      <c r="D1010" s="95">
        <v>8.0699999999999994E-2</v>
      </c>
      <c r="E1010" s="94">
        <v>47175</v>
      </c>
      <c r="F1010" s="50">
        <f t="shared" si="16"/>
        <v>1275</v>
      </c>
      <c r="G1010" t="str">
        <f>VLOOKUP(F1010,T!$A$2:$C$9,3,TRUE)</f>
        <v>7. 3-5 Years</v>
      </c>
    </row>
    <row r="1011" spans="1:7" x14ac:dyDescent="0.3">
      <c r="A1011" s="94" t="s">
        <v>795</v>
      </c>
      <c r="B1011" t="s">
        <v>774</v>
      </c>
      <c r="C1011" s="50">
        <v>20833333.333333328</v>
      </c>
      <c r="D1011" s="95">
        <v>0.1075</v>
      </c>
      <c r="E1011" s="94">
        <v>47176</v>
      </c>
      <c r="F1011" s="50">
        <f t="shared" si="16"/>
        <v>1276</v>
      </c>
      <c r="G1011" t="str">
        <f>VLOOKUP(F1011,T!$A$2:$C$9,3,TRUE)</f>
        <v>7. 3-5 Years</v>
      </c>
    </row>
    <row r="1012" spans="1:7" x14ac:dyDescent="0.3">
      <c r="A1012" s="94" t="s">
        <v>795</v>
      </c>
      <c r="B1012" t="s">
        <v>774</v>
      </c>
      <c r="C1012" s="50">
        <v>20833333.333333328</v>
      </c>
      <c r="D1012" s="95">
        <v>0.1075</v>
      </c>
      <c r="E1012" s="94">
        <v>47176</v>
      </c>
      <c r="F1012" s="50">
        <f t="shared" si="16"/>
        <v>1276</v>
      </c>
      <c r="G1012" t="str">
        <f>VLOOKUP(F1012,T!$A$2:$C$9,3,TRUE)</f>
        <v>7. 3-5 Years</v>
      </c>
    </row>
    <row r="1013" spans="1:7" x14ac:dyDescent="0.3">
      <c r="A1013" s="94" t="s">
        <v>795</v>
      </c>
      <c r="B1013" t="s">
        <v>774</v>
      </c>
      <c r="C1013" s="50">
        <v>10416666.66666667</v>
      </c>
      <c r="D1013" s="95">
        <v>0.1075</v>
      </c>
      <c r="E1013" s="94">
        <v>47176</v>
      </c>
      <c r="F1013" s="50">
        <f t="shared" si="16"/>
        <v>1276</v>
      </c>
      <c r="G1013" t="str">
        <f>VLOOKUP(F1013,T!$A$2:$C$9,3,TRUE)</f>
        <v>7. 3-5 Years</v>
      </c>
    </row>
    <row r="1014" spans="1:7" x14ac:dyDescent="0.3">
      <c r="A1014" s="94" t="s">
        <v>795</v>
      </c>
      <c r="B1014" t="s">
        <v>774</v>
      </c>
      <c r="C1014" s="50">
        <v>10416666.66666667</v>
      </c>
      <c r="D1014" s="95">
        <v>0.1075</v>
      </c>
      <c r="E1014" s="94">
        <v>47176</v>
      </c>
      <c r="F1014" s="50">
        <f t="shared" si="16"/>
        <v>1276</v>
      </c>
      <c r="G1014" t="str">
        <f>VLOOKUP(F1014,T!$A$2:$C$9,3,TRUE)</f>
        <v>7. 3-5 Years</v>
      </c>
    </row>
    <row r="1015" spans="1:7" x14ac:dyDescent="0.3">
      <c r="A1015" s="94" t="s">
        <v>797</v>
      </c>
      <c r="B1015" t="s">
        <v>774</v>
      </c>
      <c r="C1015" s="50">
        <v>8250000</v>
      </c>
      <c r="D1015" s="95">
        <v>0.12</v>
      </c>
      <c r="E1015" s="94">
        <v>47177</v>
      </c>
      <c r="F1015" s="50">
        <f t="shared" si="16"/>
        <v>1277</v>
      </c>
      <c r="G1015" t="str">
        <f>VLOOKUP(F1015,T!$A$2:$C$9,3,TRUE)</f>
        <v>7. 3-5 Years</v>
      </c>
    </row>
    <row r="1016" spans="1:7" x14ac:dyDescent="0.3">
      <c r="A1016" t="s">
        <v>797</v>
      </c>
      <c r="B1016" t="s">
        <v>774</v>
      </c>
      <c r="C1016">
        <v>8250000</v>
      </c>
      <c r="D1016">
        <v>0.12</v>
      </c>
      <c r="E1016" s="176">
        <v>47177</v>
      </c>
      <c r="F1016" s="50">
        <f t="shared" si="16"/>
        <v>1277</v>
      </c>
      <c r="G1016" t="str">
        <f>VLOOKUP(F1016,T!$A$2:$C$9,3,TRUE)</f>
        <v>7. 3-5 Years</v>
      </c>
    </row>
    <row r="1017" spans="1:7" x14ac:dyDescent="0.3">
      <c r="A1017" t="s">
        <v>797</v>
      </c>
      <c r="B1017" t="s">
        <v>774</v>
      </c>
      <c r="C1017">
        <v>8250000</v>
      </c>
      <c r="D1017">
        <v>0.12</v>
      </c>
      <c r="E1017" s="176">
        <v>47177</v>
      </c>
      <c r="F1017" s="50">
        <f t="shared" si="16"/>
        <v>1277</v>
      </c>
      <c r="G1017" t="str">
        <f>VLOOKUP(F1017,T!$A$2:$C$9,3,TRUE)</f>
        <v>7. 3-5 Years</v>
      </c>
    </row>
    <row r="1018" spans="1:7" x14ac:dyDescent="0.3">
      <c r="A1018" t="s">
        <v>797</v>
      </c>
      <c r="B1018" t="s">
        <v>774</v>
      </c>
      <c r="C1018">
        <v>8250000</v>
      </c>
      <c r="D1018">
        <v>0.12</v>
      </c>
      <c r="E1018" s="176">
        <v>47177</v>
      </c>
      <c r="F1018" s="50">
        <f t="shared" si="16"/>
        <v>1277</v>
      </c>
      <c r="G1018" t="str">
        <f>VLOOKUP(F1018,T!$A$2:$C$9,3,TRUE)</f>
        <v>7. 3-5 Years</v>
      </c>
    </row>
    <row r="1019" spans="1:7" x14ac:dyDescent="0.3">
      <c r="A1019" t="s">
        <v>780</v>
      </c>
      <c r="B1019" t="s">
        <v>774</v>
      </c>
      <c r="C1019">
        <v>16666666.470000001</v>
      </c>
      <c r="D1019">
        <v>8.0199999999999994E-2</v>
      </c>
      <c r="E1019" s="176">
        <v>47177</v>
      </c>
      <c r="F1019" s="50">
        <f t="shared" si="16"/>
        <v>1277</v>
      </c>
      <c r="G1019" t="str">
        <f>VLOOKUP(F1019,T!$A$2:$C$9,3,TRUE)</f>
        <v>7. 3-5 Years</v>
      </c>
    </row>
    <row r="1020" spans="1:7" x14ac:dyDescent="0.3">
      <c r="A1020" t="s">
        <v>800</v>
      </c>
      <c r="B1020" t="s">
        <v>774</v>
      </c>
      <c r="C1020">
        <v>50000000</v>
      </c>
      <c r="D1020">
        <v>9.8500000000000004E-2</v>
      </c>
      <c r="E1020" s="176">
        <v>47177</v>
      </c>
      <c r="F1020" s="50">
        <f t="shared" si="16"/>
        <v>1277</v>
      </c>
      <c r="G1020" t="str">
        <f>VLOOKUP(F1020,T!$A$2:$C$9,3,TRUE)</f>
        <v>7. 3-5 Years</v>
      </c>
    </row>
    <row r="1021" spans="1:7" x14ac:dyDescent="0.3">
      <c r="A1021" t="s">
        <v>773</v>
      </c>
      <c r="B1021" t="s">
        <v>774</v>
      </c>
      <c r="C1021">
        <v>50000000</v>
      </c>
      <c r="D1021">
        <v>0.12</v>
      </c>
      <c r="E1021" s="176">
        <v>47190</v>
      </c>
      <c r="F1021" s="50">
        <f t="shared" si="16"/>
        <v>1290</v>
      </c>
      <c r="G1021" t="str">
        <f>VLOOKUP(F1021,T!$A$2:$C$9,3,TRUE)</f>
        <v>7. 3-5 Years</v>
      </c>
    </row>
    <row r="1022" spans="1:7" x14ac:dyDescent="0.3">
      <c r="A1022" t="s">
        <v>773</v>
      </c>
      <c r="B1022" t="s">
        <v>774</v>
      </c>
      <c r="C1022">
        <v>25000000</v>
      </c>
      <c r="D1022">
        <v>0.12</v>
      </c>
      <c r="E1022" s="176">
        <v>47191</v>
      </c>
      <c r="F1022" s="50">
        <f t="shared" si="16"/>
        <v>1291</v>
      </c>
      <c r="G1022" t="str">
        <f>VLOOKUP(F1022,T!$A$2:$C$9,3,TRUE)</f>
        <v>7. 3-5 Years</v>
      </c>
    </row>
    <row r="1023" spans="1:7" x14ac:dyDescent="0.3">
      <c r="A1023" t="s">
        <v>780</v>
      </c>
      <c r="B1023" t="s">
        <v>774</v>
      </c>
      <c r="C1023">
        <v>16666666.67</v>
      </c>
      <c r="D1023">
        <v>8.0199999999999994E-2</v>
      </c>
      <c r="E1023" s="176">
        <v>47192</v>
      </c>
      <c r="F1023" s="50">
        <f t="shared" si="16"/>
        <v>1292</v>
      </c>
      <c r="G1023" t="str">
        <f>VLOOKUP(F1023,T!$A$2:$C$9,3,TRUE)</f>
        <v>7. 3-5 Years</v>
      </c>
    </row>
    <row r="1024" spans="1:7" x14ac:dyDescent="0.3">
      <c r="A1024" t="s">
        <v>785</v>
      </c>
      <c r="B1024" t="s">
        <v>774</v>
      </c>
      <c r="C1024">
        <v>25000000</v>
      </c>
      <c r="D1024">
        <v>8.0199999999999994E-2</v>
      </c>
      <c r="E1024" s="176">
        <v>47195</v>
      </c>
      <c r="F1024" s="50">
        <f t="shared" si="16"/>
        <v>1295</v>
      </c>
      <c r="G1024" t="str">
        <f>VLOOKUP(F1024,T!$A$2:$C$9,3,TRUE)</f>
        <v>7. 3-5 Years</v>
      </c>
    </row>
    <row r="1025" spans="1:7" x14ac:dyDescent="0.3">
      <c r="A1025" t="s">
        <v>790</v>
      </c>
      <c r="B1025" t="s">
        <v>774</v>
      </c>
      <c r="C1025">
        <v>21248181.359999999</v>
      </c>
      <c r="D1025">
        <v>0.12</v>
      </c>
      <c r="E1025" s="176">
        <v>47196</v>
      </c>
      <c r="F1025" s="50">
        <f t="shared" si="16"/>
        <v>1296</v>
      </c>
      <c r="G1025" t="str">
        <f>VLOOKUP(F1025,T!$A$2:$C$9,3,TRUE)</f>
        <v>7. 3-5 Years</v>
      </c>
    </row>
    <row r="1026" spans="1:7" x14ac:dyDescent="0.3">
      <c r="A1026" t="s">
        <v>792</v>
      </c>
      <c r="B1026" t="s">
        <v>774</v>
      </c>
      <c r="C1026">
        <v>20800000</v>
      </c>
      <c r="D1026">
        <v>0.1075</v>
      </c>
      <c r="E1026" s="176">
        <v>47199</v>
      </c>
      <c r="F1026" s="50">
        <f t="shared" si="16"/>
        <v>1299</v>
      </c>
      <c r="G1026" t="str">
        <f>VLOOKUP(F1026,T!$A$2:$C$9,3,TRUE)</f>
        <v>7. 3-5 Years</v>
      </c>
    </row>
    <row r="1027" spans="1:7" x14ac:dyDescent="0.3">
      <c r="A1027" t="s">
        <v>792</v>
      </c>
      <c r="B1027" t="s">
        <v>774</v>
      </c>
      <c r="C1027">
        <v>20800000</v>
      </c>
      <c r="D1027">
        <v>0.1075</v>
      </c>
      <c r="E1027" s="176">
        <v>47201</v>
      </c>
      <c r="F1027" s="50">
        <f t="shared" ref="F1027:F1090" si="17">E1027-$F$1</f>
        <v>1301</v>
      </c>
      <c r="G1027" t="str">
        <f>VLOOKUP(F1027,T!$A$2:$C$9,3,TRUE)</f>
        <v>7. 3-5 Years</v>
      </c>
    </row>
    <row r="1028" spans="1:7" x14ac:dyDescent="0.3">
      <c r="A1028" t="s">
        <v>793</v>
      </c>
      <c r="B1028" t="s">
        <v>774</v>
      </c>
      <c r="C1028">
        <v>16650000</v>
      </c>
      <c r="D1028">
        <v>0.09</v>
      </c>
      <c r="E1028" s="176">
        <v>47202</v>
      </c>
      <c r="F1028" s="50">
        <f t="shared" si="17"/>
        <v>1302</v>
      </c>
      <c r="G1028" t="str">
        <f>VLOOKUP(F1028,T!$A$2:$C$9,3,TRUE)</f>
        <v>7. 3-5 Years</v>
      </c>
    </row>
    <row r="1029" spans="1:7" x14ac:dyDescent="0.3">
      <c r="A1029" t="s">
        <v>793</v>
      </c>
      <c r="B1029" t="s">
        <v>774</v>
      </c>
      <c r="C1029">
        <v>16650000</v>
      </c>
      <c r="D1029">
        <v>0.09</v>
      </c>
      <c r="E1029" s="176">
        <v>47203</v>
      </c>
      <c r="F1029" s="50">
        <f t="shared" si="17"/>
        <v>1303</v>
      </c>
      <c r="G1029" t="str">
        <f>VLOOKUP(F1029,T!$A$2:$C$9,3,TRUE)</f>
        <v>7. 3-5 Years</v>
      </c>
    </row>
    <row r="1030" spans="1:7" x14ac:dyDescent="0.3">
      <c r="A1030" t="s">
        <v>794</v>
      </c>
      <c r="B1030" t="s">
        <v>774</v>
      </c>
      <c r="C1030">
        <v>20833000</v>
      </c>
      <c r="D1030">
        <v>8.0699999999999994E-2</v>
      </c>
      <c r="E1030" s="176">
        <v>47203</v>
      </c>
      <c r="F1030" s="50">
        <f t="shared" si="17"/>
        <v>1303</v>
      </c>
      <c r="G1030" t="str">
        <f>VLOOKUP(F1030,T!$A$2:$C$9,3,TRUE)</f>
        <v>7. 3-5 Years</v>
      </c>
    </row>
    <row r="1031" spans="1:7" x14ac:dyDescent="0.3">
      <c r="A1031" t="s">
        <v>794</v>
      </c>
      <c r="B1031" t="s">
        <v>774</v>
      </c>
      <c r="C1031">
        <v>20833000</v>
      </c>
      <c r="D1031">
        <v>8.0699999999999994E-2</v>
      </c>
      <c r="E1031" s="176">
        <v>47203</v>
      </c>
      <c r="F1031" s="50">
        <f t="shared" si="17"/>
        <v>1303</v>
      </c>
      <c r="G1031" t="str">
        <f>VLOOKUP(F1031,T!$A$2:$C$9,3,TRUE)</f>
        <v>7. 3-5 Years</v>
      </c>
    </row>
    <row r="1032" spans="1:7" x14ac:dyDescent="0.3">
      <c r="A1032" t="s">
        <v>794</v>
      </c>
      <c r="B1032" t="s">
        <v>774</v>
      </c>
      <c r="C1032">
        <v>20833000</v>
      </c>
      <c r="D1032">
        <v>8.0699999999999994E-2</v>
      </c>
      <c r="E1032" s="176">
        <v>47203</v>
      </c>
      <c r="F1032" s="50">
        <f t="shared" si="17"/>
        <v>1303</v>
      </c>
      <c r="G1032" t="str">
        <f>VLOOKUP(F1032,T!$A$2:$C$9,3,TRUE)</f>
        <v>7. 3-5 Years</v>
      </c>
    </row>
    <row r="1033" spans="1:7" x14ac:dyDescent="0.3">
      <c r="A1033" t="s">
        <v>795</v>
      </c>
      <c r="B1033" t="s">
        <v>774</v>
      </c>
      <c r="C1033">
        <v>20833333.333333328</v>
      </c>
      <c r="D1033">
        <v>0.1075</v>
      </c>
      <c r="E1033" s="176">
        <v>47204</v>
      </c>
      <c r="F1033" s="50">
        <f t="shared" si="17"/>
        <v>1304</v>
      </c>
      <c r="G1033" t="str">
        <f>VLOOKUP(F1033,T!$A$2:$C$9,3,TRUE)</f>
        <v>7. 3-5 Years</v>
      </c>
    </row>
    <row r="1034" spans="1:7" x14ac:dyDescent="0.3">
      <c r="A1034" t="s">
        <v>795</v>
      </c>
      <c r="B1034" t="s">
        <v>774</v>
      </c>
      <c r="C1034">
        <v>20833333.333333328</v>
      </c>
      <c r="D1034">
        <v>0.1075</v>
      </c>
      <c r="E1034" s="176">
        <v>47204</v>
      </c>
      <c r="F1034" s="50">
        <f t="shared" si="17"/>
        <v>1304</v>
      </c>
      <c r="G1034" t="str">
        <f>VLOOKUP(F1034,T!$A$2:$C$9,3,TRUE)</f>
        <v>7. 3-5 Years</v>
      </c>
    </row>
    <row r="1035" spans="1:7" x14ac:dyDescent="0.3">
      <c r="A1035" t="s">
        <v>795</v>
      </c>
      <c r="B1035" t="s">
        <v>774</v>
      </c>
      <c r="C1035">
        <v>10416666.66666667</v>
      </c>
      <c r="D1035">
        <v>0.1075</v>
      </c>
      <c r="E1035" s="176">
        <v>47204</v>
      </c>
      <c r="F1035">
        <f t="shared" si="17"/>
        <v>1304</v>
      </c>
      <c r="G1035" t="str">
        <f>VLOOKUP(F1035,T!$A$2:$C$9,3,TRUE)</f>
        <v>7. 3-5 Years</v>
      </c>
    </row>
    <row r="1036" spans="1:7" x14ac:dyDescent="0.3">
      <c r="A1036" t="s">
        <v>795</v>
      </c>
      <c r="B1036" t="s">
        <v>774</v>
      </c>
      <c r="C1036">
        <v>10416666.66666667</v>
      </c>
      <c r="D1036">
        <v>0.1075</v>
      </c>
      <c r="E1036" s="176">
        <v>47204</v>
      </c>
      <c r="F1036">
        <f t="shared" si="17"/>
        <v>1304</v>
      </c>
      <c r="G1036" t="str">
        <f>VLOOKUP(F1036,T!$A$2:$C$9,3,TRUE)</f>
        <v>7. 3-5 Years</v>
      </c>
    </row>
    <row r="1037" spans="1:7" x14ac:dyDescent="0.3">
      <c r="A1037" t="s">
        <v>780</v>
      </c>
      <c r="B1037" t="s">
        <v>774</v>
      </c>
      <c r="C1037">
        <v>16666666.470000001</v>
      </c>
      <c r="D1037">
        <v>8.0199999999999994E-2</v>
      </c>
      <c r="E1037" s="176">
        <v>47206</v>
      </c>
      <c r="F1037">
        <f t="shared" si="17"/>
        <v>1306</v>
      </c>
      <c r="G1037" t="str">
        <f>VLOOKUP(F1037,T!$A$2:$C$9,3,TRUE)</f>
        <v>7. 3-5 Years</v>
      </c>
    </row>
    <row r="1038" spans="1:7" x14ac:dyDescent="0.3">
      <c r="A1038" t="s">
        <v>797</v>
      </c>
      <c r="B1038" t="s">
        <v>774</v>
      </c>
      <c r="C1038">
        <v>8250000</v>
      </c>
      <c r="D1038">
        <v>0.12</v>
      </c>
      <c r="E1038" s="176">
        <v>47208</v>
      </c>
      <c r="F1038">
        <f t="shared" si="17"/>
        <v>1308</v>
      </c>
      <c r="G1038" t="str">
        <f>VLOOKUP(F1038,T!$A$2:$C$9,3,TRUE)</f>
        <v>7. 3-5 Years</v>
      </c>
    </row>
    <row r="1039" spans="1:7" x14ac:dyDescent="0.3">
      <c r="A1039" t="s">
        <v>797</v>
      </c>
      <c r="B1039" t="s">
        <v>774</v>
      </c>
      <c r="C1039">
        <v>8250000</v>
      </c>
      <c r="D1039">
        <v>0.12</v>
      </c>
      <c r="E1039" s="176">
        <v>47208</v>
      </c>
      <c r="F1039">
        <f t="shared" si="17"/>
        <v>1308</v>
      </c>
      <c r="G1039" t="str">
        <f>VLOOKUP(F1039,T!$A$2:$C$9,3,TRUE)</f>
        <v>7. 3-5 Years</v>
      </c>
    </row>
    <row r="1040" spans="1:7" x14ac:dyDescent="0.3">
      <c r="A1040" t="s">
        <v>797</v>
      </c>
      <c r="B1040" t="s">
        <v>774</v>
      </c>
      <c r="C1040">
        <v>8250000</v>
      </c>
      <c r="D1040">
        <v>0.12</v>
      </c>
      <c r="E1040" s="176">
        <v>47208</v>
      </c>
      <c r="F1040">
        <f t="shared" si="17"/>
        <v>1308</v>
      </c>
      <c r="G1040" t="str">
        <f>VLOOKUP(F1040,T!$A$2:$C$9,3,TRUE)</f>
        <v>7. 3-5 Years</v>
      </c>
    </row>
    <row r="1041" spans="1:7" x14ac:dyDescent="0.3">
      <c r="A1041" t="s">
        <v>797</v>
      </c>
      <c r="B1041" t="s">
        <v>774</v>
      </c>
      <c r="C1041">
        <v>8250000</v>
      </c>
      <c r="D1041">
        <v>0.12</v>
      </c>
      <c r="E1041" s="176">
        <v>47208</v>
      </c>
      <c r="F1041">
        <f t="shared" si="17"/>
        <v>1308</v>
      </c>
      <c r="G1041" t="str">
        <f>VLOOKUP(F1041,T!$A$2:$C$9,3,TRUE)</f>
        <v>7. 3-5 Years</v>
      </c>
    </row>
    <row r="1042" spans="1:7" x14ac:dyDescent="0.3">
      <c r="A1042" t="s">
        <v>780</v>
      </c>
      <c r="B1042" t="s">
        <v>774</v>
      </c>
      <c r="C1042">
        <v>16666666.67</v>
      </c>
      <c r="D1042">
        <v>8.0199999999999994E-2</v>
      </c>
      <c r="E1042" s="176">
        <v>47223</v>
      </c>
      <c r="F1042">
        <f t="shared" si="17"/>
        <v>1323</v>
      </c>
      <c r="G1042" t="str">
        <f>VLOOKUP(F1042,T!$A$2:$C$9,3,TRUE)</f>
        <v>7. 3-5 Years</v>
      </c>
    </row>
    <row r="1043" spans="1:7" x14ac:dyDescent="0.3">
      <c r="A1043" t="s">
        <v>785</v>
      </c>
      <c r="B1043" t="s">
        <v>774</v>
      </c>
      <c r="C1043">
        <v>25000000</v>
      </c>
      <c r="D1043">
        <v>8.0199999999999994E-2</v>
      </c>
      <c r="E1043" s="176">
        <v>47226</v>
      </c>
      <c r="F1043">
        <f t="shared" si="17"/>
        <v>1326</v>
      </c>
      <c r="G1043" t="str">
        <f>VLOOKUP(F1043,T!$A$2:$C$9,3,TRUE)</f>
        <v>7. 3-5 Years</v>
      </c>
    </row>
    <row r="1044" spans="1:7" x14ac:dyDescent="0.3">
      <c r="A1044" t="s">
        <v>790</v>
      </c>
      <c r="B1044" t="s">
        <v>774</v>
      </c>
      <c r="C1044">
        <v>21357995.550000001</v>
      </c>
      <c r="D1044">
        <v>0.12</v>
      </c>
      <c r="E1044" s="176">
        <v>47227</v>
      </c>
      <c r="F1044">
        <f t="shared" si="17"/>
        <v>1327</v>
      </c>
      <c r="G1044" t="str">
        <f>VLOOKUP(F1044,T!$A$2:$C$9,3,TRUE)</f>
        <v>7. 3-5 Years</v>
      </c>
    </row>
    <row r="1045" spans="1:7" x14ac:dyDescent="0.3">
      <c r="A1045" t="s">
        <v>792</v>
      </c>
      <c r="B1045" t="s">
        <v>774</v>
      </c>
      <c r="C1045">
        <v>22400000</v>
      </c>
      <c r="D1045">
        <v>0.1075</v>
      </c>
      <c r="E1045" s="176">
        <v>47230</v>
      </c>
      <c r="F1045">
        <f t="shared" si="17"/>
        <v>1330</v>
      </c>
      <c r="G1045" t="str">
        <f>VLOOKUP(F1045,T!$A$2:$C$9,3,TRUE)</f>
        <v>7. 3-5 Years</v>
      </c>
    </row>
    <row r="1046" spans="1:7" x14ac:dyDescent="0.3">
      <c r="A1046" t="s">
        <v>799</v>
      </c>
      <c r="B1046" t="s">
        <v>774</v>
      </c>
      <c r="C1046">
        <v>50000000</v>
      </c>
      <c r="D1046">
        <v>0.12</v>
      </c>
      <c r="E1046" s="176">
        <v>47231</v>
      </c>
      <c r="F1046">
        <f t="shared" si="17"/>
        <v>1331</v>
      </c>
      <c r="G1046" t="str">
        <f>VLOOKUP(F1046,T!$A$2:$C$9,3,TRUE)</f>
        <v>7. 3-5 Years</v>
      </c>
    </row>
    <row r="1047" spans="1:7" x14ac:dyDescent="0.3">
      <c r="A1047" t="s">
        <v>799</v>
      </c>
      <c r="B1047" t="s">
        <v>774</v>
      </c>
      <c r="C1047">
        <v>50000000</v>
      </c>
      <c r="D1047">
        <v>0.12</v>
      </c>
      <c r="E1047" s="176">
        <v>47231</v>
      </c>
      <c r="F1047">
        <f t="shared" si="17"/>
        <v>1331</v>
      </c>
      <c r="G1047" t="str">
        <f>VLOOKUP(F1047,T!$A$2:$C$9,3,TRUE)</f>
        <v>7. 3-5 Years</v>
      </c>
    </row>
    <row r="1048" spans="1:7" x14ac:dyDescent="0.3">
      <c r="A1048" t="s">
        <v>799</v>
      </c>
      <c r="B1048" t="s">
        <v>774</v>
      </c>
      <c r="C1048">
        <v>50000000</v>
      </c>
      <c r="D1048">
        <v>0.12</v>
      </c>
      <c r="E1048" s="176">
        <v>47231</v>
      </c>
      <c r="F1048">
        <f t="shared" si="17"/>
        <v>1331</v>
      </c>
      <c r="G1048" t="str">
        <f>VLOOKUP(F1048,T!$A$2:$C$9,3,TRUE)</f>
        <v>7. 3-5 Years</v>
      </c>
    </row>
    <row r="1049" spans="1:7" x14ac:dyDescent="0.3">
      <c r="A1049" t="s">
        <v>792</v>
      </c>
      <c r="B1049" t="s">
        <v>774</v>
      </c>
      <c r="C1049">
        <v>22400000</v>
      </c>
      <c r="D1049">
        <v>0.1075</v>
      </c>
      <c r="E1049" s="176">
        <v>47232</v>
      </c>
      <c r="F1049">
        <f t="shared" si="17"/>
        <v>1332</v>
      </c>
      <c r="G1049" t="str">
        <f>VLOOKUP(F1049,T!$A$2:$C$9,3,TRUE)</f>
        <v>7. 3-5 Years</v>
      </c>
    </row>
    <row r="1050" spans="1:7" x14ac:dyDescent="0.3">
      <c r="A1050" t="s">
        <v>793</v>
      </c>
      <c r="B1050" t="s">
        <v>774</v>
      </c>
      <c r="C1050">
        <v>16650000</v>
      </c>
      <c r="D1050">
        <v>0.09</v>
      </c>
      <c r="E1050" s="176">
        <v>47233</v>
      </c>
      <c r="F1050">
        <f t="shared" si="17"/>
        <v>1333</v>
      </c>
      <c r="G1050" t="str">
        <f>VLOOKUP(F1050,T!$A$2:$C$9,3,TRUE)</f>
        <v>7. 3-5 Years</v>
      </c>
    </row>
    <row r="1051" spans="1:7" x14ac:dyDescent="0.3">
      <c r="A1051" t="s">
        <v>793</v>
      </c>
      <c r="B1051" t="s">
        <v>774</v>
      </c>
      <c r="C1051">
        <v>16650000</v>
      </c>
      <c r="D1051">
        <v>0.09</v>
      </c>
      <c r="E1051" s="176">
        <v>47234</v>
      </c>
      <c r="F1051">
        <f t="shared" si="17"/>
        <v>1334</v>
      </c>
      <c r="G1051" t="str">
        <f>VLOOKUP(F1051,T!$A$2:$C$9,3,TRUE)</f>
        <v>7. 3-5 Years</v>
      </c>
    </row>
    <row r="1052" spans="1:7" x14ac:dyDescent="0.3">
      <c r="A1052" t="s">
        <v>794</v>
      </c>
      <c r="B1052" t="s">
        <v>774</v>
      </c>
      <c r="C1052">
        <v>20833000</v>
      </c>
      <c r="D1052">
        <v>8.0699999999999994E-2</v>
      </c>
      <c r="E1052" s="176">
        <v>47234</v>
      </c>
      <c r="F1052">
        <f t="shared" si="17"/>
        <v>1334</v>
      </c>
      <c r="G1052" t="str">
        <f>VLOOKUP(F1052,T!$A$2:$C$9,3,TRUE)</f>
        <v>7. 3-5 Years</v>
      </c>
    </row>
    <row r="1053" spans="1:7" x14ac:dyDescent="0.3">
      <c r="A1053" t="s">
        <v>794</v>
      </c>
      <c r="B1053" t="s">
        <v>774</v>
      </c>
      <c r="C1053">
        <v>20833000</v>
      </c>
      <c r="D1053">
        <v>8.0699999999999994E-2</v>
      </c>
      <c r="E1053" s="176">
        <v>47234</v>
      </c>
      <c r="F1053">
        <f t="shared" si="17"/>
        <v>1334</v>
      </c>
      <c r="G1053" t="str">
        <f>VLOOKUP(F1053,T!$A$2:$C$9,3,TRUE)</f>
        <v>7. 3-5 Years</v>
      </c>
    </row>
    <row r="1054" spans="1:7" x14ac:dyDescent="0.3">
      <c r="A1054" t="s">
        <v>794</v>
      </c>
      <c r="B1054" t="s">
        <v>774</v>
      </c>
      <c r="C1054">
        <v>20833000</v>
      </c>
      <c r="D1054">
        <v>8.0699999999999994E-2</v>
      </c>
      <c r="E1054" s="176">
        <v>47234</v>
      </c>
      <c r="F1054">
        <f t="shared" si="17"/>
        <v>1334</v>
      </c>
      <c r="G1054" t="str">
        <f>VLOOKUP(F1054,T!$A$2:$C$9,3,TRUE)</f>
        <v>7. 3-5 Years</v>
      </c>
    </row>
    <row r="1055" spans="1:7" x14ac:dyDescent="0.3">
      <c r="A1055" t="s">
        <v>780</v>
      </c>
      <c r="B1055" t="s">
        <v>774</v>
      </c>
      <c r="C1055">
        <v>16666666.470000001</v>
      </c>
      <c r="D1055">
        <v>8.0199999999999994E-2</v>
      </c>
      <c r="E1055" s="176">
        <v>47237</v>
      </c>
      <c r="F1055">
        <f t="shared" si="17"/>
        <v>1337</v>
      </c>
      <c r="G1055" t="str">
        <f>VLOOKUP(F1055,T!$A$2:$C$9,3,TRUE)</f>
        <v>7. 3-5 Years</v>
      </c>
    </row>
    <row r="1056" spans="1:7" x14ac:dyDescent="0.3">
      <c r="A1056" t="s">
        <v>797</v>
      </c>
      <c r="B1056" t="s">
        <v>774</v>
      </c>
      <c r="C1056">
        <v>8250000</v>
      </c>
      <c r="D1056">
        <v>0.12</v>
      </c>
      <c r="E1056" s="176">
        <v>47238</v>
      </c>
      <c r="F1056">
        <f t="shared" si="17"/>
        <v>1338</v>
      </c>
      <c r="G1056" t="str">
        <f>VLOOKUP(F1056,T!$A$2:$C$9,3,TRUE)</f>
        <v>7. 3-5 Years</v>
      </c>
    </row>
    <row r="1057" spans="1:7" x14ac:dyDescent="0.3">
      <c r="A1057" t="s">
        <v>797</v>
      </c>
      <c r="B1057" t="s">
        <v>774</v>
      </c>
      <c r="C1057">
        <v>8250000</v>
      </c>
      <c r="D1057">
        <v>0.12</v>
      </c>
      <c r="E1057" s="176">
        <v>47238</v>
      </c>
      <c r="F1057">
        <f t="shared" si="17"/>
        <v>1338</v>
      </c>
      <c r="G1057" t="str">
        <f>VLOOKUP(F1057,T!$A$2:$C$9,3,TRUE)</f>
        <v>7. 3-5 Years</v>
      </c>
    </row>
    <row r="1058" spans="1:7" x14ac:dyDescent="0.3">
      <c r="A1058" t="s">
        <v>797</v>
      </c>
      <c r="B1058" t="s">
        <v>774</v>
      </c>
      <c r="C1058">
        <v>8250000</v>
      </c>
      <c r="D1058">
        <v>0.12</v>
      </c>
      <c r="E1058" s="176">
        <v>47238</v>
      </c>
      <c r="F1058">
        <f t="shared" si="17"/>
        <v>1338</v>
      </c>
      <c r="G1058" t="str">
        <f>VLOOKUP(F1058,T!$A$2:$C$9,3,TRUE)</f>
        <v>7. 3-5 Years</v>
      </c>
    </row>
    <row r="1059" spans="1:7" x14ac:dyDescent="0.3">
      <c r="A1059" t="s">
        <v>797</v>
      </c>
      <c r="B1059" t="s">
        <v>774</v>
      </c>
      <c r="C1059">
        <v>8250000</v>
      </c>
      <c r="D1059">
        <v>0.12</v>
      </c>
      <c r="E1059" s="176">
        <v>47238</v>
      </c>
      <c r="F1059">
        <f t="shared" si="17"/>
        <v>1338</v>
      </c>
      <c r="G1059" t="str">
        <f>VLOOKUP(F1059,T!$A$2:$C$9,3,TRUE)</f>
        <v>7. 3-5 Years</v>
      </c>
    </row>
    <row r="1060" spans="1:7" x14ac:dyDescent="0.3">
      <c r="A1060" t="s">
        <v>780</v>
      </c>
      <c r="B1060" t="s">
        <v>774</v>
      </c>
      <c r="C1060">
        <v>16666666.67</v>
      </c>
      <c r="D1060">
        <v>8.0199999999999994E-2</v>
      </c>
      <c r="E1060" s="176">
        <v>47253</v>
      </c>
      <c r="F1060">
        <f t="shared" si="17"/>
        <v>1353</v>
      </c>
      <c r="G1060" t="str">
        <f>VLOOKUP(F1060,T!$A$2:$C$9,3,TRUE)</f>
        <v>7. 3-5 Years</v>
      </c>
    </row>
    <row r="1061" spans="1:7" x14ac:dyDescent="0.3">
      <c r="A1061" t="s">
        <v>785</v>
      </c>
      <c r="B1061" t="s">
        <v>774</v>
      </c>
      <c r="C1061">
        <v>25000000</v>
      </c>
      <c r="D1061">
        <v>8.0199999999999994E-2</v>
      </c>
      <c r="E1061" s="176">
        <v>47256</v>
      </c>
      <c r="F1061">
        <f t="shared" si="17"/>
        <v>1356</v>
      </c>
      <c r="G1061" t="str">
        <f>VLOOKUP(F1061,T!$A$2:$C$9,3,TRUE)</f>
        <v>7. 3-5 Years</v>
      </c>
    </row>
    <row r="1062" spans="1:7" x14ac:dyDescent="0.3">
      <c r="A1062" t="s">
        <v>790</v>
      </c>
      <c r="B1062" t="s">
        <v>774</v>
      </c>
      <c r="C1062">
        <v>21597244.780000001</v>
      </c>
      <c r="D1062">
        <v>0.12</v>
      </c>
      <c r="E1062" s="176">
        <v>47257</v>
      </c>
      <c r="F1062">
        <f t="shared" si="17"/>
        <v>1357</v>
      </c>
      <c r="G1062" t="str">
        <f>VLOOKUP(F1062,T!$A$2:$C$9,3,TRUE)</f>
        <v>7. 3-5 Years</v>
      </c>
    </row>
    <row r="1063" spans="1:7" x14ac:dyDescent="0.3">
      <c r="A1063" t="s">
        <v>800</v>
      </c>
      <c r="B1063" t="s">
        <v>774</v>
      </c>
      <c r="C1063">
        <v>50000000</v>
      </c>
      <c r="D1063">
        <v>9.8500000000000004E-2</v>
      </c>
      <c r="E1063" s="176">
        <v>47259</v>
      </c>
      <c r="F1063">
        <f t="shared" si="17"/>
        <v>1359</v>
      </c>
      <c r="G1063" t="str">
        <f>VLOOKUP(F1063,T!$A$2:$C$9,3,TRUE)</f>
        <v>7. 3-5 Years</v>
      </c>
    </row>
    <row r="1064" spans="1:7" x14ac:dyDescent="0.3">
      <c r="A1064" t="s">
        <v>793</v>
      </c>
      <c r="B1064" t="s">
        <v>774</v>
      </c>
      <c r="C1064">
        <v>16650000</v>
      </c>
      <c r="D1064">
        <v>0.09</v>
      </c>
      <c r="E1064" s="176">
        <v>47263</v>
      </c>
      <c r="F1064">
        <f t="shared" si="17"/>
        <v>1363</v>
      </c>
      <c r="G1064" t="str">
        <f>VLOOKUP(F1064,T!$A$2:$C$9,3,TRUE)</f>
        <v>7. 3-5 Years</v>
      </c>
    </row>
    <row r="1065" spans="1:7" x14ac:dyDescent="0.3">
      <c r="A1065" t="s">
        <v>793</v>
      </c>
      <c r="B1065" t="s">
        <v>774</v>
      </c>
      <c r="C1065">
        <v>16650000</v>
      </c>
      <c r="D1065">
        <v>0.09</v>
      </c>
      <c r="E1065" s="176">
        <v>47264</v>
      </c>
      <c r="F1065">
        <f t="shared" si="17"/>
        <v>1364</v>
      </c>
      <c r="G1065" t="str">
        <f>VLOOKUP(F1065,T!$A$2:$C$9,3,TRUE)</f>
        <v>7. 3-5 Years</v>
      </c>
    </row>
    <row r="1066" spans="1:7" x14ac:dyDescent="0.3">
      <c r="A1066" t="s">
        <v>794</v>
      </c>
      <c r="B1066" t="s">
        <v>774</v>
      </c>
      <c r="C1066">
        <v>20849000</v>
      </c>
      <c r="D1066">
        <v>8.0699999999999994E-2</v>
      </c>
      <c r="E1066" s="176">
        <v>47264</v>
      </c>
      <c r="F1066">
        <f t="shared" si="17"/>
        <v>1364</v>
      </c>
      <c r="G1066" t="str">
        <f>VLOOKUP(F1066,T!$A$2:$C$9,3,TRUE)</f>
        <v>7. 3-5 Years</v>
      </c>
    </row>
    <row r="1067" spans="1:7" x14ac:dyDescent="0.3">
      <c r="A1067" t="s">
        <v>794</v>
      </c>
      <c r="B1067" t="s">
        <v>774</v>
      </c>
      <c r="C1067">
        <v>20849000</v>
      </c>
      <c r="D1067">
        <v>8.0699999999999994E-2</v>
      </c>
      <c r="E1067" s="176">
        <v>47264</v>
      </c>
      <c r="F1067">
        <f t="shared" si="17"/>
        <v>1364</v>
      </c>
      <c r="G1067" t="str">
        <f>VLOOKUP(F1067,T!$A$2:$C$9,3,TRUE)</f>
        <v>7. 3-5 Years</v>
      </c>
    </row>
    <row r="1068" spans="1:7" x14ac:dyDescent="0.3">
      <c r="A1068" t="s">
        <v>794</v>
      </c>
      <c r="B1068" t="s">
        <v>774</v>
      </c>
      <c r="C1068">
        <v>20849000</v>
      </c>
      <c r="D1068">
        <v>8.0699999999999994E-2</v>
      </c>
      <c r="E1068" s="176">
        <v>47264</v>
      </c>
      <c r="F1068">
        <f t="shared" si="17"/>
        <v>1364</v>
      </c>
      <c r="G1068" t="str">
        <f>VLOOKUP(F1068,T!$A$2:$C$9,3,TRUE)</f>
        <v>7. 3-5 Years</v>
      </c>
    </row>
    <row r="1069" spans="1:7" x14ac:dyDescent="0.3">
      <c r="A1069" t="s">
        <v>800</v>
      </c>
      <c r="B1069" t="s">
        <v>774</v>
      </c>
      <c r="C1069">
        <v>50000000</v>
      </c>
      <c r="D1069">
        <v>9.8500000000000004E-2</v>
      </c>
      <c r="E1069" s="176">
        <v>47266</v>
      </c>
      <c r="F1069">
        <f t="shared" si="17"/>
        <v>1366</v>
      </c>
      <c r="G1069" t="str">
        <f>VLOOKUP(F1069,T!$A$2:$C$9,3,TRUE)</f>
        <v>7. 3-5 Years</v>
      </c>
    </row>
    <row r="1070" spans="1:7" x14ac:dyDescent="0.3">
      <c r="A1070" t="s">
        <v>780</v>
      </c>
      <c r="B1070" t="s">
        <v>774</v>
      </c>
      <c r="C1070">
        <v>16666666.470000001</v>
      </c>
      <c r="D1070">
        <v>8.0199999999999994E-2</v>
      </c>
      <c r="E1070" s="176">
        <v>47267</v>
      </c>
      <c r="F1070">
        <f t="shared" si="17"/>
        <v>1367</v>
      </c>
      <c r="G1070" t="str">
        <f>VLOOKUP(F1070,T!$A$2:$C$9,3,TRUE)</f>
        <v>7. 3-5 Years</v>
      </c>
    </row>
    <row r="1071" spans="1:7" x14ac:dyDescent="0.3">
      <c r="A1071" t="s">
        <v>797</v>
      </c>
      <c r="B1071" t="s">
        <v>774</v>
      </c>
      <c r="C1071">
        <v>8250000</v>
      </c>
      <c r="D1071">
        <v>0.12</v>
      </c>
      <c r="E1071" s="176">
        <v>47269</v>
      </c>
      <c r="F1071">
        <f t="shared" si="17"/>
        <v>1369</v>
      </c>
      <c r="G1071" t="str">
        <f>VLOOKUP(F1071,T!$A$2:$C$9,3,TRUE)</f>
        <v>7. 3-5 Years</v>
      </c>
    </row>
    <row r="1072" spans="1:7" x14ac:dyDescent="0.3">
      <c r="A1072" t="s">
        <v>797</v>
      </c>
      <c r="B1072" t="s">
        <v>774</v>
      </c>
      <c r="C1072">
        <v>8250000</v>
      </c>
      <c r="D1072">
        <v>0.12</v>
      </c>
      <c r="E1072" s="176">
        <v>47269</v>
      </c>
      <c r="F1072">
        <f t="shared" si="17"/>
        <v>1369</v>
      </c>
      <c r="G1072" t="str">
        <f>VLOOKUP(F1072,T!$A$2:$C$9,3,TRUE)</f>
        <v>7. 3-5 Years</v>
      </c>
    </row>
    <row r="1073" spans="1:7" x14ac:dyDescent="0.3">
      <c r="A1073" t="s">
        <v>797</v>
      </c>
      <c r="B1073" t="s">
        <v>774</v>
      </c>
      <c r="C1073">
        <v>8250000</v>
      </c>
      <c r="D1073">
        <v>0.12</v>
      </c>
      <c r="E1073" s="176">
        <v>47269</v>
      </c>
      <c r="F1073">
        <f t="shared" si="17"/>
        <v>1369</v>
      </c>
      <c r="G1073" t="str">
        <f>VLOOKUP(F1073,T!$A$2:$C$9,3,TRUE)</f>
        <v>7. 3-5 Years</v>
      </c>
    </row>
    <row r="1074" spans="1:7" x14ac:dyDescent="0.3">
      <c r="A1074" t="s">
        <v>797</v>
      </c>
      <c r="B1074" t="s">
        <v>774</v>
      </c>
      <c r="C1074">
        <v>8250000</v>
      </c>
      <c r="D1074">
        <v>0.12</v>
      </c>
      <c r="E1074" s="176">
        <v>47269</v>
      </c>
      <c r="F1074">
        <f t="shared" si="17"/>
        <v>1369</v>
      </c>
      <c r="G1074" t="str">
        <f>VLOOKUP(F1074,T!$A$2:$C$9,3,TRUE)</f>
        <v>7. 3-5 Years</v>
      </c>
    </row>
    <row r="1075" spans="1:7" x14ac:dyDescent="0.3">
      <c r="A1075" t="s">
        <v>773</v>
      </c>
      <c r="B1075" t="s">
        <v>774</v>
      </c>
      <c r="C1075">
        <v>50000000</v>
      </c>
      <c r="D1075">
        <v>0.12</v>
      </c>
      <c r="E1075" s="176">
        <v>47282</v>
      </c>
      <c r="F1075">
        <f t="shared" si="17"/>
        <v>1382</v>
      </c>
      <c r="G1075" t="str">
        <f>VLOOKUP(F1075,T!$A$2:$C$9,3,TRUE)</f>
        <v>7. 3-5 Years</v>
      </c>
    </row>
    <row r="1076" spans="1:7" x14ac:dyDescent="0.3">
      <c r="A1076" t="s">
        <v>773</v>
      </c>
      <c r="B1076" t="s">
        <v>774</v>
      </c>
      <c r="C1076">
        <v>25000000</v>
      </c>
      <c r="D1076">
        <v>0.12</v>
      </c>
      <c r="E1076" s="176">
        <v>47283</v>
      </c>
      <c r="F1076">
        <f t="shared" si="17"/>
        <v>1383</v>
      </c>
      <c r="G1076" t="str">
        <f>VLOOKUP(F1076,T!$A$2:$C$9,3,TRUE)</f>
        <v>7. 3-5 Years</v>
      </c>
    </row>
    <row r="1077" spans="1:7" x14ac:dyDescent="0.3">
      <c r="A1077" t="s">
        <v>780</v>
      </c>
      <c r="B1077" t="s">
        <v>774</v>
      </c>
      <c r="C1077">
        <v>16666666.67</v>
      </c>
      <c r="D1077">
        <v>8.0199999999999994E-2</v>
      </c>
      <c r="E1077" s="176">
        <v>47284</v>
      </c>
      <c r="F1077">
        <f t="shared" si="17"/>
        <v>1384</v>
      </c>
      <c r="G1077" t="str">
        <f>VLOOKUP(F1077,T!$A$2:$C$9,3,TRUE)</f>
        <v>7. 3-5 Years</v>
      </c>
    </row>
    <row r="1078" spans="1:7" x14ac:dyDescent="0.3">
      <c r="A1078" t="s">
        <v>785</v>
      </c>
      <c r="B1078" t="s">
        <v>774</v>
      </c>
      <c r="C1078">
        <v>25000000</v>
      </c>
      <c r="D1078">
        <v>8.0199999999999994E-2</v>
      </c>
      <c r="E1078" s="176">
        <v>47287</v>
      </c>
      <c r="F1078">
        <f t="shared" si="17"/>
        <v>1387</v>
      </c>
      <c r="G1078" t="str">
        <f>VLOOKUP(F1078,T!$A$2:$C$9,3,TRUE)</f>
        <v>7. 3-5 Years</v>
      </c>
    </row>
    <row r="1079" spans="1:7" x14ac:dyDescent="0.3">
      <c r="A1079" t="s">
        <v>790</v>
      </c>
      <c r="B1079" t="s">
        <v>774</v>
      </c>
      <c r="C1079">
        <v>21795785.920000002</v>
      </c>
      <c r="D1079">
        <v>0.12</v>
      </c>
      <c r="E1079" s="176">
        <v>47288</v>
      </c>
      <c r="F1079">
        <f t="shared" si="17"/>
        <v>1388</v>
      </c>
      <c r="G1079" t="str">
        <f>VLOOKUP(F1079,T!$A$2:$C$9,3,TRUE)</f>
        <v>7. 3-5 Years</v>
      </c>
    </row>
    <row r="1080" spans="1:7" x14ac:dyDescent="0.3">
      <c r="A1080" t="s">
        <v>793</v>
      </c>
      <c r="B1080" t="s">
        <v>774</v>
      </c>
      <c r="C1080">
        <v>16650000</v>
      </c>
      <c r="D1080">
        <v>0.09</v>
      </c>
      <c r="E1080" s="176">
        <v>47294</v>
      </c>
      <c r="F1080">
        <f t="shared" si="17"/>
        <v>1394</v>
      </c>
      <c r="G1080" t="str">
        <f>VLOOKUP(F1080,T!$A$2:$C$9,3,TRUE)</f>
        <v>7. 3-5 Years</v>
      </c>
    </row>
    <row r="1081" spans="1:7" x14ac:dyDescent="0.3">
      <c r="A1081" t="s">
        <v>793</v>
      </c>
      <c r="B1081" t="s">
        <v>774</v>
      </c>
      <c r="C1081">
        <v>16650000</v>
      </c>
      <c r="D1081">
        <v>0.09</v>
      </c>
      <c r="E1081" s="176">
        <v>47295</v>
      </c>
      <c r="F1081">
        <f t="shared" si="17"/>
        <v>1395</v>
      </c>
      <c r="G1081" t="str">
        <f>VLOOKUP(F1081,T!$A$2:$C$9,3,TRUE)</f>
        <v>7. 3-5 Years</v>
      </c>
    </row>
    <row r="1082" spans="1:7" x14ac:dyDescent="0.3">
      <c r="A1082" t="s">
        <v>780</v>
      </c>
      <c r="B1082" t="s">
        <v>774</v>
      </c>
      <c r="C1082">
        <v>16666666.470000001</v>
      </c>
      <c r="D1082">
        <v>8.0199999999999994E-2</v>
      </c>
      <c r="E1082" s="176">
        <v>47298</v>
      </c>
      <c r="F1082">
        <f t="shared" si="17"/>
        <v>1398</v>
      </c>
      <c r="G1082" t="str">
        <f>VLOOKUP(F1082,T!$A$2:$C$9,3,TRUE)</f>
        <v>7. 3-5 Years</v>
      </c>
    </row>
    <row r="1083" spans="1:7" x14ac:dyDescent="0.3">
      <c r="A1083" t="s">
        <v>797</v>
      </c>
      <c r="B1083" t="s">
        <v>774</v>
      </c>
      <c r="C1083">
        <v>13250000</v>
      </c>
      <c r="D1083">
        <v>0.12</v>
      </c>
      <c r="E1083" s="176">
        <v>47299</v>
      </c>
      <c r="F1083">
        <f t="shared" si="17"/>
        <v>1399</v>
      </c>
      <c r="G1083" t="str">
        <f>VLOOKUP(F1083,T!$A$2:$C$9,3,TRUE)</f>
        <v>7. 3-5 Years</v>
      </c>
    </row>
    <row r="1084" spans="1:7" x14ac:dyDescent="0.3">
      <c r="A1084" t="s">
        <v>797</v>
      </c>
      <c r="B1084" t="s">
        <v>774</v>
      </c>
      <c r="C1084">
        <v>13250000</v>
      </c>
      <c r="D1084">
        <v>0.12</v>
      </c>
      <c r="E1084" s="176">
        <v>47299</v>
      </c>
      <c r="F1084">
        <f t="shared" si="17"/>
        <v>1399</v>
      </c>
      <c r="G1084" t="str">
        <f>VLOOKUP(F1084,T!$A$2:$C$9,3,TRUE)</f>
        <v>7. 3-5 Years</v>
      </c>
    </row>
    <row r="1085" spans="1:7" x14ac:dyDescent="0.3">
      <c r="A1085" t="s">
        <v>797</v>
      </c>
      <c r="B1085" t="s">
        <v>774</v>
      </c>
      <c r="C1085">
        <v>13250000</v>
      </c>
      <c r="D1085">
        <v>0.12</v>
      </c>
      <c r="E1085" s="176">
        <v>47299</v>
      </c>
      <c r="F1085">
        <f t="shared" si="17"/>
        <v>1399</v>
      </c>
      <c r="G1085" t="str">
        <f>VLOOKUP(F1085,T!$A$2:$C$9,3,TRUE)</f>
        <v>7. 3-5 Years</v>
      </c>
    </row>
    <row r="1086" spans="1:7" x14ac:dyDescent="0.3">
      <c r="A1086" t="s">
        <v>797</v>
      </c>
      <c r="B1086" t="s">
        <v>774</v>
      </c>
      <c r="C1086">
        <v>13250000</v>
      </c>
      <c r="D1086">
        <v>0.12</v>
      </c>
      <c r="E1086" s="176">
        <v>47299</v>
      </c>
      <c r="F1086">
        <f t="shared" si="17"/>
        <v>1399</v>
      </c>
      <c r="G1086" t="str">
        <f>VLOOKUP(F1086,T!$A$2:$C$9,3,TRUE)</f>
        <v>7. 3-5 Years</v>
      </c>
    </row>
    <row r="1087" spans="1:7" x14ac:dyDescent="0.3">
      <c r="A1087" t="s">
        <v>780</v>
      </c>
      <c r="B1087" t="s">
        <v>774</v>
      </c>
      <c r="C1087">
        <v>16666666.67</v>
      </c>
      <c r="D1087">
        <v>8.0199999999999994E-2</v>
      </c>
      <c r="E1087" s="176">
        <v>47314</v>
      </c>
      <c r="F1087">
        <f t="shared" si="17"/>
        <v>1414</v>
      </c>
      <c r="G1087" t="str">
        <f>VLOOKUP(F1087,T!$A$2:$C$9,3,TRUE)</f>
        <v>7. 3-5 Years</v>
      </c>
    </row>
    <row r="1088" spans="1:7" x14ac:dyDescent="0.3">
      <c r="A1088" t="s">
        <v>785</v>
      </c>
      <c r="B1088" t="s">
        <v>774</v>
      </c>
      <c r="C1088">
        <v>25000000</v>
      </c>
      <c r="D1088">
        <v>8.0199999999999994E-2</v>
      </c>
      <c r="E1088" s="176">
        <v>47317</v>
      </c>
      <c r="F1088">
        <f t="shared" si="17"/>
        <v>1417</v>
      </c>
      <c r="G1088" t="str">
        <f>VLOOKUP(F1088,T!$A$2:$C$9,3,TRUE)</f>
        <v>7. 3-5 Years</v>
      </c>
    </row>
    <row r="1089" spans="1:7" x14ac:dyDescent="0.3">
      <c r="A1089" t="s">
        <v>790</v>
      </c>
      <c r="B1089" t="s">
        <v>774</v>
      </c>
      <c r="C1089">
        <v>22226146.710000001</v>
      </c>
      <c r="D1089">
        <v>0.12</v>
      </c>
      <c r="E1089" s="176">
        <v>47318</v>
      </c>
      <c r="F1089">
        <f t="shared" si="17"/>
        <v>1418</v>
      </c>
      <c r="G1089" t="str">
        <f>VLOOKUP(F1089,T!$A$2:$C$9,3,TRUE)</f>
        <v>7. 3-5 Years</v>
      </c>
    </row>
    <row r="1090" spans="1:7" x14ac:dyDescent="0.3">
      <c r="A1090" t="s">
        <v>799</v>
      </c>
      <c r="B1090" t="s">
        <v>774</v>
      </c>
      <c r="C1090">
        <v>50000000</v>
      </c>
      <c r="D1090">
        <v>0.12</v>
      </c>
      <c r="E1090" s="176">
        <v>47322</v>
      </c>
      <c r="F1090">
        <f t="shared" si="17"/>
        <v>1422</v>
      </c>
      <c r="G1090" t="str">
        <f>VLOOKUP(F1090,T!$A$2:$C$9,3,TRUE)</f>
        <v>7. 3-5 Years</v>
      </c>
    </row>
    <row r="1091" spans="1:7" x14ac:dyDescent="0.3">
      <c r="A1091" t="s">
        <v>799</v>
      </c>
      <c r="B1091" t="s">
        <v>774</v>
      </c>
      <c r="C1091">
        <v>50000000</v>
      </c>
      <c r="D1091">
        <v>0.12</v>
      </c>
      <c r="E1091" s="176">
        <v>47322</v>
      </c>
      <c r="F1091">
        <f t="shared" ref="F1091:F1146" si="18">E1091-$F$1</f>
        <v>1422</v>
      </c>
      <c r="G1091" t="str">
        <f>VLOOKUP(F1091,T!$A$2:$C$9,3,TRUE)</f>
        <v>7. 3-5 Years</v>
      </c>
    </row>
    <row r="1092" spans="1:7" x14ac:dyDescent="0.3">
      <c r="A1092" t="s">
        <v>799</v>
      </c>
      <c r="B1092" t="s">
        <v>774</v>
      </c>
      <c r="C1092">
        <v>50000000</v>
      </c>
      <c r="D1092">
        <v>0.12</v>
      </c>
      <c r="E1092" s="176">
        <v>47322</v>
      </c>
      <c r="F1092">
        <f t="shared" si="18"/>
        <v>1422</v>
      </c>
      <c r="G1092" t="str">
        <f>VLOOKUP(F1092,T!$A$2:$C$9,3,TRUE)</f>
        <v>7. 3-5 Years</v>
      </c>
    </row>
    <row r="1093" spans="1:7" x14ac:dyDescent="0.3">
      <c r="A1093" t="s">
        <v>793</v>
      </c>
      <c r="B1093" t="s">
        <v>774</v>
      </c>
      <c r="C1093">
        <v>16650000</v>
      </c>
      <c r="D1093">
        <v>0.09</v>
      </c>
      <c r="E1093" s="176">
        <v>47324</v>
      </c>
      <c r="F1093">
        <f t="shared" si="18"/>
        <v>1424</v>
      </c>
      <c r="G1093" t="str">
        <f>VLOOKUP(F1093,T!$A$2:$C$9,3,TRUE)</f>
        <v>7. 3-5 Years</v>
      </c>
    </row>
    <row r="1094" spans="1:7" x14ac:dyDescent="0.3">
      <c r="A1094" t="s">
        <v>793</v>
      </c>
      <c r="B1094" t="s">
        <v>774</v>
      </c>
      <c r="C1094">
        <v>16650000</v>
      </c>
      <c r="D1094">
        <v>0.09</v>
      </c>
      <c r="E1094" s="176">
        <v>47325</v>
      </c>
      <c r="F1094">
        <f t="shared" si="18"/>
        <v>1425</v>
      </c>
      <c r="G1094" t="str">
        <f>VLOOKUP(F1094,T!$A$2:$C$9,3,TRUE)</f>
        <v>7. 3-5 Years</v>
      </c>
    </row>
    <row r="1095" spans="1:7" x14ac:dyDescent="0.3">
      <c r="A1095" t="s">
        <v>780</v>
      </c>
      <c r="B1095" t="s">
        <v>774</v>
      </c>
      <c r="C1095">
        <v>16666666.470000001</v>
      </c>
      <c r="D1095">
        <v>8.0199999999999994E-2</v>
      </c>
      <c r="E1095" s="176">
        <v>47328</v>
      </c>
      <c r="F1095">
        <f t="shared" si="18"/>
        <v>1428</v>
      </c>
      <c r="G1095" t="str">
        <f>VLOOKUP(F1095,T!$A$2:$C$9,3,TRUE)</f>
        <v>7. 3-5 Years</v>
      </c>
    </row>
    <row r="1096" spans="1:7" x14ac:dyDescent="0.3">
      <c r="A1096" t="s">
        <v>780</v>
      </c>
      <c r="B1096" t="s">
        <v>774</v>
      </c>
      <c r="C1096">
        <v>16666666.67</v>
      </c>
      <c r="D1096">
        <v>8.0199999999999994E-2</v>
      </c>
      <c r="E1096" s="176">
        <v>47345</v>
      </c>
      <c r="F1096">
        <f t="shared" si="18"/>
        <v>1445</v>
      </c>
      <c r="G1096" t="str">
        <f>VLOOKUP(F1096,T!$A$2:$C$9,3,TRUE)</f>
        <v>7. 3-5 Years</v>
      </c>
    </row>
    <row r="1097" spans="1:7" x14ac:dyDescent="0.3">
      <c r="A1097" t="s">
        <v>785</v>
      </c>
      <c r="B1097" t="s">
        <v>774</v>
      </c>
      <c r="C1097">
        <v>25000000</v>
      </c>
      <c r="D1097">
        <v>8.0199999999999994E-2</v>
      </c>
      <c r="E1097" s="176">
        <v>47348</v>
      </c>
      <c r="F1097">
        <f t="shared" si="18"/>
        <v>1448</v>
      </c>
      <c r="G1097" t="str">
        <f>VLOOKUP(F1097,T!$A$2:$C$9,3,TRUE)</f>
        <v>7. 3-5 Years</v>
      </c>
    </row>
    <row r="1098" spans="1:7" x14ac:dyDescent="0.3">
      <c r="A1098" t="s">
        <v>800</v>
      </c>
      <c r="B1098" t="s">
        <v>774</v>
      </c>
      <c r="C1098">
        <v>50000000</v>
      </c>
      <c r="D1098">
        <v>9.8500000000000004E-2</v>
      </c>
      <c r="E1098" s="176">
        <v>47351</v>
      </c>
      <c r="F1098">
        <f t="shared" si="18"/>
        <v>1451</v>
      </c>
      <c r="G1098" t="str">
        <f>VLOOKUP(F1098,T!$A$2:$C$9,3,TRUE)</f>
        <v>7. 3-5 Years</v>
      </c>
    </row>
    <row r="1099" spans="1:7" x14ac:dyDescent="0.3">
      <c r="A1099" t="s">
        <v>793</v>
      </c>
      <c r="B1099" t="s">
        <v>774</v>
      </c>
      <c r="C1099">
        <v>16650000</v>
      </c>
      <c r="D1099">
        <v>0.09</v>
      </c>
      <c r="E1099" s="176">
        <v>47355</v>
      </c>
      <c r="F1099">
        <f t="shared" si="18"/>
        <v>1455</v>
      </c>
      <c r="G1099" t="str">
        <f>VLOOKUP(F1099,T!$A$2:$C$9,3,TRUE)</f>
        <v>7. 3-5 Years</v>
      </c>
    </row>
    <row r="1100" spans="1:7" x14ac:dyDescent="0.3">
      <c r="A1100" t="s">
        <v>793</v>
      </c>
      <c r="B1100" t="s">
        <v>774</v>
      </c>
      <c r="C1100">
        <v>16650000</v>
      </c>
      <c r="D1100">
        <v>0.09</v>
      </c>
      <c r="E1100" s="176">
        <v>47356</v>
      </c>
      <c r="F1100">
        <f t="shared" si="18"/>
        <v>1456</v>
      </c>
      <c r="G1100" t="str">
        <f>VLOOKUP(F1100,T!$A$2:$C$9,3,TRUE)</f>
        <v>7. 3-5 Years</v>
      </c>
    </row>
    <row r="1101" spans="1:7" x14ac:dyDescent="0.3">
      <c r="A1101" t="s">
        <v>800</v>
      </c>
      <c r="B1101" t="s">
        <v>774</v>
      </c>
      <c r="C1101">
        <v>50000000</v>
      </c>
      <c r="D1101">
        <v>9.8500000000000004E-2</v>
      </c>
      <c r="E1101" s="176">
        <v>47358</v>
      </c>
      <c r="F1101">
        <f t="shared" si="18"/>
        <v>1458</v>
      </c>
      <c r="G1101" t="str">
        <f>VLOOKUP(F1101,T!$A$2:$C$9,3,TRUE)</f>
        <v>7. 3-5 Years</v>
      </c>
    </row>
    <row r="1102" spans="1:7" x14ac:dyDescent="0.3">
      <c r="A1102" t="s">
        <v>780</v>
      </c>
      <c r="B1102" t="s">
        <v>774</v>
      </c>
      <c r="C1102">
        <v>16666666.470000001</v>
      </c>
      <c r="D1102">
        <v>8.0199999999999994E-2</v>
      </c>
      <c r="E1102" s="176">
        <v>47359</v>
      </c>
      <c r="F1102">
        <f t="shared" si="18"/>
        <v>1459</v>
      </c>
      <c r="G1102" t="str">
        <f>VLOOKUP(F1102,T!$A$2:$C$9,3,TRUE)</f>
        <v>7. 3-5 Years</v>
      </c>
    </row>
    <row r="1103" spans="1:7" x14ac:dyDescent="0.3">
      <c r="A1103" t="s">
        <v>780</v>
      </c>
      <c r="B1103" t="s">
        <v>774</v>
      </c>
      <c r="C1103">
        <v>16666666.67</v>
      </c>
      <c r="D1103">
        <v>8.0199999999999994E-2</v>
      </c>
      <c r="E1103" s="176">
        <v>47376</v>
      </c>
      <c r="F1103">
        <f t="shared" si="18"/>
        <v>1476</v>
      </c>
      <c r="G1103" t="str">
        <f>VLOOKUP(F1103,T!$A$2:$C$9,3,TRUE)</f>
        <v>7. 3-5 Years</v>
      </c>
    </row>
    <row r="1104" spans="1:7" x14ac:dyDescent="0.3">
      <c r="A1104" t="s">
        <v>785</v>
      </c>
      <c r="B1104" t="s">
        <v>774</v>
      </c>
      <c r="C1104">
        <v>25000000</v>
      </c>
      <c r="D1104">
        <v>8.0199999999999994E-2</v>
      </c>
      <c r="E1104" s="176">
        <v>47379</v>
      </c>
      <c r="F1104">
        <f t="shared" si="18"/>
        <v>1479</v>
      </c>
      <c r="G1104" t="str">
        <f>VLOOKUP(F1104,T!$A$2:$C$9,3,TRUE)</f>
        <v>7. 3-5 Years</v>
      </c>
    </row>
    <row r="1105" spans="1:7" x14ac:dyDescent="0.3">
      <c r="A1105" t="s">
        <v>793</v>
      </c>
      <c r="B1105" t="s">
        <v>774</v>
      </c>
      <c r="C1105">
        <v>17650000</v>
      </c>
      <c r="D1105">
        <v>0.09</v>
      </c>
      <c r="E1105" s="176">
        <v>47386</v>
      </c>
      <c r="F1105">
        <f t="shared" si="18"/>
        <v>1486</v>
      </c>
      <c r="G1105" t="str">
        <f>VLOOKUP(F1105,T!$A$2:$C$9,3,TRUE)</f>
        <v>7. 3-5 Years</v>
      </c>
    </row>
    <row r="1106" spans="1:7" x14ac:dyDescent="0.3">
      <c r="A1106" t="s">
        <v>793</v>
      </c>
      <c r="B1106" t="s">
        <v>774</v>
      </c>
      <c r="C1106">
        <v>17650000</v>
      </c>
      <c r="D1106">
        <v>0.09</v>
      </c>
      <c r="E1106" s="176">
        <v>47387</v>
      </c>
      <c r="F1106">
        <f t="shared" si="18"/>
        <v>1487</v>
      </c>
      <c r="G1106" t="str">
        <f>VLOOKUP(F1106,T!$A$2:$C$9,3,TRUE)</f>
        <v>7. 3-5 Years</v>
      </c>
    </row>
    <row r="1107" spans="1:7" x14ac:dyDescent="0.3">
      <c r="A1107" t="s">
        <v>780</v>
      </c>
      <c r="B1107" t="s">
        <v>774</v>
      </c>
      <c r="C1107">
        <v>16666666.470000001</v>
      </c>
      <c r="D1107">
        <v>8.0199999999999994E-2</v>
      </c>
      <c r="E1107" s="176">
        <v>47390</v>
      </c>
      <c r="F1107">
        <f t="shared" si="18"/>
        <v>1490</v>
      </c>
      <c r="G1107" t="str">
        <f>VLOOKUP(F1107,T!$A$2:$C$9,3,TRUE)</f>
        <v>7. 3-5 Years</v>
      </c>
    </row>
    <row r="1108" spans="1:7" x14ac:dyDescent="0.3">
      <c r="A1108" t="s">
        <v>780</v>
      </c>
      <c r="B1108" t="s">
        <v>774</v>
      </c>
      <c r="C1108">
        <v>16666666.67</v>
      </c>
      <c r="D1108">
        <v>8.0199999999999994E-2</v>
      </c>
      <c r="E1108" s="176">
        <v>47406</v>
      </c>
      <c r="F1108">
        <f t="shared" si="18"/>
        <v>1506</v>
      </c>
      <c r="G1108" t="str">
        <f>VLOOKUP(F1108,T!$A$2:$C$9,3,TRUE)</f>
        <v>7. 3-5 Years</v>
      </c>
    </row>
    <row r="1109" spans="1:7" x14ac:dyDescent="0.3">
      <c r="A1109" t="s">
        <v>785</v>
      </c>
      <c r="B1109" t="s">
        <v>774</v>
      </c>
      <c r="C1109">
        <v>25000000</v>
      </c>
      <c r="D1109">
        <v>8.0199999999999994E-2</v>
      </c>
      <c r="E1109" s="176">
        <v>47409</v>
      </c>
      <c r="F1109">
        <f t="shared" si="18"/>
        <v>1509</v>
      </c>
      <c r="G1109" t="str">
        <f>VLOOKUP(F1109,T!$A$2:$C$9,3,TRUE)</f>
        <v>7. 3-5 Years</v>
      </c>
    </row>
    <row r="1110" spans="1:7" x14ac:dyDescent="0.3">
      <c r="A1110" t="s">
        <v>780</v>
      </c>
      <c r="B1110" t="s">
        <v>774</v>
      </c>
      <c r="C1110">
        <v>16666666.470000001</v>
      </c>
      <c r="D1110">
        <v>8.0199999999999994E-2</v>
      </c>
      <c r="E1110" s="176">
        <v>47420</v>
      </c>
      <c r="F1110">
        <f t="shared" si="18"/>
        <v>1520</v>
      </c>
      <c r="G1110" t="str">
        <f>VLOOKUP(F1110,T!$A$2:$C$9,3,TRUE)</f>
        <v>7. 3-5 Years</v>
      </c>
    </row>
    <row r="1111" spans="1:7" x14ac:dyDescent="0.3">
      <c r="A1111" t="s">
        <v>780</v>
      </c>
      <c r="B1111" t="s">
        <v>774</v>
      </c>
      <c r="C1111">
        <v>16666666.67</v>
      </c>
      <c r="D1111">
        <v>8.0199999999999994E-2</v>
      </c>
      <c r="E1111" s="176">
        <v>47437</v>
      </c>
      <c r="F1111">
        <f t="shared" si="18"/>
        <v>1537</v>
      </c>
      <c r="G1111" t="str">
        <f>VLOOKUP(F1111,T!$A$2:$C$9,3,TRUE)</f>
        <v>7. 3-5 Years</v>
      </c>
    </row>
    <row r="1112" spans="1:7" x14ac:dyDescent="0.3">
      <c r="A1112" t="s">
        <v>785</v>
      </c>
      <c r="B1112" t="s">
        <v>774</v>
      </c>
      <c r="C1112">
        <v>25000000</v>
      </c>
      <c r="D1112">
        <v>8.0199999999999994E-2</v>
      </c>
      <c r="E1112" s="176">
        <v>47440</v>
      </c>
      <c r="F1112">
        <f t="shared" si="18"/>
        <v>1540</v>
      </c>
      <c r="G1112" t="str">
        <f>VLOOKUP(F1112,T!$A$2:$C$9,3,TRUE)</f>
        <v>7. 3-5 Years</v>
      </c>
    </row>
    <row r="1113" spans="1:7" x14ac:dyDescent="0.3">
      <c r="A1113" t="s">
        <v>800</v>
      </c>
      <c r="B1113" t="s">
        <v>774</v>
      </c>
      <c r="C1113">
        <v>50000000</v>
      </c>
      <c r="D1113">
        <v>9.8500000000000004E-2</v>
      </c>
      <c r="E1113" s="176">
        <v>47443</v>
      </c>
      <c r="F1113">
        <f t="shared" si="18"/>
        <v>1543</v>
      </c>
      <c r="G1113" t="str">
        <f>VLOOKUP(F1113,T!$A$2:$C$9,3,TRUE)</f>
        <v>7. 3-5 Years</v>
      </c>
    </row>
    <row r="1114" spans="1:7" x14ac:dyDescent="0.3">
      <c r="A1114" t="s">
        <v>800</v>
      </c>
      <c r="B1114" t="s">
        <v>774</v>
      </c>
      <c r="C1114">
        <v>50000000</v>
      </c>
      <c r="D1114">
        <v>9.8500000000000004E-2</v>
      </c>
      <c r="E1114" s="176">
        <v>47450</v>
      </c>
      <c r="F1114">
        <f t="shared" si="18"/>
        <v>1550</v>
      </c>
      <c r="G1114" t="str">
        <f>VLOOKUP(F1114,T!$A$2:$C$9,3,TRUE)</f>
        <v>7. 3-5 Years</v>
      </c>
    </row>
    <row r="1115" spans="1:7" x14ac:dyDescent="0.3">
      <c r="A1115" t="s">
        <v>780</v>
      </c>
      <c r="B1115" t="s">
        <v>774</v>
      </c>
      <c r="C1115">
        <v>16666666.470000001</v>
      </c>
      <c r="D1115">
        <v>8.0199999999999994E-2</v>
      </c>
      <c r="E1115" s="176">
        <v>47451</v>
      </c>
      <c r="F1115">
        <f t="shared" si="18"/>
        <v>1551</v>
      </c>
      <c r="G1115" t="str">
        <f>VLOOKUP(F1115,T!$A$2:$C$9,3,TRUE)</f>
        <v>7. 3-5 Years</v>
      </c>
    </row>
    <row r="1116" spans="1:7" x14ac:dyDescent="0.3">
      <c r="A1116" t="s">
        <v>780</v>
      </c>
      <c r="B1116" t="s">
        <v>774</v>
      </c>
      <c r="C1116">
        <v>16666666.67</v>
      </c>
      <c r="D1116">
        <v>8.0199999999999994E-2</v>
      </c>
      <c r="E1116" s="176">
        <v>47467</v>
      </c>
      <c r="F1116">
        <f t="shared" si="18"/>
        <v>1567</v>
      </c>
      <c r="G1116" t="str">
        <f>VLOOKUP(F1116,T!$A$2:$C$9,3,TRUE)</f>
        <v>7. 3-5 Years</v>
      </c>
    </row>
    <row r="1117" spans="1:7" x14ac:dyDescent="0.3">
      <c r="A1117" t="s">
        <v>785</v>
      </c>
      <c r="B1117" t="s">
        <v>774</v>
      </c>
      <c r="C1117">
        <v>25000000</v>
      </c>
      <c r="D1117">
        <v>8.0199999999999994E-2</v>
      </c>
      <c r="E1117" s="176">
        <v>47470</v>
      </c>
      <c r="F1117">
        <f t="shared" si="18"/>
        <v>1570</v>
      </c>
      <c r="G1117" t="str">
        <f>VLOOKUP(F1117,T!$A$2:$C$9,3,TRUE)</f>
        <v>7. 3-5 Years</v>
      </c>
    </row>
    <row r="1118" spans="1:7" x14ac:dyDescent="0.3">
      <c r="A1118" t="s">
        <v>780</v>
      </c>
      <c r="B1118" t="s">
        <v>774</v>
      </c>
      <c r="C1118">
        <v>16666666.470000001</v>
      </c>
      <c r="D1118">
        <v>8.0199999999999994E-2</v>
      </c>
      <c r="E1118" s="176">
        <v>47481</v>
      </c>
      <c r="F1118">
        <f t="shared" si="18"/>
        <v>1581</v>
      </c>
      <c r="G1118" t="str">
        <f>VLOOKUP(F1118,T!$A$2:$C$9,3,TRUE)</f>
        <v>7. 3-5 Years</v>
      </c>
    </row>
    <row r="1119" spans="1:7" x14ac:dyDescent="0.3">
      <c r="A1119" t="s">
        <v>780</v>
      </c>
      <c r="B1119" t="s">
        <v>774</v>
      </c>
      <c r="C1119">
        <v>16666666.67</v>
      </c>
      <c r="D1119">
        <v>8.0199999999999994E-2</v>
      </c>
      <c r="E1119" s="176">
        <v>47498</v>
      </c>
      <c r="F1119">
        <f t="shared" si="18"/>
        <v>1598</v>
      </c>
      <c r="G1119" t="str">
        <f>VLOOKUP(F1119,T!$A$2:$C$9,3,TRUE)</f>
        <v>7. 3-5 Years</v>
      </c>
    </row>
    <row r="1120" spans="1:7" x14ac:dyDescent="0.3">
      <c r="A1120" t="s">
        <v>785</v>
      </c>
      <c r="B1120" t="s">
        <v>774</v>
      </c>
      <c r="C1120">
        <v>25000000</v>
      </c>
      <c r="D1120">
        <v>8.0199999999999994E-2</v>
      </c>
      <c r="E1120" s="176">
        <v>47501</v>
      </c>
      <c r="F1120">
        <f t="shared" si="18"/>
        <v>1601</v>
      </c>
      <c r="G1120" t="str">
        <f>VLOOKUP(F1120,T!$A$2:$C$9,3,TRUE)</f>
        <v>7. 3-5 Years</v>
      </c>
    </row>
    <row r="1121" spans="1:7" x14ac:dyDescent="0.3">
      <c r="A1121" t="s">
        <v>780</v>
      </c>
      <c r="B1121" t="s">
        <v>774</v>
      </c>
      <c r="C1121">
        <v>16666666.470000001</v>
      </c>
      <c r="D1121">
        <v>8.0199999999999994E-2</v>
      </c>
      <c r="E1121" s="176">
        <v>47512</v>
      </c>
      <c r="F1121">
        <f t="shared" si="18"/>
        <v>1612</v>
      </c>
      <c r="G1121" t="str">
        <f>VLOOKUP(F1121,T!$A$2:$C$9,3,TRUE)</f>
        <v>7. 3-5 Years</v>
      </c>
    </row>
    <row r="1122" spans="1:7" x14ac:dyDescent="0.3">
      <c r="A1122" t="s">
        <v>780</v>
      </c>
      <c r="B1122" t="s">
        <v>774</v>
      </c>
      <c r="C1122">
        <v>16666666.67</v>
      </c>
      <c r="D1122">
        <v>8.0199999999999994E-2</v>
      </c>
      <c r="E1122" s="176">
        <v>47529</v>
      </c>
      <c r="F1122">
        <f t="shared" si="18"/>
        <v>1629</v>
      </c>
      <c r="G1122" t="str">
        <f>VLOOKUP(F1122,T!$A$2:$C$9,3,TRUE)</f>
        <v>7. 3-5 Years</v>
      </c>
    </row>
    <row r="1123" spans="1:7" x14ac:dyDescent="0.3">
      <c r="A1123" t="s">
        <v>785</v>
      </c>
      <c r="B1123" t="s">
        <v>774</v>
      </c>
      <c r="C1123">
        <v>25000000</v>
      </c>
      <c r="D1123">
        <v>8.0199999999999994E-2</v>
      </c>
      <c r="E1123" s="176">
        <v>47532</v>
      </c>
      <c r="F1123">
        <f t="shared" si="18"/>
        <v>1632</v>
      </c>
      <c r="G1123" t="str">
        <f>VLOOKUP(F1123,T!$A$2:$C$9,3,TRUE)</f>
        <v>7. 3-5 Years</v>
      </c>
    </row>
    <row r="1124" spans="1:7" x14ac:dyDescent="0.3">
      <c r="A1124" t="s">
        <v>800</v>
      </c>
      <c r="B1124" t="s">
        <v>774</v>
      </c>
      <c r="C1124">
        <v>50000000</v>
      </c>
      <c r="D1124">
        <v>9.8500000000000004E-2</v>
      </c>
      <c r="E1124" s="176">
        <v>47535</v>
      </c>
      <c r="F1124">
        <f t="shared" si="18"/>
        <v>1635</v>
      </c>
      <c r="G1124" t="str">
        <f>VLOOKUP(F1124,T!$A$2:$C$9,3,TRUE)</f>
        <v>7. 3-5 Years</v>
      </c>
    </row>
    <row r="1125" spans="1:7" x14ac:dyDescent="0.3">
      <c r="A1125" t="s">
        <v>780</v>
      </c>
      <c r="B1125" t="s">
        <v>774</v>
      </c>
      <c r="C1125">
        <v>16666666.470000001</v>
      </c>
      <c r="D1125">
        <v>8.0199999999999994E-2</v>
      </c>
      <c r="E1125" s="176">
        <v>47542</v>
      </c>
      <c r="F1125">
        <f t="shared" si="18"/>
        <v>1642</v>
      </c>
      <c r="G1125" t="str">
        <f>VLOOKUP(F1125,T!$A$2:$C$9,3,TRUE)</f>
        <v>7. 3-5 Years</v>
      </c>
    </row>
    <row r="1126" spans="1:7" x14ac:dyDescent="0.3">
      <c r="A1126" t="s">
        <v>800</v>
      </c>
      <c r="B1126" t="s">
        <v>774</v>
      </c>
      <c r="C1126">
        <v>50000000</v>
      </c>
      <c r="D1126">
        <v>9.8500000000000004E-2</v>
      </c>
      <c r="E1126" s="176">
        <v>47542</v>
      </c>
      <c r="F1126">
        <f t="shared" si="18"/>
        <v>1642</v>
      </c>
      <c r="G1126" t="str">
        <f>VLOOKUP(F1126,T!$A$2:$C$9,3,TRUE)</f>
        <v>7. 3-5 Years</v>
      </c>
    </row>
    <row r="1127" spans="1:7" x14ac:dyDescent="0.3">
      <c r="A1127" t="s">
        <v>780</v>
      </c>
      <c r="B1127" t="s">
        <v>774</v>
      </c>
      <c r="C1127">
        <v>16666666.67</v>
      </c>
      <c r="D1127">
        <v>8.0199999999999994E-2</v>
      </c>
      <c r="E1127" s="176">
        <v>47557</v>
      </c>
      <c r="F1127">
        <f t="shared" si="18"/>
        <v>1657</v>
      </c>
      <c r="G1127" t="str">
        <f>VLOOKUP(F1127,T!$A$2:$C$9,3,TRUE)</f>
        <v>7. 3-5 Years</v>
      </c>
    </row>
    <row r="1128" spans="1:7" x14ac:dyDescent="0.3">
      <c r="A1128" t="s">
        <v>785</v>
      </c>
      <c r="B1128" t="s">
        <v>774</v>
      </c>
      <c r="C1128">
        <v>25000000</v>
      </c>
      <c r="D1128">
        <v>8.0199999999999994E-2</v>
      </c>
      <c r="E1128" s="176">
        <v>47560</v>
      </c>
      <c r="F1128">
        <f t="shared" si="18"/>
        <v>1660</v>
      </c>
      <c r="G1128" t="str">
        <f>VLOOKUP(F1128,T!$A$2:$C$9,3,TRUE)</f>
        <v>7. 3-5 Years</v>
      </c>
    </row>
    <row r="1129" spans="1:7" x14ac:dyDescent="0.3">
      <c r="A1129" t="s">
        <v>780</v>
      </c>
      <c r="B1129" t="s">
        <v>774</v>
      </c>
      <c r="C1129">
        <v>16666666.470000001</v>
      </c>
      <c r="D1129">
        <v>8.0199999999999994E-2</v>
      </c>
      <c r="E1129" s="176">
        <v>47571</v>
      </c>
      <c r="F1129">
        <f t="shared" si="18"/>
        <v>1671</v>
      </c>
      <c r="G1129" t="str">
        <f>VLOOKUP(F1129,T!$A$2:$C$9,3,TRUE)</f>
        <v>7. 3-5 Years</v>
      </c>
    </row>
    <row r="1130" spans="1:7" x14ac:dyDescent="0.3">
      <c r="A1130" t="s">
        <v>780</v>
      </c>
      <c r="B1130" t="s">
        <v>774</v>
      </c>
      <c r="C1130">
        <v>16666666.67</v>
      </c>
      <c r="D1130">
        <v>8.0199999999999994E-2</v>
      </c>
      <c r="E1130" s="176">
        <v>47588</v>
      </c>
      <c r="F1130">
        <f t="shared" si="18"/>
        <v>1688</v>
      </c>
      <c r="G1130" t="str">
        <f>VLOOKUP(F1130,T!$A$2:$C$9,3,TRUE)</f>
        <v>7. 3-5 Years</v>
      </c>
    </row>
    <row r="1131" spans="1:7" x14ac:dyDescent="0.3">
      <c r="A1131" t="s">
        <v>785</v>
      </c>
      <c r="B1131" t="s">
        <v>774</v>
      </c>
      <c r="C1131">
        <v>25000000</v>
      </c>
      <c r="D1131">
        <v>8.0199999999999994E-2</v>
      </c>
      <c r="E1131" s="176">
        <v>47591</v>
      </c>
      <c r="F1131">
        <f t="shared" si="18"/>
        <v>1691</v>
      </c>
      <c r="G1131" t="str">
        <f>VLOOKUP(F1131,T!$A$2:$C$9,3,TRUE)</f>
        <v>7. 3-5 Years</v>
      </c>
    </row>
    <row r="1132" spans="1:7" x14ac:dyDescent="0.3">
      <c r="A1132" t="s">
        <v>780</v>
      </c>
      <c r="B1132" t="s">
        <v>774</v>
      </c>
      <c r="C1132">
        <v>16666666.470000001</v>
      </c>
      <c r="D1132">
        <v>8.0199999999999994E-2</v>
      </c>
      <c r="E1132" s="176">
        <v>47602</v>
      </c>
      <c r="F1132">
        <f t="shared" si="18"/>
        <v>1702</v>
      </c>
      <c r="G1132" t="str">
        <f>VLOOKUP(F1132,T!$A$2:$C$9,3,TRUE)</f>
        <v>7. 3-5 Years</v>
      </c>
    </row>
    <row r="1133" spans="1:7" x14ac:dyDescent="0.3">
      <c r="A1133" t="s">
        <v>780</v>
      </c>
      <c r="B1133" t="s">
        <v>774</v>
      </c>
      <c r="C1133">
        <v>16666666.67</v>
      </c>
      <c r="D1133">
        <v>8.0199999999999994E-2</v>
      </c>
      <c r="E1133" s="176">
        <v>47618</v>
      </c>
      <c r="F1133">
        <f t="shared" si="18"/>
        <v>1718</v>
      </c>
      <c r="G1133" t="str">
        <f>VLOOKUP(F1133,T!$A$2:$C$9,3,TRUE)</f>
        <v>7. 3-5 Years</v>
      </c>
    </row>
    <row r="1134" spans="1:7" x14ac:dyDescent="0.3">
      <c r="A1134" t="s">
        <v>785</v>
      </c>
      <c r="B1134" t="s">
        <v>774</v>
      </c>
      <c r="C1134">
        <v>25000000</v>
      </c>
      <c r="D1134">
        <v>8.0199999999999994E-2</v>
      </c>
      <c r="E1134" s="176">
        <v>47621</v>
      </c>
      <c r="F1134">
        <f t="shared" si="18"/>
        <v>1721</v>
      </c>
      <c r="G1134" t="str">
        <f>VLOOKUP(F1134,T!$A$2:$C$9,3,TRUE)</f>
        <v>7. 3-5 Years</v>
      </c>
    </row>
    <row r="1135" spans="1:7" x14ac:dyDescent="0.3">
      <c r="A1135" t="s">
        <v>800</v>
      </c>
      <c r="B1135" t="s">
        <v>774</v>
      </c>
      <c r="C1135">
        <v>50000000</v>
      </c>
      <c r="D1135">
        <v>9.8500000000000004E-2</v>
      </c>
      <c r="E1135" s="176">
        <v>47624</v>
      </c>
      <c r="F1135">
        <f t="shared" si="18"/>
        <v>1724</v>
      </c>
      <c r="G1135" t="str">
        <f>VLOOKUP(F1135,T!$A$2:$C$9,3,TRUE)</f>
        <v>7. 3-5 Years</v>
      </c>
    </row>
    <row r="1136" spans="1:7" x14ac:dyDescent="0.3">
      <c r="A1136" t="s">
        <v>800</v>
      </c>
      <c r="B1136" t="s">
        <v>774</v>
      </c>
      <c r="C1136">
        <v>50000000</v>
      </c>
      <c r="D1136">
        <v>9.8500000000000004E-2</v>
      </c>
      <c r="E1136" s="176">
        <v>47631</v>
      </c>
      <c r="F1136">
        <f t="shared" si="18"/>
        <v>1731</v>
      </c>
      <c r="G1136" t="str">
        <f>VLOOKUP(F1136,T!$A$2:$C$9,3,TRUE)</f>
        <v>7. 3-5 Years</v>
      </c>
    </row>
    <row r="1137" spans="1:7" x14ac:dyDescent="0.3">
      <c r="A1137" t="s">
        <v>780</v>
      </c>
      <c r="B1137" t="s">
        <v>774</v>
      </c>
      <c r="C1137">
        <v>16666666.470000001</v>
      </c>
      <c r="D1137">
        <v>8.0199999999999994E-2</v>
      </c>
      <c r="E1137" s="176">
        <v>47632</v>
      </c>
      <c r="F1137">
        <f t="shared" si="18"/>
        <v>1732</v>
      </c>
      <c r="G1137" t="str">
        <f>VLOOKUP(F1137,T!$A$2:$C$9,3,TRUE)</f>
        <v>7. 3-5 Years</v>
      </c>
    </row>
    <row r="1138" spans="1:7" x14ac:dyDescent="0.3">
      <c r="A1138" t="s">
        <v>780</v>
      </c>
      <c r="B1138" t="s">
        <v>774</v>
      </c>
      <c r="C1138">
        <v>16666666.67</v>
      </c>
      <c r="D1138">
        <v>8.0199999999999994E-2</v>
      </c>
      <c r="E1138" s="176">
        <v>47649</v>
      </c>
      <c r="F1138">
        <f t="shared" si="18"/>
        <v>1749</v>
      </c>
      <c r="G1138" t="str">
        <f>VLOOKUP(F1138,T!$A$2:$C$9,3,TRUE)</f>
        <v>7. 3-5 Years</v>
      </c>
    </row>
    <row r="1139" spans="1:7" x14ac:dyDescent="0.3">
      <c r="A1139" t="s">
        <v>785</v>
      </c>
      <c r="B1139" t="s">
        <v>774</v>
      </c>
      <c r="C1139">
        <v>25000000</v>
      </c>
      <c r="D1139">
        <v>8.0199999999999994E-2</v>
      </c>
      <c r="E1139" s="176">
        <v>47652</v>
      </c>
      <c r="F1139">
        <f t="shared" si="18"/>
        <v>1752</v>
      </c>
      <c r="G1139" t="str">
        <f>VLOOKUP(F1139,T!$A$2:$C$9,3,TRUE)</f>
        <v>7. 3-5 Years</v>
      </c>
    </row>
    <row r="1140" spans="1:7" x14ac:dyDescent="0.3">
      <c r="A1140" t="s">
        <v>780</v>
      </c>
      <c r="B1140" t="s">
        <v>774</v>
      </c>
      <c r="C1140">
        <v>16666666.470000001</v>
      </c>
      <c r="D1140">
        <v>8.0199999999999994E-2</v>
      </c>
      <c r="E1140" s="176">
        <v>47663</v>
      </c>
      <c r="F1140">
        <f t="shared" si="18"/>
        <v>1763</v>
      </c>
      <c r="G1140" t="str">
        <f>VLOOKUP(F1140,T!$A$2:$C$9,3,TRUE)</f>
        <v>7. 3-5 Years</v>
      </c>
    </row>
    <row r="1141" spans="1:7" x14ac:dyDescent="0.3">
      <c r="A1141" t="s">
        <v>780</v>
      </c>
      <c r="B1141" t="s">
        <v>774</v>
      </c>
      <c r="C1141">
        <v>16666666.67</v>
      </c>
      <c r="D1141">
        <v>8.0199999999999994E-2</v>
      </c>
      <c r="E1141" s="176">
        <v>47679</v>
      </c>
      <c r="F1141">
        <f t="shared" si="18"/>
        <v>1779</v>
      </c>
      <c r="G1141" t="str">
        <f>VLOOKUP(F1141,T!$A$2:$C$9,3,TRUE)</f>
        <v>7. 3-5 Years</v>
      </c>
    </row>
    <row r="1142" spans="1:7" x14ac:dyDescent="0.3">
      <c r="A1142" t="s">
        <v>780</v>
      </c>
      <c r="B1142" t="s">
        <v>774</v>
      </c>
      <c r="C1142">
        <v>16666666.470000001</v>
      </c>
      <c r="D1142">
        <v>8.0199999999999994E-2</v>
      </c>
      <c r="E1142" s="176">
        <v>47693</v>
      </c>
      <c r="F1142">
        <f t="shared" si="18"/>
        <v>1793</v>
      </c>
      <c r="G1142" t="str">
        <f>VLOOKUP(F1142,T!$A$2:$C$9,3,TRUE)</f>
        <v>7. 3-5 Years</v>
      </c>
    </row>
    <row r="1143" spans="1:7" x14ac:dyDescent="0.3">
      <c r="A1143" t="s">
        <v>780</v>
      </c>
      <c r="B1143" t="s">
        <v>774</v>
      </c>
      <c r="C1143">
        <v>16666666.470000001</v>
      </c>
      <c r="D1143">
        <v>8.0199999999999994E-2</v>
      </c>
      <c r="E1143" s="176">
        <v>47710</v>
      </c>
      <c r="F1143">
        <f t="shared" si="18"/>
        <v>1810</v>
      </c>
      <c r="G1143" t="str">
        <f>VLOOKUP(F1143,T!$A$2:$C$9,3,TRUE)</f>
        <v>7. 3-5 Years</v>
      </c>
    </row>
    <row r="1144" spans="1:7" x14ac:dyDescent="0.3">
      <c r="A1144" t="s">
        <v>800</v>
      </c>
      <c r="B1144" t="s">
        <v>774</v>
      </c>
      <c r="C1144">
        <v>50000000</v>
      </c>
      <c r="D1144">
        <v>9.8500000000000004E-2</v>
      </c>
      <c r="E1144" s="176">
        <v>47716</v>
      </c>
      <c r="F1144">
        <f t="shared" si="18"/>
        <v>1816</v>
      </c>
      <c r="G1144" t="str">
        <f>VLOOKUP(F1144,T!$A$2:$C$9,3,TRUE)</f>
        <v>7. 3-5 Years</v>
      </c>
    </row>
    <row r="1145" spans="1:7" x14ac:dyDescent="0.3">
      <c r="A1145" t="s">
        <v>800</v>
      </c>
      <c r="B1145" t="s">
        <v>774</v>
      </c>
      <c r="C1145">
        <v>50000000</v>
      </c>
      <c r="D1145">
        <v>9.8500000000000004E-2</v>
      </c>
      <c r="E1145" s="176">
        <v>47723</v>
      </c>
      <c r="F1145">
        <f t="shared" si="18"/>
        <v>1823</v>
      </c>
      <c r="G1145" t="str">
        <f>VLOOKUP(F1145,T!$A$2:$C$9,3,TRUE)</f>
        <v>7. 3-5 Years</v>
      </c>
    </row>
    <row r="1146" spans="1:7" x14ac:dyDescent="0.3">
      <c r="A1146" t="s">
        <v>780</v>
      </c>
      <c r="B1146" t="s">
        <v>774</v>
      </c>
      <c r="C1146">
        <v>16666666.470000001</v>
      </c>
      <c r="D1146">
        <v>8.0199999999999994E-2</v>
      </c>
      <c r="E1146" s="176">
        <v>47724</v>
      </c>
      <c r="F1146">
        <f t="shared" si="18"/>
        <v>1824</v>
      </c>
      <c r="G1146" t="str">
        <f>VLOOKUP(F1146,T!$A$2:$C$9,3,TRUE)</f>
        <v>7. 3-5 Years</v>
      </c>
    </row>
  </sheetData>
  <autoFilter ref="A2:G712" xr:uid="{00000000-0009-0000-0000-000006000000}"/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/>
  <dimension ref="A1:T45"/>
  <sheetViews>
    <sheetView tabSelected="1" zoomScale="80" zoomScaleNormal="80" workbookViewId="0">
      <pane xSplit="2" ySplit="2" topLeftCell="C28" activePane="bottomRight" state="frozen"/>
      <selection pane="topRight" activeCell="C1" sqref="C1"/>
      <selection pane="bottomLeft" activeCell="A3" sqref="A3"/>
      <selection pane="bottomRight" activeCell="M42" sqref="M42"/>
    </sheetView>
  </sheetViews>
  <sheetFormatPr defaultRowHeight="14.4" x14ac:dyDescent="0.3"/>
  <cols>
    <col min="1" max="1" width="4.33203125" customWidth="1"/>
    <col min="2" max="2" width="17.5546875" customWidth="1"/>
    <col min="3" max="11" width="16.5546875" customWidth="1"/>
    <col min="13" max="13" width="16.6640625" customWidth="1"/>
    <col min="14" max="16" width="16.5546875" customWidth="1"/>
    <col min="17" max="17" width="19.44140625" customWidth="1"/>
    <col min="18" max="18" width="16.5546875" customWidth="1"/>
    <col min="19" max="19" width="19.6640625" customWidth="1"/>
    <col min="20" max="20" width="14.33203125" bestFit="1" customWidth="1"/>
  </cols>
  <sheetData>
    <row r="1" spans="1:20" x14ac:dyDescent="0.3">
      <c r="K1">
        <v>1000</v>
      </c>
    </row>
    <row r="2" spans="1:20" ht="28.8" customHeight="1" x14ac:dyDescent="0.3">
      <c r="B2" s="39"/>
      <c r="C2" s="49" t="s">
        <v>404</v>
      </c>
      <c r="D2" s="15" t="s">
        <v>405</v>
      </c>
      <c r="E2" s="15" t="s">
        <v>406</v>
      </c>
      <c r="F2" s="15" t="s">
        <v>407</v>
      </c>
      <c r="G2" s="15" t="s">
        <v>408</v>
      </c>
      <c r="H2" s="15" t="s">
        <v>409</v>
      </c>
      <c r="I2" s="15" t="s">
        <v>410</v>
      </c>
      <c r="J2" s="15" t="s">
        <v>411</v>
      </c>
      <c r="K2" s="15" t="s">
        <v>461</v>
      </c>
      <c r="M2" s="39"/>
      <c r="N2" s="111" t="s">
        <v>803</v>
      </c>
      <c r="O2" s="111" t="s">
        <v>804</v>
      </c>
      <c r="P2" s="111" t="s">
        <v>513</v>
      </c>
    </row>
    <row r="3" spans="1:20" x14ac:dyDescent="0.3">
      <c r="A3" s="11" t="s">
        <v>805</v>
      </c>
      <c r="M3" s="39"/>
      <c r="N3" s="47"/>
      <c r="O3" s="47"/>
      <c r="P3" s="47"/>
    </row>
    <row r="4" spans="1:20" x14ac:dyDescent="0.3">
      <c r="B4" s="60" t="s">
        <v>806</v>
      </c>
      <c r="C4" s="61">
        <v>0</v>
      </c>
      <c r="D4" s="61">
        <v>64590</v>
      </c>
      <c r="E4" s="61">
        <v>119152793.8</v>
      </c>
      <c r="F4" s="61">
        <v>169451449</v>
      </c>
      <c r="G4" s="61">
        <v>314390822.26999998</v>
      </c>
      <c r="H4" s="61">
        <v>677258756</v>
      </c>
      <c r="I4" s="61">
        <v>87706233</v>
      </c>
      <c r="J4" s="61">
        <v>0</v>
      </c>
      <c r="K4" s="61">
        <f t="shared" ref="K4:K10" si="0">SUM(C4:J4)</f>
        <v>1368024644.0699999</v>
      </c>
      <c r="L4" s="152"/>
      <c r="M4" s="39" t="s">
        <v>807</v>
      </c>
      <c r="N4" s="47">
        <f>O4</f>
        <v>3059942299.21</v>
      </c>
      <c r="O4" s="47">
        <v>3059942299.21</v>
      </c>
      <c r="P4" s="68">
        <f t="shared" ref="P4:P9" si="1">N4-O4</f>
        <v>0</v>
      </c>
    </row>
    <row r="5" spans="1:20" x14ac:dyDescent="0.3">
      <c r="B5" s="60" t="s">
        <v>808</v>
      </c>
      <c r="C5" s="61">
        <v>0</v>
      </c>
      <c r="D5" s="61">
        <v>64590</v>
      </c>
      <c r="E5" s="61">
        <v>107439032</v>
      </c>
      <c r="F5" s="61">
        <v>159722533</v>
      </c>
      <c r="G5" s="61">
        <v>294052496</v>
      </c>
      <c r="H5" s="61">
        <v>631507681</v>
      </c>
      <c r="I5" s="61">
        <v>71555208</v>
      </c>
      <c r="J5" s="61">
        <v>0</v>
      </c>
      <c r="K5" s="61">
        <f t="shared" si="0"/>
        <v>1264341540</v>
      </c>
      <c r="M5" s="39" t="s">
        <v>809</v>
      </c>
      <c r="N5" s="47">
        <f>K10+N20+P20+O20+Q20</f>
        <v>56536581410.31424</v>
      </c>
      <c r="O5" s="47">
        <v>56536581410.314346</v>
      </c>
      <c r="P5" s="68">
        <f t="shared" si="1"/>
        <v>-1.068115234375E-4</v>
      </c>
    </row>
    <row r="6" spans="1:20" x14ac:dyDescent="0.3">
      <c r="B6" s="60" t="s">
        <v>810</v>
      </c>
      <c r="C6" s="61">
        <v>0</v>
      </c>
      <c r="D6" s="61">
        <v>0</v>
      </c>
      <c r="E6" s="61">
        <v>11713761.800000001</v>
      </c>
      <c r="F6" s="61">
        <v>9728916</v>
      </c>
      <c r="G6" s="61">
        <v>20338326.270000003</v>
      </c>
      <c r="H6" s="61">
        <v>45751075</v>
      </c>
      <c r="I6" s="61">
        <v>16151025</v>
      </c>
      <c r="J6" s="61">
        <v>0</v>
      </c>
      <c r="K6" s="61">
        <f t="shared" si="0"/>
        <v>103683104.07000001</v>
      </c>
      <c r="M6" s="39" t="s">
        <v>803</v>
      </c>
      <c r="N6" s="47">
        <f>SUM(N4:N5)</f>
        <v>59596523709.524239</v>
      </c>
      <c r="O6" s="47">
        <v>55510700697.409622</v>
      </c>
      <c r="P6" s="68">
        <f t="shared" si="1"/>
        <v>4085823012.1146164</v>
      </c>
    </row>
    <row r="7" spans="1:20" x14ac:dyDescent="0.3">
      <c r="B7" s="60" t="s">
        <v>811</v>
      </c>
      <c r="C7" s="61">
        <v>0</v>
      </c>
      <c r="D7" s="61">
        <v>0</v>
      </c>
      <c r="E7" s="61">
        <v>2742559310.3000002</v>
      </c>
      <c r="F7" s="61">
        <v>4769893318.9599991</v>
      </c>
      <c r="G7" s="61">
        <v>12798813477.599998</v>
      </c>
      <c r="H7" s="61">
        <v>24194860551.649998</v>
      </c>
      <c r="I7" s="61">
        <v>6629196682</v>
      </c>
      <c r="J7" s="61">
        <v>112106166</v>
      </c>
      <c r="K7" s="61">
        <f t="shared" si="0"/>
        <v>51247429506.509995</v>
      </c>
      <c r="M7" s="39" t="s">
        <v>812</v>
      </c>
      <c r="N7" s="62">
        <f>-R20</f>
        <v>-345233099.01999986</v>
      </c>
      <c r="O7" s="62">
        <v>-349624953.30000001</v>
      </c>
      <c r="P7" s="174">
        <f t="shared" si="1"/>
        <v>4391854.2800001502</v>
      </c>
    </row>
    <row r="8" spans="1:20" x14ac:dyDescent="0.3">
      <c r="B8" s="60" t="s">
        <v>813</v>
      </c>
      <c r="C8" s="61">
        <v>0</v>
      </c>
      <c r="D8" s="61">
        <v>0</v>
      </c>
      <c r="E8" s="61">
        <v>2104518801</v>
      </c>
      <c r="F8" s="61">
        <v>3233366604</v>
      </c>
      <c r="G8" s="61">
        <v>6372561573</v>
      </c>
      <c r="H8" s="61">
        <v>17774434669</v>
      </c>
      <c r="I8" s="61">
        <v>3810728414</v>
      </c>
      <c r="J8" s="61">
        <v>14011640</v>
      </c>
      <c r="K8" s="61">
        <f t="shared" si="0"/>
        <v>33309621701</v>
      </c>
      <c r="M8" s="39" t="s">
        <v>814</v>
      </c>
      <c r="N8" s="62">
        <f>-S20</f>
        <v>-1967969023.9083574</v>
      </c>
      <c r="O8" s="62">
        <v>-1906921944.0480199</v>
      </c>
      <c r="P8" s="68">
        <f t="shared" si="1"/>
        <v>-61047079.860337496</v>
      </c>
    </row>
    <row r="9" spans="1:20" x14ac:dyDescent="0.3">
      <c r="B9" s="60" t="s">
        <v>815</v>
      </c>
      <c r="C9" s="61">
        <v>0</v>
      </c>
      <c r="D9" s="61">
        <v>0</v>
      </c>
      <c r="E9" s="61">
        <v>638040509.30000007</v>
      </c>
      <c r="F9" s="61">
        <v>1536526714.9599996</v>
      </c>
      <c r="G9" s="61">
        <v>6426251904.5999975</v>
      </c>
      <c r="H9" s="61">
        <v>6420425882.6499968</v>
      </c>
      <c r="I9" s="61">
        <v>2818468268</v>
      </c>
      <c r="J9" s="61">
        <v>98094526</v>
      </c>
      <c r="K9" s="61">
        <f t="shared" si="0"/>
        <v>17937807805.509995</v>
      </c>
      <c r="M9" s="8"/>
      <c r="N9" s="112">
        <f>N6+N7+N8</f>
        <v>57283321586.595886</v>
      </c>
      <c r="O9" s="112">
        <f>O6+O7+O8</f>
        <v>53254153800.0616</v>
      </c>
      <c r="P9" s="171">
        <f t="shared" si="1"/>
        <v>4029167786.5342865</v>
      </c>
    </row>
    <row r="10" spans="1:20" x14ac:dyDescent="0.3">
      <c r="B10" s="60" t="s">
        <v>779</v>
      </c>
      <c r="C10" s="61">
        <v>0</v>
      </c>
      <c r="D10" s="61">
        <v>64590</v>
      </c>
      <c r="E10" s="61">
        <v>2861712104.1000004</v>
      </c>
      <c r="F10" s="61">
        <v>4939344767.9599991</v>
      </c>
      <c r="G10" s="61">
        <v>13113204299.869999</v>
      </c>
      <c r="H10" s="61">
        <v>24872119307.649998</v>
      </c>
      <c r="I10" s="61">
        <v>6716902915</v>
      </c>
      <c r="J10" s="61">
        <v>112106166</v>
      </c>
      <c r="K10" s="61">
        <f t="shared" si="0"/>
        <v>52615454150.580002</v>
      </c>
      <c r="M10" s="39"/>
      <c r="N10" s="47"/>
      <c r="O10" s="47"/>
      <c r="P10" s="47"/>
    </row>
    <row r="11" spans="1:20" x14ac:dyDescent="0.3">
      <c r="M11" s="39"/>
      <c r="N11" s="47"/>
      <c r="O11" s="47"/>
      <c r="P11" s="47"/>
    </row>
    <row r="12" spans="1:20" x14ac:dyDescent="0.3">
      <c r="A12" s="11" t="s">
        <v>816</v>
      </c>
    </row>
    <row r="13" spans="1:20" ht="15" customHeight="1" x14ac:dyDescent="0.3">
      <c r="B13" s="60" t="s">
        <v>813</v>
      </c>
      <c r="C13" s="65">
        <f t="shared" ref="C13:K13" si="2">C8/$K8</f>
        <v>0</v>
      </c>
      <c r="D13" s="65">
        <f t="shared" si="2"/>
        <v>0</v>
      </c>
      <c r="E13" s="65">
        <f t="shared" si="2"/>
        <v>6.31805074188765E-2</v>
      </c>
      <c r="F13" s="65">
        <f t="shared" si="2"/>
        <v>9.7070048799231187E-2</v>
      </c>
      <c r="G13" s="65">
        <f t="shared" si="2"/>
        <v>0.19131293745100345</v>
      </c>
      <c r="H13" s="65">
        <f t="shared" si="2"/>
        <v>0.53361262486107397</v>
      </c>
      <c r="I13" s="65">
        <f t="shared" si="2"/>
        <v>0.11440323304198909</v>
      </c>
      <c r="J13" s="65">
        <f t="shared" si="2"/>
        <v>4.2064842782586607E-4</v>
      </c>
      <c r="K13" s="65">
        <f t="shared" si="2"/>
        <v>1</v>
      </c>
      <c r="M13" s="156"/>
      <c r="N13" s="153" t="s">
        <v>817</v>
      </c>
      <c r="O13" s="153" t="s">
        <v>818</v>
      </c>
      <c r="P13" s="153" t="s">
        <v>819</v>
      </c>
      <c r="Q13" s="153" t="s">
        <v>820</v>
      </c>
      <c r="R13" s="153" t="s">
        <v>821</v>
      </c>
      <c r="S13" s="153" t="s">
        <v>822</v>
      </c>
    </row>
    <row r="14" spans="1:20" x14ac:dyDescent="0.3">
      <c r="B14" s="60" t="s">
        <v>808</v>
      </c>
      <c r="C14" s="65">
        <f t="shared" ref="C14:K14" si="3">C5/$K5</f>
        <v>0</v>
      </c>
      <c r="D14" s="65">
        <f t="shared" si="3"/>
        <v>5.1085879848573193E-5</v>
      </c>
      <c r="E14" s="65">
        <f t="shared" si="3"/>
        <v>8.4976273104180378E-2</v>
      </c>
      <c r="F14" s="65">
        <f t="shared" si="3"/>
        <v>0.12632862873428963</v>
      </c>
      <c r="G14" s="65">
        <f t="shared" si="3"/>
        <v>0.23257362563599707</v>
      </c>
      <c r="H14" s="65">
        <f t="shared" si="3"/>
        <v>0.49947554598261479</v>
      </c>
      <c r="I14" s="65">
        <f t="shared" si="3"/>
        <v>5.6594840663069572E-2</v>
      </c>
      <c r="J14" s="65">
        <f t="shared" si="3"/>
        <v>0</v>
      </c>
      <c r="K14" s="65">
        <f t="shared" si="3"/>
        <v>1</v>
      </c>
      <c r="M14" s="63" t="s">
        <v>823</v>
      </c>
      <c r="N14" s="158">
        <v>735174137.78999853</v>
      </c>
      <c r="O14" s="158">
        <v>3588381.2672528485</v>
      </c>
      <c r="P14" s="158">
        <v>24824309.700000018</v>
      </c>
      <c r="Q14" s="158">
        <v>48804648.276055366</v>
      </c>
      <c r="R14" s="158">
        <v>313705378.7699998</v>
      </c>
      <c r="S14" s="158">
        <v>1051469335.4627352</v>
      </c>
      <c r="T14" s="51"/>
    </row>
    <row r="15" spans="1:20" x14ac:dyDescent="0.3">
      <c r="B15" s="60" t="s">
        <v>815</v>
      </c>
      <c r="C15" s="65">
        <f t="shared" ref="C15:K15" si="4">C9/$K9</f>
        <v>0</v>
      </c>
      <c r="D15" s="65">
        <f t="shared" si="4"/>
        <v>0</v>
      </c>
      <c r="E15" s="65">
        <f t="shared" si="4"/>
        <v>3.5569592238802551E-2</v>
      </c>
      <c r="F15" s="65">
        <f t="shared" si="4"/>
        <v>8.5658556029796537E-2</v>
      </c>
      <c r="G15" s="65">
        <f t="shared" si="4"/>
        <v>0.35825179833993048</v>
      </c>
      <c r="H15" s="65">
        <f t="shared" si="4"/>
        <v>0.35792700826451163</v>
      </c>
      <c r="I15" s="65">
        <f t="shared" si="4"/>
        <v>0.15712445459105906</v>
      </c>
      <c r="J15" s="65">
        <f t="shared" si="4"/>
        <v>5.4685905358997158E-3</v>
      </c>
      <c r="K15" s="65">
        <f t="shared" si="4"/>
        <v>1</v>
      </c>
      <c r="M15" s="63" t="s">
        <v>824</v>
      </c>
      <c r="N15" s="158">
        <v>620499307.75999856</v>
      </c>
      <c r="O15" s="158">
        <v>3342252.7694370053</v>
      </c>
      <c r="P15" s="158">
        <v>24399642.12000002</v>
      </c>
      <c r="Q15" s="158">
        <v>48804648.276055366</v>
      </c>
      <c r="R15" s="158">
        <v>285123612.55999982</v>
      </c>
      <c r="S15" s="158">
        <v>942698671.26477933</v>
      </c>
      <c r="T15" s="51"/>
    </row>
    <row r="16" spans="1:20" x14ac:dyDescent="0.3">
      <c r="B16" s="60" t="s">
        <v>810</v>
      </c>
      <c r="C16" s="65">
        <f t="shared" ref="C16:K16" si="5">C6/$K6</f>
        <v>0</v>
      </c>
      <c r="D16" s="65">
        <f t="shared" si="5"/>
        <v>0</v>
      </c>
      <c r="E16" s="65">
        <f t="shared" si="5"/>
        <v>0.11297657323310498</v>
      </c>
      <c r="F16" s="65">
        <f t="shared" si="5"/>
        <v>9.3833186103607358E-2</v>
      </c>
      <c r="G16" s="65">
        <f t="shared" si="5"/>
        <v>0.19615853954631707</v>
      </c>
      <c r="H16" s="65">
        <f t="shared" si="5"/>
        <v>0.44125873169375684</v>
      </c>
      <c r="I16" s="65">
        <f t="shared" si="5"/>
        <v>0.15577296942321375</v>
      </c>
      <c r="J16" s="65">
        <f t="shared" si="5"/>
        <v>0</v>
      </c>
      <c r="K16" s="65">
        <f t="shared" si="5"/>
        <v>1</v>
      </c>
      <c r="M16" s="63" t="s">
        <v>825</v>
      </c>
      <c r="N16" s="158">
        <v>114674830.03000002</v>
      </c>
      <c r="O16" s="158">
        <v>246128.49781584344</v>
      </c>
      <c r="P16" s="158">
        <v>424667.58</v>
      </c>
      <c r="Q16" s="158">
        <v>0</v>
      </c>
      <c r="R16" s="158">
        <v>28581766.209999997</v>
      </c>
      <c r="S16" s="158">
        <v>108770664.19795585</v>
      </c>
      <c r="T16" s="51"/>
    </row>
    <row r="17" spans="1:20" x14ac:dyDescent="0.3">
      <c r="M17" s="64" t="s">
        <v>826</v>
      </c>
      <c r="N17" s="159">
        <v>781658052.78896558</v>
      </c>
      <c r="O17" s="159">
        <v>9352941.2778822072</v>
      </c>
      <c r="P17" s="159">
        <v>583449177.65015233</v>
      </c>
      <c r="Q17" s="159">
        <v>1734275610.9839294</v>
      </c>
      <c r="R17" s="159">
        <v>31527720.250000034</v>
      </c>
      <c r="S17" s="159">
        <v>916499688.44562232</v>
      </c>
      <c r="T17" s="51"/>
    </row>
    <row r="18" spans="1:20" x14ac:dyDescent="0.3">
      <c r="A18" s="11" t="s">
        <v>820</v>
      </c>
      <c r="M18" s="64" t="s">
        <v>824</v>
      </c>
      <c r="N18" s="159">
        <v>780760872.79396558</v>
      </c>
      <c r="O18" s="159">
        <v>8637808.8693993799</v>
      </c>
      <c r="P18" s="159">
        <v>580952231.606516</v>
      </c>
      <c r="Q18" s="159">
        <v>1734275610.9839294</v>
      </c>
      <c r="R18" s="159">
        <v>31527720.250000034</v>
      </c>
      <c r="S18" s="159">
        <v>910227599.65485108</v>
      </c>
      <c r="T18" s="51"/>
    </row>
    <row r="19" spans="1:20" x14ac:dyDescent="0.3">
      <c r="B19" s="69" t="s">
        <v>813</v>
      </c>
      <c r="C19" s="70">
        <f t="shared" ref="C19:J19" si="6">C13*$Q$18</f>
        <v>0</v>
      </c>
      <c r="D19" s="70">
        <f t="shared" si="6"/>
        <v>0</v>
      </c>
      <c r="E19" s="70">
        <f t="shared" si="6"/>
        <v>109572413.10614672</v>
      </c>
      <c r="F19" s="70">
        <f t="shared" si="6"/>
        <v>168346218.1895265</v>
      </c>
      <c r="G19" s="70">
        <f t="shared" si="6"/>
        <v>331789361.48696929</v>
      </c>
      <c r="H19" s="70">
        <f t="shared" si="6"/>
        <v>925431361.00967741</v>
      </c>
      <c r="I19" s="70">
        <f t="shared" si="6"/>
        <v>198406736.88243249</v>
      </c>
      <c r="J19" s="70">
        <f t="shared" si="6"/>
        <v>729520.30917713325</v>
      </c>
      <c r="K19" s="70">
        <f>SUM(C19:J19)</f>
        <v>1734275610.9839296</v>
      </c>
      <c r="M19" s="64" t="s">
        <v>825</v>
      </c>
      <c r="N19" s="159">
        <v>897179.995</v>
      </c>
      <c r="O19" s="159">
        <v>715132.40848282748</v>
      </c>
      <c r="P19" s="159">
        <v>2496946.0436363639</v>
      </c>
      <c r="Q19" s="159">
        <v>0</v>
      </c>
      <c r="R19" s="159">
        <v>0</v>
      </c>
      <c r="S19" s="159">
        <v>6272088.7907712245</v>
      </c>
      <c r="T19" s="51"/>
    </row>
    <row r="20" spans="1:20" x14ac:dyDescent="0.3">
      <c r="B20" s="69" t="s">
        <v>808</v>
      </c>
      <c r="C20" s="70">
        <f t="shared" ref="C20:J20" si="7">C14*$Q$15</f>
        <v>0</v>
      </c>
      <c r="D20" s="70">
        <f t="shared" si="7"/>
        <v>2493.2283978824394</v>
      </c>
      <c r="E20" s="70">
        <f t="shared" si="7"/>
        <v>4147237.1206595469</v>
      </c>
      <c r="F20" s="70">
        <f t="shared" si="7"/>
        <v>6165424.2925733868</v>
      </c>
      <c r="G20" s="70">
        <f t="shared" si="7"/>
        <v>11350673.99745181</v>
      </c>
      <c r="H20" s="70">
        <f t="shared" si="7"/>
        <v>24376728.344172232</v>
      </c>
      <c r="I20" s="70">
        <f t="shared" si="7"/>
        <v>2762091.2928005066</v>
      </c>
      <c r="J20" s="70">
        <f t="shared" si="7"/>
        <v>0</v>
      </c>
      <c r="K20" s="70">
        <f>SUM(C20:J20)</f>
        <v>48804648.276055366</v>
      </c>
      <c r="N20" s="140">
        <v>1516832190.578964</v>
      </c>
      <c r="O20" s="140">
        <v>12941322.545135055</v>
      </c>
      <c r="P20" s="140">
        <v>608273487.35015237</v>
      </c>
      <c r="Q20" s="140">
        <v>1783080259.2599847</v>
      </c>
      <c r="R20" s="140">
        <v>345233099.01999986</v>
      </c>
      <c r="S20" s="140">
        <v>1967969023.9083574</v>
      </c>
      <c r="T20" s="51"/>
    </row>
    <row r="21" spans="1:20" x14ac:dyDescent="0.3">
      <c r="B21" s="69" t="s">
        <v>815</v>
      </c>
      <c r="C21" s="70">
        <f t="shared" ref="C21:J21" si="8">C15*$Q$19</f>
        <v>0</v>
      </c>
      <c r="D21" s="70">
        <f t="shared" si="8"/>
        <v>0</v>
      </c>
      <c r="E21" s="70">
        <f t="shared" si="8"/>
        <v>0</v>
      </c>
      <c r="F21" s="70">
        <f t="shared" si="8"/>
        <v>0</v>
      </c>
      <c r="G21" s="70">
        <f t="shared" si="8"/>
        <v>0</v>
      </c>
      <c r="H21" s="70">
        <f t="shared" si="8"/>
        <v>0</v>
      </c>
      <c r="I21" s="70">
        <f t="shared" si="8"/>
        <v>0</v>
      </c>
      <c r="J21" s="70">
        <f t="shared" si="8"/>
        <v>0</v>
      </c>
      <c r="K21" s="70">
        <f>SUM(C21:J21)</f>
        <v>0</v>
      </c>
      <c r="Q21" s="51">
        <f>K23-Q20</f>
        <v>0</v>
      </c>
    </row>
    <row r="22" spans="1:20" x14ac:dyDescent="0.3">
      <c r="B22" s="69" t="s">
        <v>810</v>
      </c>
      <c r="C22" s="70">
        <v>0</v>
      </c>
      <c r="D22" s="70">
        <f t="shared" ref="D22:J22" si="9">D16*$Q$16</f>
        <v>0</v>
      </c>
      <c r="E22" s="70">
        <f t="shared" si="9"/>
        <v>0</v>
      </c>
      <c r="F22" s="70">
        <f t="shared" si="9"/>
        <v>0</v>
      </c>
      <c r="G22" s="70">
        <f t="shared" si="9"/>
        <v>0</v>
      </c>
      <c r="H22" s="70">
        <f t="shared" si="9"/>
        <v>0</v>
      </c>
      <c r="I22" s="70">
        <f t="shared" si="9"/>
        <v>0</v>
      </c>
      <c r="J22" s="70">
        <f t="shared" si="9"/>
        <v>0</v>
      </c>
      <c r="K22" s="70">
        <f>SUM(C22:J22)</f>
        <v>0</v>
      </c>
    </row>
    <row r="23" spans="1:20" x14ac:dyDescent="0.3">
      <c r="B23" s="69"/>
      <c r="C23" s="70">
        <f t="shared" ref="C23:K23" si="10">SUM(C19:C22)</f>
        <v>0</v>
      </c>
      <c r="D23" s="70">
        <f t="shared" si="10"/>
        <v>2493.2283978824394</v>
      </c>
      <c r="E23" s="70">
        <f t="shared" si="10"/>
        <v>113719650.22680627</v>
      </c>
      <c r="F23" s="70">
        <f t="shared" si="10"/>
        <v>174511642.48209989</v>
      </c>
      <c r="G23" s="70">
        <f t="shared" si="10"/>
        <v>343140035.48442107</v>
      </c>
      <c r="H23" s="70">
        <f t="shared" si="10"/>
        <v>949808089.35384965</v>
      </c>
      <c r="I23" s="70">
        <f t="shared" si="10"/>
        <v>201168828.17523301</v>
      </c>
      <c r="J23" s="70">
        <f t="shared" si="10"/>
        <v>729520.30917713325</v>
      </c>
      <c r="K23" s="70">
        <f t="shared" si="10"/>
        <v>1783080259.259985</v>
      </c>
    </row>
    <row r="24" spans="1:20" x14ac:dyDescent="0.3">
      <c r="M24" s="8"/>
      <c r="N24" s="111" t="s">
        <v>826</v>
      </c>
      <c r="O24" s="111" t="s">
        <v>823</v>
      </c>
      <c r="P24" s="111" t="s">
        <v>461</v>
      </c>
    </row>
    <row r="25" spans="1:20" x14ac:dyDescent="0.3">
      <c r="A25" s="11" t="s">
        <v>827</v>
      </c>
      <c r="M25" s="8" t="s">
        <v>828</v>
      </c>
      <c r="N25" s="140">
        <f>O4</f>
        <v>3059942299.21</v>
      </c>
      <c r="O25" s="8"/>
      <c r="P25" s="140">
        <f>N25+O25</f>
        <v>3059942299.21</v>
      </c>
    </row>
    <row r="26" spans="1:20" x14ac:dyDescent="0.3">
      <c r="B26" s="66" t="s">
        <v>813</v>
      </c>
      <c r="C26" s="67">
        <f t="shared" ref="C26:J26" si="11">C13*$S$18</f>
        <v>0</v>
      </c>
      <c r="D26" s="67">
        <f t="shared" si="11"/>
        <v>0</v>
      </c>
      <c r="E26" s="67">
        <f t="shared" si="11"/>
        <v>57508641.612859465</v>
      </c>
      <c r="F26" s="67">
        <f t="shared" si="11"/>
        <v>88355837.51690346</v>
      </c>
      <c r="G26" s="67">
        <f t="shared" si="11"/>
        <v>174138315.83894554</v>
      </c>
      <c r="H26" s="67">
        <f t="shared" si="11"/>
        <v>485708938.67281985</v>
      </c>
      <c r="I26" s="67">
        <f t="shared" si="11"/>
        <v>104132980.20456427</v>
      </c>
      <c r="J26" s="67">
        <f t="shared" si="11"/>
        <v>382885.80875852495</v>
      </c>
      <c r="K26" s="67">
        <f>SUM(C26:J26)</f>
        <v>910227599.6548512</v>
      </c>
      <c r="M26" s="8" t="s">
        <v>829</v>
      </c>
      <c r="N26" s="140">
        <f>K7</f>
        <v>51247429506.509995</v>
      </c>
      <c r="O26" s="140">
        <f>K4</f>
        <v>1368024644.0699999</v>
      </c>
      <c r="P26" s="140">
        <f>N26+O26</f>
        <v>52615454150.579994</v>
      </c>
    </row>
    <row r="27" spans="1:20" x14ac:dyDescent="0.3">
      <c r="B27" s="66" t="s">
        <v>808</v>
      </c>
      <c r="C27" s="68">
        <f t="shared" ref="C27:J27" si="12">C14*$S$15</f>
        <v>0</v>
      </c>
      <c r="D27" s="68">
        <f t="shared" si="12"/>
        <v>48158.591053642114</v>
      </c>
      <c r="E27" s="68">
        <f t="shared" si="12"/>
        <v>80107019.744343847</v>
      </c>
      <c r="F27" s="68">
        <f t="shared" si="12"/>
        <v>119089830.45051645</v>
      </c>
      <c r="G27" s="68">
        <f t="shared" si="12"/>
        <v>219246847.85828665</v>
      </c>
      <c r="H27" s="68">
        <f t="shared" si="12"/>
        <v>470854933.52706116</v>
      </c>
      <c r="I27" s="68">
        <f t="shared" si="12"/>
        <v>53351881.093517587</v>
      </c>
      <c r="J27" s="68">
        <f t="shared" si="12"/>
        <v>0</v>
      </c>
      <c r="K27" s="68">
        <f>SUM(C27:J27)</f>
        <v>942698671.26477933</v>
      </c>
      <c r="M27" s="8" t="s">
        <v>817</v>
      </c>
      <c r="N27" s="8"/>
      <c r="O27" s="140">
        <f>N20</f>
        <v>1516832190.578964</v>
      </c>
      <c r="P27" s="140">
        <f>N27+O27</f>
        <v>1516832190.578964</v>
      </c>
    </row>
    <row r="28" spans="1:20" x14ac:dyDescent="0.3">
      <c r="B28" s="66" t="s">
        <v>815</v>
      </c>
      <c r="C28" s="67">
        <f>C15*$S$19</f>
        <v>0</v>
      </c>
      <c r="D28" s="67">
        <f>(D15*$S$19)</f>
        <v>0</v>
      </c>
      <c r="E28" s="67">
        <f t="shared" ref="E28:J28" si="13">E15*$S$19</f>
        <v>223095.64077329662</v>
      </c>
      <c r="F28" s="67">
        <f t="shared" si="13"/>
        <v>537258.06910813577</v>
      </c>
      <c r="G28" s="67">
        <f t="shared" si="13"/>
        <v>2246987.0886415113</v>
      </c>
      <c r="H28" s="67">
        <f t="shared" si="13"/>
        <v>2244949.9764501229</v>
      </c>
      <c r="I28" s="67">
        <f t="shared" si="13"/>
        <v>985498.53039662377</v>
      </c>
      <c r="J28" s="67">
        <f t="shared" si="13"/>
        <v>34299.485401534213</v>
      </c>
      <c r="K28" s="67">
        <f>SUM(C28:J28)</f>
        <v>6272088.7907712245</v>
      </c>
      <c r="M28" s="8" t="s">
        <v>818</v>
      </c>
      <c r="N28" s="8"/>
      <c r="O28" s="140">
        <f>O20</f>
        <v>12941322.545135055</v>
      </c>
      <c r="P28" s="140">
        <f>N28+O28</f>
        <v>12941322.545135055</v>
      </c>
    </row>
    <row r="29" spans="1:20" x14ac:dyDescent="0.3">
      <c r="B29" s="66" t="s">
        <v>810</v>
      </c>
      <c r="C29" s="68">
        <f t="shared" ref="C29:J29" si="14">C16*$S$16</f>
        <v>0</v>
      </c>
      <c r="D29" s="68">
        <f t="shared" si="14"/>
        <v>0</v>
      </c>
      <c r="E29" s="68">
        <f t="shared" si="14"/>
        <v>12288536.909373829</v>
      </c>
      <c r="F29" s="68">
        <f t="shared" si="14"/>
        <v>10206297.976299772</v>
      </c>
      <c r="G29" s="68">
        <f t="shared" si="14"/>
        <v>21336294.634553894</v>
      </c>
      <c r="H29" s="68">
        <f t="shared" si="14"/>
        <v>47996005.329477526</v>
      </c>
      <c r="I29" s="68">
        <f t="shared" si="14"/>
        <v>16943529.348250829</v>
      </c>
      <c r="J29" s="68">
        <f t="shared" si="14"/>
        <v>0</v>
      </c>
      <c r="K29" s="68">
        <f>SUM(C29:J29)</f>
        <v>108770664.19795585</v>
      </c>
      <c r="M29" s="8" t="s">
        <v>830</v>
      </c>
      <c r="N29" s="140">
        <f>Q17</f>
        <v>1734275610.9839294</v>
      </c>
      <c r="O29" s="140">
        <f>Q14</f>
        <v>48804648.276055366</v>
      </c>
      <c r="P29" s="140">
        <f>N29+O29</f>
        <v>1783080259.2599847</v>
      </c>
    </row>
    <row r="30" spans="1:20" x14ac:dyDescent="0.3">
      <c r="B30" s="66"/>
      <c r="C30" s="68">
        <f t="shared" ref="C30:K30" si="15">SUM(C26:C29)</f>
        <v>0</v>
      </c>
      <c r="D30" s="68">
        <f t="shared" si="15"/>
        <v>48158.591053642114</v>
      </c>
      <c r="E30" s="68">
        <f t="shared" si="15"/>
        <v>150127293.90735042</v>
      </c>
      <c r="F30" s="68">
        <f t="shared" si="15"/>
        <v>218189224.01282781</v>
      </c>
      <c r="G30" s="68">
        <f t="shared" si="15"/>
        <v>416968445.42042762</v>
      </c>
      <c r="H30" s="68">
        <f t="shared" si="15"/>
        <v>1006804827.5058087</v>
      </c>
      <c r="I30" s="68">
        <f t="shared" si="15"/>
        <v>175413889.17672932</v>
      </c>
      <c r="J30" s="68">
        <f t="shared" si="15"/>
        <v>417185.29416005919</v>
      </c>
      <c r="K30" s="68">
        <f t="shared" si="15"/>
        <v>1967969023.9083576</v>
      </c>
      <c r="M30" s="8" t="s">
        <v>803</v>
      </c>
      <c r="N30" s="140">
        <f>SUM(N25:N29)</f>
        <v>56041647416.703926</v>
      </c>
      <c r="O30" s="140">
        <f>SUM(O25:O29)</f>
        <v>2946602805.4701543</v>
      </c>
      <c r="P30" s="140">
        <f>SUM(P25:P29)</f>
        <v>58988250222.17408</v>
      </c>
    </row>
    <row r="31" spans="1:20" x14ac:dyDescent="0.3">
      <c r="M31" s="8" t="s">
        <v>821</v>
      </c>
      <c r="N31" s="8"/>
      <c r="O31" s="140">
        <f>-R20</f>
        <v>-345233099.01999986</v>
      </c>
      <c r="P31" s="140">
        <f>N31+O31</f>
        <v>-345233099.01999986</v>
      </c>
    </row>
    <row r="32" spans="1:20" x14ac:dyDescent="0.3">
      <c r="A32" s="11" t="s">
        <v>831</v>
      </c>
      <c r="M32" s="8" t="s">
        <v>832</v>
      </c>
      <c r="N32" s="140">
        <f>-S17</f>
        <v>-916499688.44562232</v>
      </c>
      <c r="O32" s="140">
        <f>-S14</f>
        <v>-1051469335.4627352</v>
      </c>
      <c r="P32" s="140">
        <f>N32+O32</f>
        <v>-1967969023.9083576</v>
      </c>
    </row>
    <row r="33" spans="2:16" x14ac:dyDescent="0.3">
      <c r="B33" s="48" t="s">
        <v>833</v>
      </c>
      <c r="C33" s="72">
        <v>4850916.58</v>
      </c>
      <c r="D33" s="72">
        <v>9261849.9699999988</v>
      </c>
      <c r="E33" s="72">
        <v>4903428.7300000004</v>
      </c>
      <c r="F33" s="72">
        <v>2194063.7400000002</v>
      </c>
      <c r="G33" s="72">
        <v>5827324.8500000006</v>
      </c>
      <c r="H33" s="72">
        <v>1536427.6400000001</v>
      </c>
      <c r="I33" s="72">
        <v>201093.12</v>
      </c>
      <c r="J33" s="72">
        <v>0</v>
      </c>
      <c r="K33" s="72">
        <f>SUM(C33:J33)</f>
        <v>28775104.630000006</v>
      </c>
      <c r="M33" s="8"/>
      <c r="N33" s="140">
        <f>SUM(N30:N32)</f>
        <v>55125147728.258301</v>
      </c>
      <c r="O33" s="140">
        <f>SUM(O30:O32)</f>
        <v>1549900370.9874191</v>
      </c>
      <c r="P33" s="140">
        <f>SUM(P30:P32)</f>
        <v>56675048099.245728</v>
      </c>
    </row>
    <row r="34" spans="2:16" x14ac:dyDescent="0.3">
      <c r="M34" s="8"/>
      <c r="N34" s="140">
        <f>K36</f>
        <v>55153650019.747177</v>
      </c>
      <c r="O34" s="140">
        <f>K37</f>
        <v>2158173858.3375716</v>
      </c>
      <c r="P34" s="140">
        <f>N34+O34</f>
        <v>57311823878.084747</v>
      </c>
    </row>
    <row r="35" spans="2:16" x14ac:dyDescent="0.3">
      <c r="M35" s="8" t="s">
        <v>834</v>
      </c>
      <c r="N35" s="140">
        <f>N34-N33</f>
        <v>28502291.488876343</v>
      </c>
      <c r="O35" s="140">
        <f>O34-O33</f>
        <v>608273487.35015249</v>
      </c>
      <c r="P35" s="140">
        <f>P34-P33</f>
        <v>636775778.83901978</v>
      </c>
    </row>
    <row r="36" spans="2:16" x14ac:dyDescent="0.3">
      <c r="B36" s="48" t="s">
        <v>833</v>
      </c>
      <c r="C36" s="72">
        <f>C8+C9+C19+C21-C26-C28+C33</f>
        <v>4850916.58</v>
      </c>
      <c r="D36" s="72">
        <f>D8+D9+D19+D21-D26-D28+N4+D33</f>
        <v>3069204149.1799998</v>
      </c>
      <c r="E36" s="72">
        <f>E8+E9+E19+E21-E26-E28-K42+E33</f>
        <v>2799030601.7414012</v>
      </c>
      <c r="F36" s="72">
        <f>F8+F9+F19+F21-F26-F28+F33</f>
        <v>4851540505.3035135</v>
      </c>
      <c r="G36" s="72">
        <f>G8+G9+G19+G21-G26-G28+G33</f>
        <v>12960044861.00938</v>
      </c>
      <c r="H36" s="72">
        <f>H8+H9+H19+H21-H26-H28+H33</f>
        <v>24633874451.650402</v>
      </c>
      <c r="I36" s="72">
        <f>I8+I9+I19+I21-I26-I28+I33</f>
        <v>6722686033.2674723</v>
      </c>
      <c r="J36" s="72">
        <f>J8+J9+J19+J21-J26-J28+J33</f>
        <v>112418501.01501706</v>
      </c>
      <c r="K36" s="72">
        <f>SUM(C36:J36)</f>
        <v>55153650019.747177</v>
      </c>
    </row>
    <row r="37" spans="2:16" x14ac:dyDescent="0.3">
      <c r="B37" s="48" t="s">
        <v>835</v>
      </c>
      <c r="C37" s="72"/>
      <c r="D37" s="72"/>
      <c r="E37" s="72"/>
      <c r="F37" s="72"/>
      <c r="G37" s="72"/>
      <c r="H37" s="72"/>
      <c r="I37" s="72"/>
      <c r="J37" s="72"/>
      <c r="K37" s="72">
        <f>K5+K6+K20+K22-K27-K29+N20+O20-R20+P20</f>
        <v>2158173858.3375716</v>
      </c>
    </row>
    <row r="38" spans="2:16" x14ac:dyDescent="0.3">
      <c r="K38" s="51">
        <f>SUM(K36:K37)</f>
        <v>57311823878.084747</v>
      </c>
      <c r="M38" t="s">
        <v>836</v>
      </c>
      <c r="N38" t="s">
        <v>837</v>
      </c>
      <c r="P38" s="50">
        <f>+VLOOKUP(M38,'System TB'!A:C,3,FALSE)</f>
        <v>28358305.190000001</v>
      </c>
    </row>
    <row r="39" spans="2:16" x14ac:dyDescent="0.3">
      <c r="M39" t="s">
        <v>838</v>
      </c>
      <c r="N39" t="s">
        <v>839</v>
      </c>
      <c r="P39" s="50">
        <f>+VLOOKUP(M39,'System TB'!A:C,3,FALSE)</f>
        <v>418031.99</v>
      </c>
    </row>
    <row r="40" spans="2:16" x14ac:dyDescent="0.3">
      <c r="K40" s="50">
        <f>'NBD-MF-01-SOFP'!E45+'NBD-MF-01-SOFP'!E55</f>
        <v>57311823871.201431</v>
      </c>
      <c r="P40" s="50">
        <f>SUM(P38:P39)</f>
        <v>28776337.18</v>
      </c>
    </row>
    <row r="41" spans="2:16" x14ac:dyDescent="0.3">
      <c r="K41" s="51">
        <f>+K38-K40</f>
        <v>6.8833160400390625</v>
      </c>
      <c r="M41" s="166">
        <f>P41-P40</f>
        <v>-1232.5499999932945</v>
      </c>
      <c r="P41" s="51">
        <f>K33</f>
        <v>28775104.630000006</v>
      </c>
    </row>
    <row r="42" spans="2:16" x14ac:dyDescent="0.3">
      <c r="J42" t="s">
        <v>513</v>
      </c>
      <c r="K42" s="138">
        <v>272813.14111328119</v>
      </c>
    </row>
    <row r="44" spans="2:16" x14ac:dyDescent="0.3">
      <c r="B44" s="48" t="s">
        <v>833</v>
      </c>
      <c r="C44" s="72">
        <f t="shared" ref="C44:K44" si="16">ROUND(C36/1000,0)</f>
        <v>4851</v>
      </c>
      <c r="D44" s="72">
        <f t="shared" si="16"/>
        <v>3069204</v>
      </c>
      <c r="E44" s="72">
        <f t="shared" si="16"/>
        <v>2799031</v>
      </c>
      <c r="F44" s="72">
        <f t="shared" si="16"/>
        <v>4851541</v>
      </c>
      <c r="G44" s="72">
        <f t="shared" si="16"/>
        <v>12960045</v>
      </c>
      <c r="H44" s="72">
        <f t="shared" si="16"/>
        <v>24633874</v>
      </c>
      <c r="I44" s="72">
        <f t="shared" si="16"/>
        <v>6722686</v>
      </c>
      <c r="J44" s="72">
        <f t="shared" si="16"/>
        <v>112419</v>
      </c>
      <c r="K44" s="72">
        <f t="shared" si="16"/>
        <v>55153650</v>
      </c>
    </row>
    <row r="45" spans="2:16" x14ac:dyDescent="0.3">
      <c r="B45" s="48" t="s">
        <v>835</v>
      </c>
      <c r="C45" s="72"/>
      <c r="D45" s="72"/>
      <c r="E45" s="72"/>
      <c r="F45" s="72"/>
      <c r="G45" s="72"/>
      <c r="H45" s="72"/>
      <c r="I45" s="72"/>
      <c r="J45" s="72"/>
      <c r="K45" s="72">
        <f>ROUND(K37/1000,0)</f>
        <v>2158174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6"/>
  <dimension ref="A1:Q172"/>
  <sheetViews>
    <sheetView zoomScale="85" zoomScaleNormal="85" workbookViewId="0">
      <pane xSplit="3" ySplit="1" topLeftCell="D146" activePane="bottomRight" state="frozen"/>
      <selection pane="topRight" activeCell="D1" sqref="D1"/>
      <selection pane="bottomLeft" activeCell="A2" sqref="A2"/>
      <selection pane="bottomRight" activeCell="D166" sqref="D166"/>
    </sheetView>
  </sheetViews>
  <sheetFormatPr defaultRowHeight="14.4" x14ac:dyDescent="0.3"/>
  <cols>
    <col min="1" max="1" width="14.5546875" bestFit="1" customWidth="1"/>
    <col min="2" max="2" width="6.33203125" customWidth="1"/>
    <col min="3" max="3" width="47.44140625" customWidth="1"/>
    <col min="4" max="4" width="15.109375" customWidth="1"/>
    <col min="5" max="5" width="0.88671875" style="53" customWidth="1"/>
    <col min="6" max="6" width="15.33203125" customWidth="1"/>
    <col min="7" max="7" width="16.109375" customWidth="1"/>
    <col min="8" max="14" width="14" customWidth="1"/>
    <col min="15" max="15" width="15.109375" customWidth="1"/>
    <col min="17" max="17" width="16.109375" bestFit="1" customWidth="1"/>
  </cols>
  <sheetData>
    <row r="1" spans="1:17" ht="28.8" customHeight="1" x14ac:dyDescent="0.3">
      <c r="A1" s="49" t="s">
        <v>509</v>
      </c>
      <c r="B1" s="49" t="s">
        <v>510</v>
      </c>
      <c r="C1" s="15" t="s">
        <v>511</v>
      </c>
      <c r="D1" s="15" t="s">
        <v>512</v>
      </c>
      <c r="E1" s="52"/>
      <c r="F1" s="15" t="s">
        <v>404</v>
      </c>
      <c r="G1" s="15" t="s">
        <v>405</v>
      </c>
      <c r="H1" s="15" t="s">
        <v>406</v>
      </c>
      <c r="I1" s="15" t="s">
        <v>407</v>
      </c>
      <c r="J1" s="15" t="s">
        <v>408</v>
      </c>
      <c r="K1" s="15" t="s">
        <v>409</v>
      </c>
      <c r="L1" s="15" t="s">
        <v>410</v>
      </c>
      <c r="M1" s="15" t="s">
        <v>411</v>
      </c>
      <c r="N1" s="15" t="s">
        <v>412</v>
      </c>
      <c r="O1" s="16" t="s">
        <v>413</v>
      </c>
      <c r="P1" s="16" t="s">
        <v>513</v>
      </c>
      <c r="Q1" s="155" t="s">
        <v>840</v>
      </c>
    </row>
    <row r="2" spans="1:17" x14ac:dyDescent="0.3">
      <c r="A2" t="s">
        <v>242</v>
      </c>
      <c r="B2" t="s">
        <v>841</v>
      </c>
      <c r="C2" t="s">
        <v>842</v>
      </c>
      <c r="D2" s="50">
        <f>_xlfn.IFNA(IF(-VLOOKUP(B2,'System TB'!$A:$C,3,FALSE)&gt;0,-VLOOKUP(B2,'System TB'!$A:$C,3,FALSE),0),0)</f>
        <v>0</v>
      </c>
      <c r="E2" s="52"/>
      <c r="G2" s="51">
        <f t="shared" ref="G2:G9" si="0">D2</f>
        <v>0</v>
      </c>
      <c r="M2" s="51"/>
      <c r="O2" s="50">
        <f t="shared" ref="O2:O33" si="1">SUM(F2:N2)</f>
        <v>0</v>
      </c>
      <c r="P2" s="51">
        <f t="shared" ref="P2:P33" si="2">O2-D2</f>
        <v>0</v>
      </c>
    </row>
    <row r="3" spans="1:17" x14ac:dyDescent="0.3">
      <c r="A3" t="s">
        <v>242</v>
      </c>
      <c r="B3" t="s">
        <v>843</v>
      </c>
      <c r="C3" t="s">
        <v>844</v>
      </c>
      <c r="D3" s="50">
        <f>_xlfn.IFNA(IF(-VLOOKUP(B3,'System TB'!$A:$C,3,FALSE)&gt;0,-VLOOKUP(B3,'System TB'!$A:$C,3,FALSE),0),0)</f>
        <v>0</v>
      </c>
      <c r="E3" s="52"/>
      <c r="G3" s="51">
        <f t="shared" si="0"/>
        <v>0</v>
      </c>
      <c r="O3" s="50">
        <f t="shared" si="1"/>
        <v>0</v>
      </c>
      <c r="P3" s="51">
        <f t="shared" si="2"/>
        <v>0</v>
      </c>
    </row>
    <row r="4" spans="1:17" x14ac:dyDescent="0.3">
      <c r="A4" t="s">
        <v>242</v>
      </c>
      <c r="B4" t="s">
        <v>845</v>
      </c>
      <c r="C4" t="s">
        <v>846</v>
      </c>
      <c r="D4" s="50">
        <f>_xlfn.IFNA(IF(-VLOOKUP(B4,'System TB'!$A:$C,3,FALSE)&gt;0,-VLOOKUP(B4,'System TB'!$A:$C,3,FALSE),0),0)</f>
        <v>0</v>
      </c>
      <c r="E4" s="52"/>
      <c r="G4" s="51">
        <f t="shared" si="0"/>
        <v>0</v>
      </c>
      <c r="O4" s="50">
        <f t="shared" si="1"/>
        <v>0</v>
      </c>
      <c r="P4" s="51">
        <f t="shared" si="2"/>
        <v>0</v>
      </c>
    </row>
    <row r="5" spans="1:17" x14ac:dyDescent="0.3">
      <c r="A5" t="s">
        <v>242</v>
      </c>
      <c r="B5" t="s">
        <v>847</v>
      </c>
      <c r="C5" t="s">
        <v>848</v>
      </c>
      <c r="D5" s="50">
        <f>_xlfn.IFNA(IF(-VLOOKUP(B5,'System TB'!$A:$C,3,FALSE)&gt;0,-VLOOKUP(B5,'System TB'!$A:$C,3,FALSE),0),0)</f>
        <v>0</v>
      </c>
      <c r="E5" s="52"/>
      <c r="F5" s="51"/>
      <c r="G5" s="51">
        <f t="shared" si="0"/>
        <v>0</v>
      </c>
      <c r="O5" s="50">
        <f t="shared" si="1"/>
        <v>0</v>
      </c>
      <c r="P5" s="51">
        <f t="shared" si="2"/>
        <v>0</v>
      </c>
    </row>
    <row r="6" spans="1:17" x14ac:dyDescent="0.3">
      <c r="A6" t="s">
        <v>242</v>
      </c>
      <c r="B6" t="s">
        <v>849</v>
      </c>
      <c r="C6" t="s">
        <v>850</v>
      </c>
      <c r="D6" s="50">
        <f>_xlfn.IFNA(IF(-VLOOKUP(B6,'System TB'!$A:$C,3,FALSE)&gt;0,-VLOOKUP(B6,'System TB'!$A:$C,3,FALSE),0),0)</f>
        <v>0</v>
      </c>
      <c r="E6" s="52"/>
      <c r="F6" s="51"/>
      <c r="G6" s="51">
        <f t="shared" si="0"/>
        <v>0</v>
      </c>
      <c r="O6" s="50">
        <f t="shared" si="1"/>
        <v>0</v>
      </c>
      <c r="P6" s="51">
        <f t="shared" si="2"/>
        <v>0</v>
      </c>
    </row>
    <row r="7" spans="1:17" x14ac:dyDescent="0.3">
      <c r="A7" t="s">
        <v>242</v>
      </c>
      <c r="B7" t="s">
        <v>851</v>
      </c>
      <c r="C7" t="s">
        <v>852</v>
      </c>
      <c r="D7" s="50">
        <f>_xlfn.IFNA(IF(-VLOOKUP(B7,'System TB'!$A:$C,3,FALSE)&gt;0,-VLOOKUP(B7,'System TB'!$A:$C,3,FALSE),0),0)</f>
        <v>0</v>
      </c>
      <c r="E7" s="52"/>
      <c r="F7" s="51"/>
      <c r="G7" s="51">
        <f t="shared" si="0"/>
        <v>0</v>
      </c>
      <c r="O7" s="50">
        <f t="shared" si="1"/>
        <v>0</v>
      </c>
      <c r="P7" s="51">
        <f t="shared" si="2"/>
        <v>0</v>
      </c>
    </row>
    <row r="8" spans="1:17" x14ac:dyDescent="0.3">
      <c r="A8" t="s">
        <v>242</v>
      </c>
      <c r="B8" t="s">
        <v>853</v>
      </c>
      <c r="C8" t="s">
        <v>854</v>
      </c>
      <c r="D8" s="50">
        <f>_xlfn.IFNA(IF(-VLOOKUP(B8,'System TB'!$A:$C,3,FALSE)&gt;0,-VLOOKUP(B8,'System TB'!$A:$C,3,FALSE),0),0)</f>
        <v>0</v>
      </c>
      <c r="E8" s="52"/>
      <c r="F8" s="51"/>
      <c r="G8" s="51">
        <f t="shared" si="0"/>
        <v>0</v>
      </c>
      <c r="O8" s="50">
        <f t="shared" si="1"/>
        <v>0</v>
      </c>
      <c r="P8" s="51">
        <f t="shared" si="2"/>
        <v>0</v>
      </c>
    </row>
    <row r="9" spans="1:17" x14ac:dyDescent="0.3">
      <c r="A9" t="s">
        <v>242</v>
      </c>
      <c r="B9" t="s">
        <v>855</v>
      </c>
      <c r="C9" t="s">
        <v>856</v>
      </c>
      <c r="D9" s="50">
        <f>_xlfn.IFNA(IF(-VLOOKUP(B9,'System TB'!$A:$C,3,FALSE)&gt;0,-VLOOKUP(B9,'System TB'!$A:$C,3,FALSE),0),0)</f>
        <v>0</v>
      </c>
      <c r="E9" s="52"/>
      <c r="F9" s="51"/>
      <c r="G9" s="51">
        <f t="shared" si="0"/>
        <v>0</v>
      </c>
      <c r="O9" s="50">
        <f t="shared" si="1"/>
        <v>0</v>
      </c>
      <c r="P9" s="51">
        <f t="shared" si="2"/>
        <v>0</v>
      </c>
    </row>
    <row r="10" spans="1:17" x14ac:dyDescent="0.3">
      <c r="A10" t="s">
        <v>350</v>
      </c>
      <c r="B10" t="s">
        <v>857</v>
      </c>
      <c r="C10" t="s">
        <v>858</v>
      </c>
      <c r="D10" s="50">
        <f>_xlfn.IFNA(IF(-VLOOKUP(B10,'System TB'!$A:$C,3,FALSE)&gt;0,-VLOOKUP(B10,'System TB'!$A:$C,3,FALSE),0),0)</f>
        <v>207306880.13999999</v>
      </c>
      <c r="E10" s="52"/>
      <c r="F10" s="51"/>
      <c r="M10" s="51">
        <f>D10</f>
        <v>207306880.13999999</v>
      </c>
      <c r="O10" s="50">
        <f t="shared" si="1"/>
        <v>207306880.13999999</v>
      </c>
      <c r="P10" s="51">
        <f t="shared" si="2"/>
        <v>0</v>
      </c>
    </row>
    <row r="11" spans="1:17" x14ac:dyDescent="0.3">
      <c r="A11" t="s">
        <v>356</v>
      </c>
      <c r="B11" t="s">
        <v>859</v>
      </c>
      <c r="C11" t="s">
        <v>860</v>
      </c>
      <c r="D11" s="50">
        <f>_xlfn.IFNA(IF(-VLOOKUP(B11,'System TB'!$A:$C,3,FALSE)&gt;0,-VLOOKUP(B11,'System TB'!$A:$C,3,FALSE),0),0)</f>
        <v>2908149819.3099999</v>
      </c>
      <c r="E11" s="52"/>
      <c r="F11" s="51"/>
      <c r="G11" s="51">
        <f t="shared" ref="G11:G17" si="3">D11</f>
        <v>2908149819.3099999</v>
      </c>
      <c r="O11" s="50">
        <f t="shared" si="1"/>
        <v>2908149819.3099999</v>
      </c>
      <c r="P11" s="51">
        <f t="shared" si="2"/>
        <v>0</v>
      </c>
      <c r="Q11" s="50"/>
    </row>
    <row r="12" spans="1:17" x14ac:dyDescent="0.3">
      <c r="A12" t="s">
        <v>356</v>
      </c>
      <c r="B12" t="s">
        <v>861</v>
      </c>
      <c r="C12" t="s">
        <v>862</v>
      </c>
      <c r="D12" s="50">
        <f>_xlfn.IFNA(IF(-VLOOKUP(B12,'System TB'!$A:$C,3,FALSE)&gt;0,-VLOOKUP(B12,'System TB'!$A:$C,3,FALSE),0),0)</f>
        <v>1866680.15</v>
      </c>
      <c r="E12" s="52"/>
      <c r="F12" s="51"/>
      <c r="G12" s="51">
        <f t="shared" si="3"/>
        <v>1866680.15</v>
      </c>
      <c r="O12" s="50">
        <f t="shared" si="1"/>
        <v>1866680.15</v>
      </c>
      <c r="P12" s="51">
        <f t="shared" si="2"/>
        <v>0</v>
      </c>
      <c r="Q12" s="50"/>
    </row>
    <row r="13" spans="1:17" x14ac:dyDescent="0.3">
      <c r="A13" t="s">
        <v>356</v>
      </c>
      <c r="B13" t="s">
        <v>863</v>
      </c>
      <c r="C13" t="s">
        <v>864</v>
      </c>
      <c r="D13" s="50">
        <f>_xlfn.IFNA(IF(-VLOOKUP(B13,'System TB'!$A:$C,3,FALSE)&gt;0,-VLOOKUP(B13,'System TB'!$A:$C,3,FALSE),0),0)</f>
        <v>11383169.73</v>
      </c>
      <c r="E13" s="52"/>
      <c r="F13" s="51"/>
      <c r="G13" s="51">
        <f t="shared" si="3"/>
        <v>11383169.73</v>
      </c>
      <c r="O13" s="50">
        <f t="shared" si="1"/>
        <v>11383169.73</v>
      </c>
      <c r="P13" s="51">
        <f t="shared" si="2"/>
        <v>0</v>
      </c>
      <c r="Q13" s="50"/>
    </row>
    <row r="14" spans="1:17" x14ac:dyDescent="0.3">
      <c r="A14" t="s">
        <v>356</v>
      </c>
      <c r="B14" s="141" t="s">
        <v>724</v>
      </c>
      <c r="C14" t="s">
        <v>725</v>
      </c>
      <c r="D14" s="50">
        <f>_xlfn.IFNA(IF(-VLOOKUP(B14,'System TB'!$A:$C,3,FALSE)&gt;0,-VLOOKUP(B14,'System TB'!$A:$C,3,FALSE),0),0)</f>
        <v>43088.88</v>
      </c>
      <c r="E14" s="52"/>
      <c r="F14" s="51"/>
      <c r="G14" s="51">
        <f t="shared" si="3"/>
        <v>43088.88</v>
      </c>
      <c r="O14" s="50">
        <f t="shared" si="1"/>
        <v>43088.88</v>
      </c>
      <c r="P14" s="51">
        <f t="shared" si="2"/>
        <v>0</v>
      </c>
      <c r="Q14" s="50"/>
    </row>
    <row r="15" spans="1:17" x14ac:dyDescent="0.3">
      <c r="A15" t="s">
        <v>356</v>
      </c>
      <c r="B15" t="s">
        <v>696</v>
      </c>
      <c r="C15" t="s">
        <v>697</v>
      </c>
      <c r="D15" s="50">
        <f>_xlfn.IFNA(IF(-VLOOKUP(B15,'System TB'!$A:$C,3,FALSE)&gt;0,-VLOOKUP(B15,'System TB'!$A:$C,3,FALSE),0),0)</f>
        <v>772103.42</v>
      </c>
      <c r="E15" s="52"/>
      <c r="F15" s="51"/>
      <c r="G15" s="51">
        <f t="shared" si="3"/>
        <v>772103.42</v>
      </c>
      <c r="O15" s="50">
        <f t="shared" si="1"/>
        <v>772103.42</v>
      </c>
      <c r="P15" s="51">
        <f t="shared" si="2"/>
        <v>0</v>
      </c>
      <c r="Q15" s="50"/>
    </row>
    <row r="16" spans="1:17" x14ac:dyDescent="0.3">
      <c r="A16" t="s">
        <v>242</v>
      </c>
      <c r="B16" t="s">
        <v>865</v>
      </c>
      <c r="C16" t="s">
        <v>866</v>
      </c>
      <c r="D16" s="50">
        <f>_xlfn.IFNA(IF(-VLOOKUP(B16,'System TB'!$A:$C,3,FALSE)&gt;0,-VLOOKUP(B16,'System TB'!$A:$C,3,FALSE),0),0)</f>
        <v>0</v>
      </c>
      <c r="E16" s="52"/>
      <c r="F16" s="51"/>
      <c r="G16" s="51">
        <f t="shared" si="3"/>
        <v>0</v>
      </c>
      <c r="O16" s="50">
        <f t="shared" si="1"/>
        <v>0</v>
      </c>
      <c r="P16" s="51">
        <f t="shared" si="2"/>
        <v>0</v>
      </c>
    </row>
    <row r="17" spans="1:17" x14ac:dyDescent="0.3">
      <c r="A17" t="s">
        <v>356</v>
      </c>
      <c r="B17" t="s">
        <v>867</v>
      </c>
      <c r="C17" t="s">
        <v>868</v>
      </c>
      <c r="D17" s="50">
        <f>_xlfn.IFNA(IF(-VLOOKUP(B17,'System TB'!$A:$C,3,FALSE)&gt;0,-VLOOKUP(B17,'System TB'!$A:$C,3,FALSE),0),0)</f>
        <v>3400000</v>
      </c>
      <c r="E17" s="52"/>
      <c r="F17" s="51"/>
      <c r="G17" s="51">
        <f t="shared" si="3"/>
        <v>3400000</v>
      </c>
      <c r="O17" s="50">
        <f t="shared" si="1"/>
        <v>3400000</v>
      </c>
      <c r="P17" s="51">
        <f t="shared" si="2"/>
        <v>0</v>
      </c>
      <c r="Q17" s="50"/>
    </row>
    <row r="18" spans="1:17" x14ac:dyDescent="0.3">
      <c r="A18" t="s">
        <v>356</v>
      </c>
      <c r="B18" t="s">
        <v>869</v>
      </c>
      <c r="C18" t="s">
        <v>870</v>
      </c>
      <c r="D18" s="50">
        <f>_xlfn.IFNA(IF(-VLOOKUP(B18,'System TB'!$A:$C,3,FALSE)&gt;0,-VLOOKUP(B18,'System TB'!$A:$C,3,FALSE),0),0)</f>
        <v>97508987.840000004</v>
      </c>
      <c r="E18" s="52"/>
      <c r="F18" s="51"/>
      <c r="G18" s="51"/>
      <c r="H18" s="51">
        <f>D18</f>
        <v>97508987.840000004</v>
      </c>
      <c r="O18" s="50">
        <f t="shared" si="1"/>
        <v>97508987.840000004</v>
      </c>
      <c r="P18" s="51">
        <f t="shared" si="2"/>
        <v>0</v>
      </c>
      <c r="Q18" s="50"/>
    </row>
    <row r="19" spans="1:17" x14ac:dyDescent="0.3">
      <c r="A19" t="s">
        <v>242</v>
      </c>
      <c r="B19" t="s">
        <v>871</v>
      </c>
      <c r="C19" t="s">
        <v>872</v>
      </c>
      <c r="D19" s="50">
        <f>_xlfn.IFNA(IF(-VLOOKUP(B19,'System TB'!$A:$C,3,FALSE)&gt;0,-VLOOKUP(B19,'System TB'!$A:$C,3,FALSE),0),0)</f>
        <v>0</v>
      </c>
      <c r="E19" s="52"/>
      <c r="F19" s="51"/>
      <c r="G19" s="51">
        <f>D19</f>
        <v>0</v>
      </c>
      <c r="O19" s="50">
        <f t="shared" si="1"/>
        <v>0</v>
      </c>
      <c r="P19" s="51">
        <f t="shared" si="2"/>
        <v>0</v>
      </c>
    </row>
    <row r="20" spans="1:17" x14ac:dyDescent="0.3">
      <c r="A20" t="s">
        <v>242</v>
      </c>
      <c r="B20" t="s">
        <v>714</v>
      </c>
      <c r="C20" t="s">
        <v>715</v>
      </c>
      <c r="D20" s="50">
        <f>_xlfn.IFNA(IF(-VLOOKUP(B20,'System TB'!$A:$C,3,FALSE)&gt;0,-VLOOKUP(B20,'System TB'!$A:$C,3,FALSE),0),0)</f>
        <v>0</v>
      </c>
      <c r="E20" s="52"/>
      <c r="F20" s="51"/>
      <c r="G20" s="51">
        <f>D20</f>
        <v>0</v>
      </c>
      <c r="O20" s="50">
        <f t="shared" si="1"/>
        <v>0</v>
      </c>
      <c r="P20" s="51">
        <f t="shared" si="2"/>
        <v>0</v>
      </c>
    </row>
    <row r="21" spans="1:17" x14ac:dyDescent="0.3">
      <c r="A21" t="s">
        <v>356</v>
      </c>
      <c r="B21" t="s">
        <v>873</v>
      </c>
      <c r="C21" t="s">
        <v>874</v>
      </c>
      <c r="D21" s="50">
        <f>_xlfn.IFNA(IF(-VLOOKUP(B21,'System TB'!$A:$C,3,FALSE)&gt;0,-VLOOKUP(B21,'System TB'!$A:$C,3,FALSE),0),0)</f>
        <v>3035681.74</v>
      </c>
      <c r="E21" s="52"/>
      <c r="F21" s="51"/>
      <c r="G21" s="51">
        <f>D21</f>
        <v>3035681.74</v>
      </c>
      <c r="O21" s="50">
        <f t="shared" si="1"/>
        <v>3035681.74</v>
      </c>
      <c r="P21" s="51">
        <f t="shared" si="2"/>
        <v>0</v>
      </c>
      <c r="Q21" s="50"/>
    </row>
    <row r="22" spans="1:17" x14ac:dyDescent="0.3">
      <c r="A22" t="s">
        <v>242</v>
      </c>
      <c r="B22" t="s">
        <v>875</v>
      </c>
      <c r="C22" t="s">
        <v>876</v>
      </c>
      <c r="D22" s="50">
        <f>_xlfn.IFNA(IF(-VLOOKUP(B22,'System TB'!$A:$C,3,FALSE)&gt;0,-VLOOKUP(B22,'System TB'!$A:$C,3,FALSE),0),0)</f>
        <v>0</v>
      </c>
      <c r="E22" s="52"/>
      <c r="G22" s="51"/>
      <c r="L22" s="51">
        <f>D22</f>
        <v>0</v>
      </c>
      <c r="O22" s="50">
        <f t="shared" si="1"/>
        <v>0</v>
      </c>
      <c r="P22" s="51">
        <f t="shared" si="2"/>
        <v>0</v>
      </c>
    </row>
    <row r="23" spans="1:17" x14ac:dyDescent="0.3">
      <c r="A23" t="s">
        <v>356</v>
      </c>
      <c r="B23" t="s">
        <v>877</v>
      </c>
      <c r="C23" t="s">
        <v>878</v>
      </c>
      <c r="D23" s="50">
        <f>_xlfn.IFNA(IF(-VLOOKUP(B23,'System TB'!$A:$C,3,FALSE)&gt;0,-VLOOKUP(B23,'System TB'!$A:$C,3,FALSE),0),0)</f>
        <v>0</v>
      </c>
      <c r="E23" s="52"/>
      <c r="L23" s="51">
        <f>D23</f>
        <v>0</v>
      </c>
      <c r="O23" s="50">
        <f t="shared" si="1"/>
        <v>0</v>
      </c>
      <c r="P23" s="51">
        <f t="shared" si="2"/>
        <v>0</v>
      </c>
      <c r="Q23" s="50"/>
    </row>
    <row r="24" spans="1:17" x14ac:dyDescent="0.3">
      <c r="A24" t="s">
        <v>242</v>
      </c>
      <c r="B24" t="s">
        <v>879</v>
      </c>
      <c r="C24" t="s">
        <v>880</v>
      </c>
      <c r="D24" s="50">
        <f>_xlfn.IFNA(IF(-VLOOKUP(B24,'System TB'!$A:$C,3,FALSE)&gt;0,-VLOOKUP(B24,'System TB'!$A:$C,3,FALSE),0),0)</f>
        <v>0</v>
      </c>
      <c r="E24" s="52"/>
      <c r="G24" s="51">
        <f>D24</f>
        <v>0</v>
      </c>
      <c r="L24" s="51"/>
      <c r="O24" s="50">
        <f t="shared" si="1"/>
        <v>0</v>
      </c>
      <c r="P24" s="51">
        <f t="shared" si="2"/>
        <v>0</v>
      </c>
    </row>
    <row r="25" spans="1:17" x14ac:dyDescent="0.3">
      <c r="A25" t="s">
        <v>356</v>
      </c>
      <c r="B25" t="s">
        <v>881</v>
      </c>
      <c r="C25" t="s">
        <v>882</v>
      </c>
      <c r="D25" s="50">
        <f>_xlfn.IFNA(IF(-VLOOKUP(B25,'System TB'!$A:$C,3,FALSE)&gt;0,-VLOOKUP(B25,'System TB'!$A:$C,3,FALSE),0),0)</f>
        <v>9131443.9000000004</v>
      </c>
      <c r="E25" s="52"/>
      <c r="G25" s="51">
        <f>D25</f>
        <v>9131443.9000000004</v>
      </c>
      <c r="O25" s="50">
        <f t="shared" si="1"/>
        <v>9131443.9000000004</v>
      </c>
      <c r="P25" s="51">
        <f t="shared" si="2"/>
        <v>0</v>
      </c>
      <c r="Q25" s="50"/>
    </row>
    <row r="26" spans="1:17" x14ac:dyDescent="0.3">
      <c r="A26" t="s">
        <v>344</v>
      </c>
      <c r="B26" t="s">
        <v>883</v>
      </c>
      <c r="C26" t="s">
        <v>884</v>
      </c>
      <c r="D26" s="50">
        <f>_xlfn.IFNA(IF(-VLOOKUP(B26,'System TB'!$A:$C,3,FALSE)&gt;0,-VLOOKUP(B26,'System TB'!$A:$C,3,FALSE),0),0)</f>
        <v>461718527.47000003</v>
      </c>
      <c r="E26" s="52"/>
      <c r="G26" s="50"/>
      <c r="H26" s="51"/>
      <c r="I26" s="51">
        <f>D26</f>
        <v>461718527.47000003</v>
      </c>
      <c r="J26" s="51"/>
      <c r="O26" s="50">
        <f t="shared" si="1"/>
        <v>461718527.47000003</v>
      </c>
      <c r="P26" s="51">
        <f t="shared" si="2"/>
        <v>0</v>
      </c>
    </row>
    <row r="27" spans="1:17" x14ac:dyDescent="0.3">
      <c r="A27" t="s">
        <v>356</v>
      </c>
      <c r="B27" t="s">
        <v>885</v>
      </c>
      <c r="C27" t="s">
        <v>886</v>
      </c>
      <c r="D27" s="50">
        <f>_xlfn.IFNA(IF(-VLOOKUP(B27,'System TB'!$A:$C,3,FALSE)&gt;0,-VLOOKUP(B27,'System TB'!$A:$C,3,FALSE),0),0)</f>
        <v>3170730</v>
      </c>
      <c r="E27" s="52"/>
      <c r="G27" s="51">
        <f>D27</f>
        <v>3170730</v>
      </c>
      <c r="O27" s="50">
        <f t="shared" si="1"/>
        <v>3170730</v>
      </c>
      <c r="P27" s="51">
        <f t="shared" si="2"/>
        <v>0</v>
      </c>
      <c r="Q27" s="50"/>
    </row>
    <row r="28" spans="1:17" x14ac:dyDescent="0.3">
      <c r="A28" t="s">
        <v>356</v>
      </c>
      <c r="B28" t="s">
        <v>740</v>
      </c>
      <c r="C28" t="s">
        <v>717</v>
      </c>
      <c r="D28" s="50">
        <f>_xlfn.IFNA(IF(-VLOOKUP(B28,'System TB'!$A:$C,3,FALSE)&gt;0,-VLOOKUP(B28,'System TB'!$A:$C,3,FALSE),0),0)</f>
        <v>0</v>
      </c>
      <c r="E28" s="52"/>
      <c r="G28" s="51">
        <f>D28</f>
        <v>0</v>
      </c>
      <c r="O28" s="50">
        <f t="shared" si="1"/>
        <v>0</v>
      </c>
      <c r="P28" s="51">
        <f t="shared" si="2"/>
        <v>0</v>
      </c>
      <c r="Q28" s="50"/>
    </row>
    <row r="29" spans="1:17" x14ac:dyDescent="0.3">
      <c r="A29" t="s">
        <v>242</v>
      </c>
      <c r="B29" t="s">
        <v>887</v>
      </c>
      <c r="C29" t="s">
        <v>888</v>
      </c>
      <c r="D29" s="50">
        <f>_xlfn.IFNA(IF(-VLOOKUP(B29,'System TB'!$A:$C,3,FALSE)&gt;0,-VLOOKUP(B29,'System TB'!$A:$C,3,FALSE),0),0)</f>
        <v>0</v>
      </c>
      <c r="E29" s="52"/>
      <c r="G29" s="51"/>
      <c r="L29" s="51">
        <f>D29</f>
        <v>0</v>
      </c>
      <c r="O29" s="50">
        <f t="shared" si="1"/>
        <v>0</v>
      </c>
      <c r="P29" s="51">
        <f t="shared" si="2"/>
        <v>0</v>
      </c>
    </row>
    <row r="30" spans="1:17" x14ac:dyDescent="0.3">
      <c r="A30" t="s">
        <v>242</v>
      </c>
      <c r="B30" t="s">
        <v>889</v>
      </c>
      <c r="C30" t="s">
        <v>890</v>
      </c>
      <c r="D30" s="50">
        <f>_xlfn.IFNA(IF(-VLOOKUP(B30,'System TB'!$A:$C,3,FALSE)&gt;0,-VLOOKUP(B30,'System TB'!$A:$C,3,FALSE),0),0)</f>
        <v>0</v>
      </c>
      <c r="E30" s="52"/>
      <c r="G30" s="51">
        <f t="shared" ref="G30:G38" si="4">D30</f>
        <v>0</v>
      </c>
      <c r="O30" s="50">
        <f t="shared" si="1"/>
        <v>0</v>
      </c>
      <c r="P30" s="51">
        <f t="shared" si="2"/>
        <v>0</v>
      </c>
    </row>
    <row r="31" spans="1:17" x14ac:dyDescent="0.3">
      <c r="A31" t="s">
        <v>242</v>
      </c>
      <c r="B31" t="s">
        <v>891</v>
      </c>
      <c r="C31" t="s">
        <v>892</v>
      </c>
      <c r="D31" s="50">
        <f>_xlfn.IFNA(IF(-VLOOKUP(B31,'System TB'!$A:$C,3,FALSE)&gt;0,-VLOOKUP(B31,'System TB'!$A:$C,3,FALSE),0),0)</f>
        <v>0</v>
      </c>
      <c r="E31" s="52"/>
      <c r="F31" s="51"/>
      <c r="G31" s="51">
        <f t="shared" si="4"/>
        <v>0</v>
      </c>
      <c r="O31" s="50">
        <f t="shared" si="1"/>
        <v>0</v>
      </c>
      <c r="P31" s="51">
        <f t="shared" si="2"/>
        <v>0</v>
      </c>
    </row>
    <row r="32" spans="1:17" x14ac:dyDescent="0.3">
      <c r="A32" t="s">
        <v>242</v>
      </c>
      <c r="B32" t="s">
        <v>893</v>
      </c>
      <c r="C32" t="s">
        <v>894</v>
      </c>
      <c r="D32" s="50">
        <f>_xlfn.IFNA(IF(-VLOOKUP(B32,'System TB'!$A:$C,3,FALSE)&gt;0,-VLOOKUP(B32,'System TB'!$A:$C,3,FALSE),0),0)</f>
        <v>0</v>
      </c>
      <c r="E32" s="52"/>
      <c r="F32" s="51"/>
      <c r="G32" s="51">
        <f t="shared" si="4"/>
        <v>0</v>
      </c>
      <c r="O32" s="50">
        <f t="shared" si="1"/>
        <v>0</v>
      </c>
      <c r="P32" s="51">
        <f t="shared" si="2"/>
        <v>0</v>
      </c>
    </row>
    <row r="33" spans="1:17" x14ac:dyDescent="0.3">
      <c r="A33" t="s">
        <v>242</v>
      </c>
      <c r="B33" t="s">
        <v>743</v>
      </c>
      <c r="C33" t="s">
        <v>744</v>
      </c>
      <c r="D33" s="50">
        <f>_xlfn.IFNA(IF(-VLOOKUP(B33,'System TB'!$A:$C,3,FALSE)&gt;0,-VLOOKUP(B33,'System TB'!$A:$C,3,FALSE),0),0)</f>
        <v>0</v>
      </c>
      <c r="E33" s="52"/>
      <c r="G33" s="51">
        <f t="shared" si="4"/>
        <v>0</v>
      </c>
      <c r="O33" s="50">
        <f t="shared" si="1"/>
        <v>0</v>
      </c>
      <c r="P33" s="51">
        <f t="shared" si="2"/>
        <v>0</v>
      </c>
    </row>
    <row r="34" spans="1:17" x14ac:dyDescent="0.3">
      <c r="A34" t="s">
        <v>242</v>
      </c>
      <c r="B34" t="s">
        <v>895</v>
      </c>
      <c r="C34" t="s">
        <v>896</v>
      </c>
      <c r="D34" s="50">
        <f>_xlfn.IFNA(IF(-VLOOKUP(B34,'System TB'!$A:$C,3,FALSE)&gt;0,-VLOOKUP(B34,'System TB'!$A:$C,3,FALSE),0),0)</f>
        <v>0</v>
      </c>
      <c r="E34" s="52"/>
      <c r="G34" s="51">
        <f t="shared" si="4"/>
        <v>0</v>
      </c>
      <c r="O34" s="50">
        <f t="shared" ref="O34:O65" si="5">SUM(F34:N34)</f>
        <v>0</v>
      </c>
      <c r="P34" s="51">
        <f t="shared" ref="P34:P65" si="6">O34-D34</f>
        <v>0</v>
      </c>
    </row>
    <row r="35" spans="1:17" x14ac:dyDescent="0.3">
      <c r="A35" t="s">
        <v>356</v>
      </c>
      <c r="B35" t="s">
        <v>897</v>
      </c>
      <c r="C35" t="s">
        <v>898</v>
      </c>
      <c r="D35" s="50">
        <f>_xlfn.IFNA(IF(-VLOOKUP(B35,'System TB'!$A:$C,3,FALSE)&gt;0,-VLOOKUP(B35,'System TB'!$A:$C,3,FALSE),0),0)</f>
        <v>175000</v>
      </c>
      <c r="E35" s="52"/>
      <c r="G35" s="51">
        <f t="shared" si="4"/>
        <v>175000</v>
      </c>
      <c r="O35" s="50">
        <f t="shared" si="5"/>
        <v>175000</v>
      </c>
      <c r="P35" s="51">
        <f t="shared" si="6"/>
        <v>0</v>
      </c>
      <c r="Q35" s="50"/>
    </row>
    <row r="36" spans="1:17" x14ac:dyDescent="0.3">
      <c r="A36" t="s">
        <v>242</v>
      </c>
      <c r="B36" t="s">
        <v>736</v>
      </c>
      <c r="C36" t="s">
        <v>737</v>
      </c>
      <c r="D36" s="50">
        <f>_xlfn.IFNA(IF(-VLOOKUP(B36,'System TB'!$A:$C,3,FALSE)&gt;0,-VLOOKUP(B36,'System TB'!$A:$C,3,FALSE),0),0)</f>
        <v>0</v>
      </c>
      <c r="E36" s="52"/>
      <c r="G36" s="51">
        <f t="shared" si="4"/>
        <v>0</v>
      </c>
      <c r="O36" s="50">
        <f t="shared" si="5"/>
        <v>0</v>
      </c>
      <c r="P36" s="51">
        <f t="shared" si="6"/>
        <v>0</v>
      </c>
    </row>
    <row r="37" spans="1:17" x14ac:dyDescent="0.3">
      <c r="A37" t="s">
        <v>356</v>
      </c>
      <c r="B37" t="s">
        <v>899</v>
      </c>
      <c r="C37" t="s">
        <v>900</v>
      </c>
      <c r="D37" s="50">
        <f>_xlfn.IFNA(IF(-VLOOKUP(B37,'System TB'!$A:$C,3,FALSE)&gt;0,-VLOOKUP(B37,'System TB'!$A:$C,3,FALSE),0),0)</f>
        <v>79743783.790000007</v>
      </c>
      <c r="E37" s="52"/>
      <c r="G37" s="51">
        <f t="shared" si="4"/>
        <v>79743783.790000007</v>
      </c>
      <c r="O37" s="50">
        <f t="shared" si="5"/>
        <v>79743783.790000007</v>
      </c>
      <c r="P37" s="51">
        <f t="shared" si="6"/>
        <v>0</v>
      </c>
      <c r="Q37" s="50"/>
    </row>
    <row r="38" spans="1:17" x14ac:dyDescent="0.3">
      <c r="A38" t="s">
        <v>242</v>
      </c>
      <c r="B38" t="s">
        <v>702</v>
      </c>
      <c r="C38" t="s">
        <v>703</v>
      </c>
      <c r="D38" s="50">
        <f>_xlfn.IFNA(IF(-VLOOKUP(B38,'System TB'!$A:$C,3,FALSE)&gt;0,-VLOOKUP(B38,'System TB'!$A:$C,3,FALSE),0),0)</f>
        <v>0</v>
      </c>
      <c r="E38" s="52"/>
      <c r="F38" s="51"/>
      <c r="G38" s="51">
        <f t="shared" si="4"/>
        <v>0</v>
      </c>
      <c r="O38" s="50">
        <f t="shared" si="5"/>
        <v>0</v>
      </c>
      <c r="P38" s="51">
        <f t="shared" si="6"/>
        <v>0</v>
      </c>
    </row>
    <row r="39" spans="1:17" x14ac:dyDescent="0.3">
      <c r="A39" t="s">
        <v>356</v>
      </c>
      <c r="B39" t="s">
        <v>901</v>
      </c>
      <c r="C39" t="s">
        <v>902</v>
      </c>
      <c r="D39" s="50">
        <f>_xlfn.IFNA(IF(-VLOOKUP(B39,'System TB'!$A:$C,3,FALSE)&gt;0,-VLOOKUP(B39,'System TB'!$A:$C,3,FALSE),0),0)</f>
        <v>85337</v>
      </c>
      <c r="E39" s="52"/>
      <c r="G39" s="51"/>
      <c r="H39" s="51"/>
      <c r="K39" s="51">
        <f>D39</f>
        <v>85337</v>
      </c>
      <c r="O39" s="50">
        <f t="shared" si="5"/>
        <v>85337</v>
      </c>
      <c r="P39" s="51">
        <f t="shared" si="6"/>
        <v>0</v>
      </c>
      <c r="Q39" s="50"/>
    </row>
    <row r="40" spans="1:17" x14ac:dyDescent="0.3">
      <c r="A40" t="s">
        <v>356</v>
      </c>
      <c r="B40" t="s">
        <v>728</v>
      </c>
      <c r="C40" t="s">
        <v>729</v>
      </c>
      <c r="D40" s="50">
        <f>_xlfn.IFNA(IF(-VLOOKUP(B40,'System TB'!$A:$C,3,FALSE)&gt;0,-VLOOKUP(B40,'System TB'!$A:$C,3,FALSE),0),0)</f>
        <v>235.43</v>
      </c>
      <c r="E40" s="52"/>
      <c r="G40" s="51">
        <f t="shared" ref="G40:G51" si="7">D40</f>
        <v>235.43</v>
      </c>
      <c r="O40" s="50">
        <f t="shared" si="5"/>
        <v>235.43</v>
      </c>
      <c r="P40" s="51">
        <f t="shared" si="6"/>
        <v>0</v>
      </c>
      <c r="Q40" s="50"/>
    </row>
    <row r="41" spans="1:17" x14ac:dyDescent="0.3">
      <c r="A41" t="s">
        <v>356</v>
      </c>
      <c r="B41" t="s">
        <v>903</v>
      </c>
      <c r="C41" t="s">
        <v>904</v>
      </c>
      <c r="D41" s="50">
        <f>_xlfn.IFNA(IF(-VLOOKUP(B41,'System TB'!$A:$C,3,FALSE)&gt;0,-VLOOKUP(B41,'System TB'!$A:$C,3,FALSE),0),0)</f>
        <v>5931715.9100000001</v>
      </c>
      <c r="E41" s="52"/>
      <c r="G41" s="51">
        <f t="shared" si="7"/>
        <v>5931715.9100000001</v>
      </c>
      <c r="O41" s="50">
        <f t="shared" si="5"/>
        <v>5931715.9100000001</v>
      </c>
      <c r="P41" s="51">
        <f t="shared" si="6"/>
        <v>0</v>
      </c>
      <c r="Q41" s="50"/>
    </row>
    <row r="42" spans="1:17" x14ac:dyDescent="0.3">
      <c r="A42" t="s">
        <v>356</v>
      </c>
      <c r="B42" t="s">
        <v>905</v>
      </c>
      <c r="C42" t="s">
        <v>906</v>
      </c>
      <c r="D42" s="50">
        <f>_xlfn.IFNA(IF(-VLOOKUP(B42,'System TB'!$A:$C,3,FALSE)&gt;0,-VLOOKUP(B42,'System TB'!$A:$C,3,FALSE),0),0)</f>
        <v>6660.51</v>
      </c>
      <c r="E42" s="52"/>
      <c r="F42" s="51"/>
      <c r="G42" s="51">
        <f t="shared" si="7"/>
        <v>6660.51</v>
      </c>
      <c r="O42" s="50">
        <f t="shared" si="5"/>
        <v>6660.51</v>
      </c>
      <c r="P42" s="51">
        <f t="shared" si="6"/>
        <v>0</v>
      </c>
      <c r="Q42" s="50"/>
    </row>
    <row r="43" spans="1:17" x14ac:dyDescent="0.3">
      <c r="A43" t="s">
        <v>356</v>
      </c>
      <c r="B43" t="s">
        <v>907</v>
      </c>
      <c r="C43" t="s">
        <v>908</v>
      </c>
      <c r="D43" s="50">
        <f>_xlfn.IFNA(IF(-VLOOKUP(B43,'System TB'!$A:$C,3,FALSE)&gt;0,-VLOOKUP(B43,'System TB'!$A:$C,3,FALSE),0),0)</f>
        <v>44440</v>
      </c>
      <c r="E43" s="52"/>
      <c r="F43" s="51"/>
      <c r="G43" s="51">
        <f t="shared" si="7"/>
        <v>44440</v>
      </c>
      <c r="O43" s="50">
        <f t="shared" si="5"/>
        <v>44440</v>
      </c>
      <c r="P43" s="51">
        <f t="shared" si="6"/>
        <v>0</v>
      </c>
      <c r="Q43" s="50"/>
    </row>
    <row r="44" spans="1:17" x14ac:dyDescent="0.3">
      <c r="A44" t="s">
        <v>242</v>
      </c>
      <c r="B44" t="s">
        <v>909</v>
      </c>
      <c r="C44" t="s">
        <v>910</v>
      </c>
      <c r="D44" s="50">
        <f>_xlfn.IFNA(IF(-VLOOKUP(B44,'System TB'!$A:$C,3,FALSE)&gt;0,-VLOOKUP(B44,'System TB'!$A:$C,3,FALSE),0),0)</f>
        <v>0</v>
      </c>
      <c r="E44" s="52"/>
      <c r="F44" s="51"/>
      <c r="G44" s="51">
        <f t="shared" si="7"/>
        <v>0</v>
      </c>
      <c r="O44" s="50">
        <f t="shared" si="5"/>
        <v>0</v>
      </c>
      <c r="P44" s="51">
        <f t="shared" si="6"/>
        <v>0</v>
      </c>
    </row>
    <row r="45" spans="1:17" x14ac:dyDescent="0.3">
      <c r="A45" t="s">
        <v>242</v>
      </c>
      <c r="B45" t="s">
        <v>911</v>
      </c>
      <c r="C45" t="s">
        <v>912</v>
      </c>
      <c r="D45" s="50">
        <f>_xlfn.IFNA(IF(-VLOOKUP(B45,'System TB'!$A:$C,3,FALSE)&gt;0,-VLOOKUP(B45,'System TB'!$A:$C,3,FALSE),0),0)</f>
        <v>0</v>
      </c>
      <c r="E45" s="52"/>
      <c r="F45" s="51"/>
      <c r="G45" s="51">
        <f t="shared" si="7"/>
        <v>0</v>
      </c>
      <c r="O45" s="50">
        <f t="shared" si="5"/>
        <v>0</v>
      </c>
      <c r="P45" s="51">
        <f t="shared" si="6"/>
        <v>0</v>
      </c>
    </row>
    <row r="46" spans="1:17" x14ac:dyDescent="0.3">
      <c r="A46" t="s">
        <v>356</v>
      </c>
      <c r="B46" t="s">
        <v>913</v>
      </c>
      <c r="C46" t="s">
        <v>914</v>
      </c>
      <c r="D46" s="50">
        <f>_xlfn.IFNA(IF(-VLOOKUP(B46,'System TB'!$A:$C,3,FALSE)&gt;0,-VLOOKUP(B46,'System TB'!$A:$C,3,FALSE),0),0)</f>
        <v>121019</v>
      </c>
      <c r="E46" s="52"/>
      <c r="F46" s="51"/>
      <c r="G46" s="51">
        <f t="shared" si="7"/>
        <v>121019</v>
      </c>
      <c r="O46" s="50">
        <f t="shared" si="5"/>
        <v>121019</v>
      </c>
      <c r="P46" s="51">
        <f t="shared" si="6"/>
        <v>0</v>
      </c>
      <c r="Q46" s="50"/>
    </row>
    <row r="47" spans="1:17" x14ac:dyDescent="0.3">
      <c r="A47" t="s">
        <v>242</v>
      </c>
      <c r="B47" t="s">
        <v>741</v>
      </c>
      <c r="C47" t="s">
        <v>742</v>
      </c>
      <c r="D47" s="50">
        <f>_xlfn.IFNA(IF(-VLOOKUP(B47,'System TB'!$A:$C,3,FALSE)&gt;0,-VLOOKUP(B47,'System TB'!$A:$C,3,FALSE),0),0)</f>
        <v>0</v>
      </c>
      <c r="E47" s="52"/>
      <c r="F47" s="51"/>
      <c r="G47" s="51">
        <f t="shared" si="7"/>
        <v>0</v>
      </c>
      <c r="O47" s="50">
        <f t="shared" si="5"/>
        <v>0</v>
      </c>
      <c r="P47" s="51">
        <f t="shared" si="6"/>
        <v>0</v>
      </c>
    </row>
    <row r="48" spans="1:17" x14ac:dyDescent="0.3">
      <c r="A48" t="s">
        <v>242</v>
      </c>
      <c r="B48" t="s">
        <v>915</v>
      </c>
      <c r="C48" t="s">
        <v>916</v>
      </c>
      <c r="D48" s="50">
        <f>_xlfn.IFNA(IF(-VLOOKUP(B48,'System TB'!$A:$C,3,FALSE)&gt;0,-VLOOKUP(B48,'System TB'!$A:$C,3,FALSE),0),0)</f>
        <v>0</v>
      </c>
      <c r="E48" s="52"/>
      <c r="G48" s="51">
        <f t="shared" si="7"/>
        <v>0</v>
      </c>
      <c r="O48" s="50">
        <f t="shared" si="5"/>
        <v>0</v>
      </c>
      <c r="P48" s="51">
        <f t="shared" si="6"/>
        <v>0</v>
      </c>
    </row>
    <row r="49" spans="1:17" x14ac:dyDescent="0.3">
      <c r="A49" t="s">
        <v>242</v>
      </c>
      <c r="B49" t="s">
        <v>917</v>
      </c>
      <c r="C49" t="s">
        <v>918</v>
      </c>
      <c r="D49" s="50">
        <f>_xlfn.IFNA(IF(-VLOOKUP(B49,'System TB'!$A:$C,3,FALSE)&gt;0,-VLOOKUP(B49,'System TB'!$A:$C,3,FALSE),0),0)</f>
        <v>0</v>
      </c>
      <c r="E49" s="52"/>
      <c r="G49" s="51">
        <f t="shared" si="7"/>
        <v>0</v>
      </c>
      <c r="O49" s="50">
        <f t="shared" si="5"/>
        <v>0</v>
      </c>
      <c r="P49" s="51">
        <f t="shared" si="6"/>
        <v>0</v>
      </c>
    </row>
    <row r="50" spans="1:17" x14ac:dyDescent="0.3">
      <c r="A50" t="s">
        <v>242</v>
      </c>
      <c r="B50" t="s">
        <v>919</v>
      </c>
      <c r="C50" t="s">
        <v>920</v>
      </c>
      <c r="D50" s="50">
        <f>_xlfn.IFNA(IF(-VLOOKUP(B50,'System TB'!$A:$C,3,FALSE)&gt;0,-VLOOKUP(B50,'System TB'!$A:$C,3,FALSE),0),0)</f>
        <v>0</v>
      </c>
      <c r="E50" s="52"/>
      <c r="G50" s="51">
        <f t="shared" si="7"/>
        <v>0</v>
      </c>
      <c r="O50" s="50">
        <f t="shared" si="5"/>
        <v>0</v>
      </c>
      <c r="P50" s="51">
        <f t="shared" si="6"/>
        <v>0</v>
      </c>
    </row>
    <row r="51" spans="1:17" x14ac:dyDescent="0.3">
      <c r="A51" t="s">
        <v>356</v>
      </c>
      <c r="B51" t="s">
        <v>921</v>
      </c>
      <c r="C51" t="s">
        <v>922</v>
      </c>
      <c r="D51" s="50">
        <f>_xlfn.IFNA(IF(-VLOOKUP(B51,'System TB'!$A:$C,3,FALSE)&gt;0,-VLOOKUP(B51,'System TB'!$A:$C,3,FALSE),0),0)</f>
        <v>624712.01</v>
      </c>
      <c r="E51" s="52"/>
      <c r="G51" s="51">
        <f t="shared" si="7"/>
        <v>624712.01</v>
      </c>
      <c r="O51" s="50">
        <f t="shared" si="5"/>
        <v>624712.01</v>
      </c>
      <c r="P51" s="51">
        <f t="shared" si="6"/>
        <v>0</v>
      </c>
      <c r="Q51" s="50"/>
    </row>
    <row r="52" spans="1:17" x14ac:dyDescent="0.3">
      <c r="A52" t="s">
        <v>356</v>
      </c>
      <c r="B52" t="s">
        <v>923</v>
      </c>
      <c r="C52" t="s">
        <v>924</v>
      </c>
      <c r="D52" s="50">
        <f>_xlfn.IFNA(IF(-VLOOKUP(B52,'System TB'!$A:$C,3,FALSE)&gt;0,-VLOOKUP(B52,'System TB'!$A:$C,3,FALSE),0),0)</f>
        <v>1108080.17</v>
      </c>
      <c r="E52" s="52"/>
      <c r="G52" s="51"/>
      <c r="H52" s="51"/>
      <c r="K52" s="51">
        <f>D52</f>
        <v>1108080.17</v>
      </c>
      <c r="O52" s="50">
        <f t="shared" si="5"/>
        <v>1108080.17</v>
      </c>
      <c r="P52" s="51">
        <f t="shared" si="6"/>
        <v>0</v>
      </c>
      <c r="Q52" s="50"/>
    </row>
    <row r="53" spans="1:17" x14ac:dyDescent="0.3">
      <c r="A53" t="s">
        <v>242</v>
      </c>
      <c r="B53" t="s">
        <v>925</v>
      </c>
      <c r="C53" t="s">
        <v>926</v>
      </c>
      <c r="D53" s="50">
        <f>_xlfn.IFNA(IF(-VLOOKUP(B53,'System TB'!$A:$C,3,FALSE)&gt;0,-VLOOKUP(B53,'System TB'!$A:$C,3,FALSE),0),0)</f>
        <v>0</v>
      </c>
      <c r="E53" s="52"/>
      <c r="F53" s="51"/>
      <c r="G53" s="51">
        <f>D53</f>
        <v>0</v>
      </c>
      <c r="O53" s="50">
        <f t="shared" si="5"/>
        <v>0</v>
      </c>
      <c r="P53" s="51">
        <f t="shared" si="6"/>
        <v>0</v>
      </c>
    </row>
    <row r="54" spans="1:17" x14ac:dyDescent="0.3">
      <c r="A54" t="s">
        <v>356</v>
      </c>
      <c r="B54" t="s">
        <v>927</v>
      </c>
      <c r="C54" t="s">
        <v>928</v>
      </c>
      <c r="D54" s="50">
        <f>_xlfn.IFNA(IF(-VLOOKUP(B54,'System TB'!$A:$C,3,FALSE)&gt;0,-VLOOKUP(B54,'System TB'!$A:$C,3,FALSE),0),0)</f>
        <v>243890.9</v>
      </c>
      <c r="E54" s="52"/>
      <c r="G54" s="51">
        <f>D54</f>
        <v>243890.9</v>
      </c>
      <c r="O54" s="50">
        <f t="shared" si="5"/>
        <v>243890.9</v>
      </c>
      <c r="P54" s="51">
        <f t="shared" si="6"/>
        <v>0</v>
      </c>
      <c r="Q54" s="50"/>
    </row>
    <row r="55" spans="1:17" x14ac:dyDescent="0.3">
      <c r="A55" t="s">
        <v>242</v>
      </c>
      <c r="B55" t="s">
        <v>929</v>
      </c>
      <c r="C55" t="s">
        <v>930</v>
      </c>
      <c r="D55" s="50">
        <f>_xlfn.IFNA(IF(-VLOOKUP(B55,'System TB'!$A:$C,3,FALSE)&gt;0,-VLOOKUP(B55,'System TB'!$A:$C,3,FALSE),0),0)</f>
        <v>0</v>
      </c>
      <c r="E55" s="52"/>
      <c r="F55" s="51"/>
      <c r="G55" s="51">
        <f>D55</f>
        <v>0</v>
      </c>
      <c r="O55" s="50">
        <f t="shared" si="5"/>
        <v>0</v>
      </c>
      <c r="P55" s="51">
        <f t="shared" si="6"/>
        <v>0</v>
      </c>
    </row>
    <row r="56" spans="1:17" x14ac:dyDescent="0.3">
      <c r="A56" t="s">
        <v>242</v>
      </c>
      <c r="B56" t="s">
        <v>931</v>
      </c>
      <c r="C56" t="s">
        <v>932</v>
      </c>
      <c r="D56" s="50">
        <f>_xlfn.IFNA(IF(-VLOOKUP(B56,'System TB'!$A:$C,3,FALSE)&gt;0,-VLOOKUP(B56,'System TB'!$A:$C,3,FALSE),0),0)</f>
        <v>0</v>
      </c>
      <c r="E56" s="52"/>
      <c r="G56" s="51">
        <f>D56</f>
        <v>0</v>
      </c>
      <c r="O56" s="50">
        <f t="shared" si="5"/>
        <v>0</v>
      </c>
      <c r="P56" s="51">
        <f t="shared" si="6"/>
        <v>0</v>
      </c>
    </row>
    <row r="57" spans="1:17" x14ac:dyDescent="0.3">
      <c r="A57" t="s">
        <v>356</v>
      </c>
      <c r="B57" t="s">
        <v>933</v>
      </c>
      <c r="C57" t="s">
        <v>934</v>
      </c>
      <c r="D57" s="50">
        <f>_xlfn.IFNA(IF(-VLOOKUP(B57,'System TB'!$A:$C,3,FALSE)&gt;0,-VLOOKUP(B57,'System TB'!$A:$C,3,FALSE),0),0)</f>
        <v>169587920.41999999</v>
      </c>
      <c r="E57" s="52"/>
      <c r="G57" s="51"/>
      <c r="I57" s="51">
        <f>D57</f>
        <v>169587920.41999999</v>
      </c>
      <c r="O57" s="50">
        <f t="shared" si="5"/>
        <v>169587920.41999999</v>
      </c>
      <c r="P57" s="51">
        <f t="shared" si="6"/>
        <v>0</v>
      </c>
      <c r="Q57" s="50"/>
    </row>
    <row r="58" spans="1:17" x14ac:dyDescent="0.3">
      <c r="A58" t="s">
        <v>356</v>
      </c>
      <c r="B58" t="s">
        <v>935</v>
      </c>
      <c r="C58" t="s">
        <v>936</v>
      </c>
      <c r="D58" s="50">
        <f>_xlfn.IFNA(IF(-VLOOKUP(B58,'System TB'!$A:$C,3,FALSE)&gt;0,-VLOOKUP(B58,'System TB'!$A:$C,3,FALSE),0),0)</f>
        <v>17530382.280000001</v>
      </c>
      <c r="E58" s="52"/>
      <c r="G58" s="51">
        <f>D58</f>
        <v>17530382.280000001</v>
      </c>
      <c r="O58" s="50">
        <f t="shared" si="5"/>
        <v>17530382.280000001</v>
      </c>
      <c r="P58" s="51">
        <f t="shared" si="6"/>
        <v>0</v>
      </c>
      <c r="Q58" s="50"/>
    </row>
    <row r="59" spans="1:17" x14ac:dyDescent="0.3">
      <c r="A59" t="s">
        <v>356</v>
      </c>
      <c r="B59" t="s">
        <v>937</v>
      </c>
      <c r="C59" t="s">
        <v>938</v>
      </c>
      <c r="D59" s="50">
        <f>_xlfn.IFNA(IF(-VLOOKUP(B59,'System TB'!$A:$C,3,FALSE)&gt;0,-VLOOKUP(B59,'System TB'!$A:$C,3,FALSE),0),0)</f>
        <v>0</v>
      </c>
      <c r="E59" s="52"/>
      <c r="G59" s="51">
        <f>D59</f>
        <v>0</v>
      </c>
      <c r="O59" s="50">
        <f t="shared" si="5"/>
        <v>0</v>
      </c>
      <c r="P59" s="51">
        <f t="shared" si="6"/>
        <v>0</v>
      </c>
      <c r="Q59" s="50"/>
    </row>
    <row r="60" spans="1:17" x14ac:dyDescent="0.3">
      <c r="A60" t="s">
        <v>356</v>
      </c>
      <c r="B60" t="s">
        <v>738</v>
      </c>
      <c r="C60" t="s">
        <v>739</v>
      </c>
      <c r="D60" s="50">
        <f>_xlfn.IFNA(IF(-VLOOKUP(B60,'System TB'!$A:$C,3,FALSE)&gt;0,-VLOOKUP(B60,'System TB'!$A:$C,3,FALSE),0),0)</f>
        <v>0</v>
      </c>
      <c r="E60" s="52"/>
      <c r="F60" s="51"/>
      <c r="G60" s="51"/>
      <c r="H60" s="51">
        <f>D60</f>
        <v>0</v>
      </c>
      <c r="O60" s="50">
        <f t="shared" si="5"/>
        <v>0</v>
      </c>
      <c r="P60" s="51">
        <f t="shared" si="6"/>
        <v>0</v>
      </c>
      <c r="Q60" s="50"/>
    </row>
    <row r="61" spans="1:17" x14ac:dyDescent="0.3">
      <c r="A61" t="s">
        <v>242</v>
      </c>
      <c r="B61" t="s">
        <v>939</v>
      </c>
      <c r="C61" t="s">
        <v>940</v>
      </c>
      <c r="D61" s="50">
        <f>_xlfn.IFNA(IF(-VLOOKUP(B61,'System TB'!$A:$C,3,FALSE)&gt;0,-VLOOKUP(B61,'System TB'!$A:$C,3,FALSE),0),0)</f>
        <v>0</v>
      </c>
      <c r="E61" s="52"/>
      <c r="G61" s="51">
        <f t="shared" ref="G61:G67" si="8">D61</f>
        <v>0</v>
      </c>
      <c r="O61" s="50">
        <f t="shared" si="5"/>
        <v>0</v>
      </c>
      <c r="P61" s="51">
        <f t="shared" si="6"/>
        <v>0</v>
      </c>
    </row>
    <row r="62" spans="1:17" x14ac:dyDescent="0.3">
      <c r="A62" t="s">
        <v>356</v>
      </c>
      <c r="B62" t="s">
        <v>941</v>
      </c>
      <c r="C62" t="s">
        <v>942</v>
      </c>
      <c r="D62" s="50">
        <f>_xlfn.IFNA(IF(-VLOOKUP(B62,'System TB'!$A:$C,3,FALSE)&gt;0,-VLOOKUP(B62,'System TB'!$A:$C,3,FALSE),0),0)</f>
        <v>7213425.0499999998</v>
      </c>
      <c r="E62" s="52"/>
      <c r="G62" s="51">
        <f t="shared" si="8"/>
        <v>7213425.0499999998</v>
      </c>
      <c r="O62" s="50">
        <f t="shared" si="5"/>
        <v>7213425.0499999998</v>
      </c>
      <c r="P62" s="51">
        <f t="shared" si="6"/>
        <v>0</v>
      </c>
    </row>
    <row r="63" spans="1:17" x14ac:dyDescent="0.3">
      <c r="A63" t="s">
        <v>356</v>
      </c>
      <c r="B63" t="s">
        <v>706</v>
      </c>
      <c r="C63" t="s">
        <v>707</v>
      </c>
      <c r="D63" s="50">
        <f>_xlfn.IFNA(IF(-VLOOKUP(B63,'System TB'!$A:$C,3,FALSE)&gt;0,-VLOOKUP(B63,'System TB'!$A:$C,3,FALSE),0),0)</f>
        <v>45401561.640000001</v>
      </c>
      <c r="E63" s="52"/>
      <c r="G63" s="51">
        <f t="shared" si="8"/>
        <v>45401561.640000001</v>
      </c>
      <c r="O63" s="50">
        <f t="shared" si="5"/>
        <v>45401561.640000001</v>
      </c>
      <c r="P63" s="51">
        <f t="shared" si="6"/>
        <v>0</v>
      </c>
      <c r="Q63" s="50"/>
    </row>
    <row r="64" spans="1:17" x14ac:dyDescent="0.3">
      <c r="A64" t="s">
        <v>356</v>
      </c>
      <c r="B64" t="s">
        <v>943</v>
      </c>
      <c r="C64" t="s">
        <v>944</v>
      </c>
      <c r="D64" s="50">
        <f>_xlfn.IFNA(IF(-VLOOKUP(B64,'System TB'!$A:$C,3,FALSE)&gt;0,-VLOOKUP(B64,'System TB'!$A:$C,3,FALSE),0),0)</f>
        <v>64523537.560000002</v>
      </c>
      <c r="E64" s="52"/>
      <c r="G64" s="51">
        <f t="shared" si="8"/>
        <v>64523537.560000002</v>
      </c>
      <c r="O64" s="50">
        <f t="shared" si="5"/>
        <v>64523537.560000002</v>
      </c>
      <c r="P64" s="51">
        <f t="shared" si="6"/>
        <v>0</v>
      </c>
      <c r="Q64" s="50"/>
    </row>
    <row r="65" spans="1:17" x14ac:dyDescent="0.3">
      <c r="A65" t="s">
        <v>356</v>
      </c>
      <c r="B65" t="s">
        <v>945</v>
      </c>
      <c r="C65" t="s">
        <v>946</v>
      </c>
      <c r="D65" s="50">
        <f>_xlfn.IFNA(IF(-VLOOKUP(B65,'System TB'!$A:$C,3,FALSE)&gt;0,-VLOOKUP(B65,'System TB'!$A:$C,3,FALSE),0),0)</f>
        <v>0.69</v>
      </c>
      <c r="E65" s="52"/>
      <c r="G65" s="51">
        <f t="shared" si="8"/>
        <v>0.69</v>
      </c>
      <c r="O65" s="50">
        <f t="shared" si="5"/>
        <v>0.69</v>
      </c>
      <c r="P65" s="51">
        <f t="shared" si="6"/>
        <v>0</v>
      </c>
      <c r="Q65" s="50"/>
    </row>
    <row r="66" spans="1:17" x14ac:dyDescent="0.3">
      <c r="A66" t="s">
        <v>356</v>
      </c>
      <c r="B66" t="s">
        <v>947</v>
      </c>
      <c r="C66" t="s">
        <v>948</v>
      </c>
      <c r="D66" s="50">
        <f>_xlfn.IFNA(IF(-VLOOKUP(B66,'System TB'!$A:$C,3,FALSE)&gt;0,-VLOOKUP(B66,'System TB'!$A:$C,3,FALSE),0),0)</f>
        <v>426717.91</v>
      </c>
      <c r="E66" s="52"/>
      <c r="G66" s="51">
        <f t="shared" si="8"/>
        <v>426717.91</v>
      </c>
      <c r="O66" s="50">
        <f t="shared" ref="O66:O97" si="9">SUM(F66:N66)</f>
        <v>426717.91</v>
      </c>
      <c r="P66" s="51">
        <f t="shared" ref="P66:P97" si="10">O66-D66</f>
        <v>0</v>
      </c>
      <c r="Q66" s="50"/>
    </row>
    <row r="67" spans="1:17" x14ac:dyDescent="0.3">
      <c r="A67" t="s">
        <v>242</v>
      </c>
      <c r="B67" t="s">
        <v>949</v>
      </c>
      <c r="C67" t="s">
        <v>950</v>
      </c>
      <c r="D67" s="50">
        <f>_xlfn.IFNA(IF(-VLOOKUP(B67,'System TB'!$A:$C,3,FALSE)&gt;0,-VLOOKUP(B67,'System TB'!$A:$C,3,FALSE),0),0)</f>
        <v>0</v>
      </c>
      <c r="E67" s="52"/>
      <c r="G67" s="51">
        <f t="shared" si="8"/>
        <v>0</v>
      </c>
      <c r="O67" s="50">
        <f t="shared" si="9"/>
        <v>0</v>
      </c>
      <c r="P67" s="51">
        <f t="shared" si="10"/>
        <v>0</v>
      </c>
    </row>
    <row r="68" spans="1:17" x14ac:dyDescent="0.3">
      <c r="A68" t="s">
        <v>356</v>
      </c>
      <c r="B68" t="s">
        <v>951</v>
      </c>
      <c r="C68" t="s">
        <v>952</v>
      </c>
      <c r="D68" s="50">
        <f>_xlfn.IFNA(IF(-VLOOKUP(B68,'System TB'!$A:$C,3,FALSE)&gt;0,-VLOOKUP(B68,'System TB'!$A:$C,3,FALSE),0),0)</f>
        <v>10893160.529999999</v>
      </c>
      <c r="E68" s="52"/>
      <c r="G68" s="51"/>
      <c r="H68" s="51"/>
      <c r="K68" s="51">
        <f>D68</f>
        <v>10893160.529999999</v>
      </c>
      <c r="O68" s="50">
        <f t="shared" si="9"/>
        <v>10893160.529999999</v>
      </c>
      <c r="P68" s="51">
        <f t="shared" si="10"/>
        <v>0</v>
      </c>
      <c r="Q68" s="50"/>
    </row>
    <row r="69" spans="1:17" x14ac:dyDescent="0.3">
      <c r="A69" t="s">
        <v>356</v>
      </c>
      <c r="B69" t="s">
        <v>953</v>
      </c>
      <c r="C69" t="s">
        <v>954</v>
      </c>
      <c r="D69" s="50">
        <f>_xlfn.IFNA(IF(-VLOOKUP(B69,'System TB'!$A:$C,3,FALSE)&gt;0,-VLOOKUP(B69,'System TB'!$A:$C,3,FALSE),0),0)</f>
        <v>440336.56</v>
      </c>
      <c r="E69" s="52"/>
      <c r="G69" s="51"/>
      <c r="K69" s="51">
        <f>D69</f>
        <v>440336.56</v>
      </c>
      <c r="O69" s="50">
        <f t="shared" si="9"/>
        <v>440336.56</v>
      </c>
      <c r="P69" s="51">
        <f t="shared" si="10"/>
        <v>0</v>
      </c>
      <c r="Q69" s="50"/>
    </row>
    <row r="70" spans="1:17" x14ac:dyDescent="0.3">
      <c r="A70" t="s">
        <v>356</v>
      </c>
      <c r="B70" t="s">
        <v>955</v>
      </c>
      <c r="C70" t="s">
        <v>956</v>
      </c>
      <c r="D70" s="50">
        <f>_xlfn.IFNA(IF(-VLOOKUP(B70,'System TB'!$A:$C,3,FALSE)&gt;0,-VLOOKUP(B70,'System TB'!$A:$C,3,FALSE),0),0)</f>
        <v>8295157.6200000001</v>
      </c>
      <c r="E70" s="52"/>
      <c r="G70" s="51"/>
      <c r="H70" s="51"/>
      <c r="K70" s="51">
        <f>D70</f>
        <v>8295157.6200000001</v>
      </c>
      <c r="O70" s="50">
        <f t="shared" si="9"/>
        <v>8295157.6200000001</v>
      </c>
      <c r="P70" s="51">
        <f t="shared" si="10"/>
        <v>0</v>
      </c>
      <c r="Q70" s="50"/>
    </row>
    <row r="71" spans="1:17" x14ac:dyDescent="0.3">
      <c r="A71" t="s">
        <v>356</v>
      </c>
      <c r="B71" t="s">
        <v>957</v>
      </c>
      <c r="C71" t="s">
        <v>958</v>
      </c>
      <c r="D71" s="50">
        <f>_xlfn.IFNA(IF(-VLOOKUP(B71,'System TB'!$A:$C,3,FALSE)&gt;0,-VLOOKUP(B71,'System TB'!$A:$C,3,FALSE),0),0)</f>
        <v>5125799.0999999996</v>
      </c>
      <c r="E71" s="52"/>
      <c r="G71" s="51">
        <f>D71</f>
        <v>5125799.0999999996</v>
      </c>
      <c r="O71" s="50">
        <f t="shared" si="9"/>
        <v>5125799.0999999996</v>
      </c>
      <c r="P71" s="51">
        <f t="shared" si="10"/>
        <v>0</v>
      </c>
      <c r="Q71" s="50"/>
    </row>
    <row r="72" spans="1:17" x14ac:dyDescent="0.3">
      <c r="A72" t="s">
        <v>242</v>
      </c>
      <c r="B72" t="s">
        <v>959</v>
      </c>
      <c r="C72" t="s">
        <v>960</v>
      </c>
      <c r="D72" s="50">
        <f>_xlfn.IFNA(IF(-VLOOKUP(B72,'System TB'!$A:$C,3,FALSE)&gt;0,-VLOOKUP(B72,'System TB'!$A:$C,3,FALSE),0),0)</f>
        <v>0</v>
      </c>
      <c r="E72" s="52"/>
      <c r="G72" s="51">
        <f>D72</f>
        <v>0</v>
      </c>
      <c r="O72" s="50">
        <f t="shared" si="9"/>
        <v>0</v>
      </c>
      <c r="P72" s="51">
        <f t="shared" si="10"/>
        <v>0</v>
      </c>
    </row>
    <row r="73" spans="1:17" x14ac:dyDescent="0.3">
      <c r="A73" t="s">
        <v>356</v>
      </c>
      <c r="B73" t="s">
        <v>961</v>
      </c>
      <c r="C73" t="s">
        <v>962</v>
      </c>
      <c r="D73" s="50">
        <f>_xlfn.IFNA(IF(-VLOOKUP(B73,'System TB'!$A:$C,3,FALSE)&gt;0,-VLOOKUP(B73,'System TB'!$A:$C,3,FALSE),0),0)</f>
        <v>424368.64000000001</v>
      </c>
      <c r="E73" s="52"/>
      <c r="G73" s="51"/>
      <c r="H73" s="51"/>
      <c r="K73" s="51">
        <f>D73</f>
        <v>424368.64000000001</v>
      </c>
      <c r="O73" s="50">
        <f t="shared" si="9"/>
        <v>424368.64000000001</v>
      </c>
      <c r="P73" s="51">
        <f t="shared" si="10"/>
        <v>0</v>
      </c>
      <c r="Q73" s="50"/>
    </row>
    <row r="74" spans="1:17" x14ac:dyDescent="0.3">
      <c r="A74" t="s">
        <v>242</v>
      </c>
      <c r="B74" t="s">
        <v>963</v>
      </c>
      <c r="C74" t="s">
        <v>964</v>
      </c>
      <c r="D74" s="50">
        <f>_xlfn.IFNA(IF(-VLOOKUP(B74,'System TB'!$A:$C,3,FALSE)&gt;0,-VLOOKUP(B74,'System TB'!$A:$C,3,FALSE),0),0)</f>
        <v>0</v>
      </c>
      <c r="E74" s="52"/>
      <c r="G74" s="51">
        <f>D74</f>
        <v>0</v>
      </c>
      <c r="O74" s="50">
        <f t="shared" si="9"/>
        <v>0</v>
      </c>
      <c r="P74" s="51">
        <f t="shared" si="10"/>
        <v>0</v>
      </c>
    </row>
    <row r="75" spans="1:17" x14ac:dyDescent="0.3">
      <c r="A75" t="s">
        <v>356</v>
      </c>
      <c r="B75" t="s">
        <v>965</v>
      </c>
      <c r="C75" t="s">
        <v>966</v>
      </c>
      <c r="D75" s="50">
        <f>_xlfn.IFNA(IF(-VLOOKUP(B75,'System TB'!$A:$C,3,FALSE)&gt;0,-VLOOKUP(B75,'System TB'!$A:$C,3,FALSE),0),0)</f>
        <v>130047</v>
      </c>
      <c r="E75" s="52"/>
      <c r="G75" s="51">
        <f>D75</f>
        <v>130047</v>
      </c>
      <c r="O75" s="50">
        <f t="shared" si="9"/>
        <v>130047</v>
      </c>
      <c r="P75" s="51">
        <f t="shared" si="10"/>
        <v>0</v>
      </c>
      <c r="Q75" s="50"/>
    </row>
    <row r="76" spans="1:17" x14ac:dyDescent="0.3">
      <c r="A76" t="s">
        <v>356</v>
      </c>
      <c r="B76" t="s">
        <v>967</v>
      </c>
      <c r="C76" t="s">
        <v>968</v>
      </c>
      <c r="D76" s="50">
        <f>_xlfn.IFNA(IF(-VLOOKUP(B76,'System TB'!$A:$C,3,FALSE)&gt;0,-VLOOKUP(B76,'System TB'!$A:$C,3,FALSE),0),0)</f>
        <v>11002.57</v>
      </c>
      <c r="E76" s="52"/>
      <c r="G76" s="51"/>
      <c r="H76" s="51"/>
      <c r="K76" s="51">
        <f>D76</f>
        <v>11002.57</v>
      </c>
      <c r="O76" s="50">
        <f t="shared" si="9"/>
        <v>11002.57</v>
      </c>
      <c r="P76" s="51">
        <f t="shared" si="10"/>
        <v>0</v>
      </c>
      <c r="Q76" s="50"/>
    </row>
    <row r="77" spans="1:17" x14ac:dyDescent="0.3">
      <c r="A77" t="s">
        <v>356</v>
      </c>
      <c r="B77" t="s">
        <v>969</v>
      </c>
      <c r="C77" t="s">
        <v>970</v>
      </c>
      <c r="D77" s="50">
        <f>_xlfn.IFNA(IF(-VLOOKUP(B77,'System TB'!$A:$C,3,FALSE)&gt;0,-VLOOKUP(B77,'System TB'!$A:$C,3,FALSE),0),0)</f>
        <v>693306.63</v>
      </c>
      <c r="E77" s="52"/>
      <c r="G77" s="51"/>
      <c r="H77" s="51"/>
      <c r="K77" s="51">
        <f>D77</f>
        <v>693306.63</v>
      </c>
      <c r="O77" s="50">
        <f t="shared" si="9"/>
        <v>693306.63</v>
      </c>
      <c r="P77" s="51">
        <f t="shared" si="10"/>
        <v>0</v>
      </c>
      <c r="Q77" s="50"/>
    </row>
    <row r="78" spans="1:17" x14ac:dyDescent="0.3">
      <c r="A78" t="s">
        <v>356</v>
      </c>
      <c r="B78" t="s">
        <v>971</v>
      </c>
      <c r="C78" t="s">
        <v>972</v>
      </c>
      <c r="D78" s="50">
        <f>_xlfn.IFNA(IF(-VLOOKUP(B78,'System TB'!$A:$C,3,FALSE)&gt;0,-VLOOKUP(B78,'System TB'!$A:$C,3,FALSE),0),0)</f>
        <v>1231529.18</v>
      </c>
      <c r="E78" s="52"/>
      <c r="G78" s="51"/>
      <c r="H78" s="51"/>
      <c r="K78" s="51">
        <f>D78</f>
        <v>1231529.18</v>
      </c>
      <c r="O78" s="50">
        <f t="shared" si="9"/>
        <v>1231529.18</v>
      </c>
      <c r="P78" s="51">
        <f t="shared" si="10"/>
        <v>0</v>
      </c>
      <c r="Q78" s="50"/>
    </row>
    <row r="79" spans="1:17" x14ac:dyDescent="0.3">
      <c r="A79" t="s">
        <v>356</v>
      </c>
      <c r="B79" t="s">
        <v>973</v>
      </c>
      <c r="C79" t="s">
        <v>974</v>
      </c>
      <c r="D79" s="50">
        <f>_xlfn.IFNA(IF(-VLOOKUP(B79,'System TB'!$A:$C,3,FALSE)&gt;0,-VLOOKUP(B79,'System TB'!$A:$C,3,FALSE),0),0)</f>
        <v>12064721.630000001</v>
      </c>
      <c r="E79" s="52"/>
      <c r="G79" s="51"/>
      <c r="H79" s="51"/>
      <c r="K79" s="51">
        <f>D79</f>
        <v>12064721.630000001</v>
      </c>
      <c r="O79" s="50">
        <f t="shared" si="9"/>
        <v>12064721.630000001</v>
      </c>
      <c r="P79" s="51">
        <f t="shared" si="10"/>
        <v>0</v>
      </c>
      <c r="Q79" s="50"/>
    </row>
    <row r="80" spans="1:17" x14ac:dyDescent="0.3">
      <c r="A80" t="s">
        <v>242</v>
      </c>
      <c r="B80" t="s">
        <v>975</v>
      </c>
      <c r="C80" t="s">
        <v>976</v>
      </c>
      <c r="D80" s="50">
        <f>_xlfn.IFNA(IF(-VLOOKUP(B80,'System TB'!$A:$C,3,FALSE)&gt;0,-VLOOKUP(B80,'System TB'!$A:$C,3,FALSE),0),0)</f>
        <v>0</v>
      </c>
      <c r="E80" s="52"/>
      <c r="G80" s="51">
        <f>D80</f>
        <v>0</v>
      </c>
      <c r="O80" s="50">
        <f t="shared" si="9"/>
        <v>0</v>
      </c>
      <c r="P80" s="51">
        <f t="shared" si="10"/>
        <v>0</v>
      </c>
    </row>
    <row r="81" spans="1:17" x14ac:dyDescent="0.3">
      <c r="A81" t="s">
        <v>242</v>
      </c>
      <c r="B81" t="s">
        <v>977</v>
      </c>
      <c r="C81" t="s">
        <v>978</v>
      </c>
      <c r="D81" s="50">
        <f>_xlfn.IFNA(IF(-VLOOKUP(B81,'System TB'!$A:$C,3,FALSE)&gt;0,-VLOOKUP(B81,'System TB'!$A:$C,3,FALSE),0),0)</f>
        <v>0</v>
      </c>
      <c r="E81" s="52"/>
      <c r="G81" s="51">
        <f>D81</f>
        <v>0</v>
      </c>
      <c r="O81" s="50">
        <f t="shared" si="9"/>
        <v>0</v>
      </c>
      <c r="P81" s="51">
        <f t="shared" si="10"/>
        <v>0</v>
      </c>
    </row>
    <row r="82" spans="1:17" x14ac:dyDescent="0.3">
      <c r="A82" t="s">
        <v>242</v>
      </c>
      <c r="B82" t="s">
        <v>979</v>
      </c>
      <c r="C82" t="s">
        <v>980</v>
      </c>
      <c r="D82" s="50">
        <f>_xlfn.IFNA(IF(-VLOOKUP(B82,'System TB'!$A:$C,3,FALSE)&gt;0,-VLOOKUP(B82,'System TB'!$A:$C,3,FALSE),0),0)</f>
        <v>0</v>
      </c>
      <c r="E82" s="52"/>
      <c r="G82" s="51">
        <f>D82</f>
        <v>0</v>
      </c>
      <c r="O82" s="50">
        <f t="shared" si="9"/>
        <v>0</v>
      </c>
      <c r="P82" s="51">
        <f t="shared" si="10"/>
        <v>0</v>
      </c>
    </row>
    <row r="83" spans="1:17" x14ac:dyDescent="0.3">
      <c r="A83" t="s">
        <v>242</v>
      </c>
      <c r="B83" t="s">
        <v>981</v>
      </c>
      <c r="C83" t="s">
        <v>982</v>
      </c>
      <c r="D83" s="50">
        <f>_xlfn.IFNA(IF(-VLOOKUP(B83,'System TB'!$A:$C,3,FALSE)&gt;0,-VLOOKUP(B83,'System TB'!$A:$C,3,FALSE),0),0)</f>
        <v>0</v>
      </c>
      <c r="E83" s="52"/>
      <c r="G83" s="51"/>
      <c r="H83" s="51"/>
      <c r="K83" s="51">
        <f>D83</f>
        <v>0</v>
      </c>
      <c r="O83" s="50">
        <f t="shared" si="9"/>
        <v>0</v>
      </c>
      <c r="P83" s="51">
        <f t="shared" si="10"/>
        <v>0</v>
      </c>
    </row>
    <row r="84" spans="1:17" x14ac:dyDescent="0.3">
      <c r="A84" t="s">
        <v>353</v>
      </c>
      <c r="B84" t="s">
        <v>708</v>
      </c>
      <c r="C84" t="s">
        <v>983</v>
      </c>
      <c r="D84" s="50">
        <f>_xlfn.IFNA(IF(-VLOOKUP(B84,'System TB'!$A:$C,3,FALSE)&gt;0,-VLOOKUP(B84,'System TB'!$A:$C,3,FALSE),0),0)</f>
        <v>0</v>
      </c>
      <c r="E84" s="52"/>
      <c r="G84" s="51">
        <f>D84</f>
        <v>0</v>
      </c>
      <c r="O84" s="50">
        <f t="shared" si="9"/>
        <v>0</v>
      </c>
      <c r="P84" s="51">
        <f t="shared" si="10"/>
        <v>0</v>
      </c>
    </row>
    <row r="85" spans="1:17" x14ac:dyDescent="0.3">
      <c r="A85" t="s">
        <v>242</v>
      </c>
      <c r="B85" t="s">
        <v>984</v>
      </c>
      <c r="C85" t="s">
        <v>985</v>
      </c>
      <c r="D85" s="50">
        <f>_xlfn.IFNA(IF(-VLOOKUP(B85,'System TB'!$A:$C,3,FALSE)&gt;0,-VLOOKUP(B85,'System TB'!$A:$C,3,FALSE),0),0)</f>
        <v>0</v>
      </c>
      <c r="E85" s="52"/>
      <c r="G85" s="51"/>
      <c r="H85" s="51"/>
      <c r="K85" s="51">
        <f>D85</f>
        <v>0</v>
      </c>
      <c r="O85" s="50">
        <f t="shared" si="9"/>
        <v>0</v>
      </c>
      <c r="P85" s="51">
        <f t="shared" si="10"/>
        <v>0</v>
      </c>
    </row>
    <row r="86" spans="1:17" x14ac:dyDescent="0.3">
      <c r="A86" t="s">
        <v>353</v>
      </c>
      <c r="B86" t="s">
        <v>986</v>
      </c>
      <c r="C86" t="s">
        <v>987</v>
      </c>
      <c r="D86" s="50">
        <f>_xlfn.IFNA(IF(-VLOOKUP(B86,'System TB'!$A:$C,3,FALSE)&gt;0,-VLOOKUP(B86,'System TB'!$A:$C,3,FALSE),0),0)</f>
        <v>1.28</v>
      </c>
      <c r="E86" s="52"/>
      <c r="G86" s="51">
        <f t="shared" ref="G86:G101" si="11">D86</f>
        <v>1.28</v>
      </c>
      <c r="O86" s="50">
        <f t="shared" si="9"/>
        <v>1.28</v>
      </c>
      <c r="P86" s="51">
        <f t="shared" si="10"/>
        <v>0</v>
      </c>
    </row>
    <row r="87" spans="1:17" x14ac:dyDescent="0.3">
      <c r="A87" t="s">
        <v>242</v>
      </c>
      <c r="B87" t="s">
        <v>988</v>
      </c>
      <c r="C87" t="s">
        <v>989</v>
      </c>
      <c r="D87" s="50">
        <f>_xlfn.IFNA(IF(-VLOOKUP(B87,'System TB'!$A:$C,3,FALSE)&gt;0,-VLOOKUP(B87,'System TB'!$A:$C,3,FALSE),0),0)</f>
        <v>0</v>
      </c>
      <c r="E87" s="52"/>
      <c r="G87" s="51">
        <f t="shared" si="11"/>
        <v>0</v>
      </c>
      <c r="O87" s="50">
        <f t="shared" si="9"/>
        <v>0</v>
      </c>
      <c r="P87" s="51">
        <f t="shared" si="10"/>
        <v>0</v>
      </c>
    </row>
    <row r="88" spans="1:17" x14ac:dyDescent="0.3">
      <c r="A88" t="s">
        <v>242</v>
      </c>
      <c r="B88" t="s">
        <v>990</v>
      </c>
      <c r="C88" t="s">
        <v>991</v>
      </c>
      <c r="D88" s="50">
        <f>_xlfn.IFNA(IF(-VLOOKUP(B88,'System TB'!$A:$C,3,FALSE)&gt;0,-VLOOKUP(B88,'System TB'!$A:$C,3,FALSE),0),0)</f>
        <v>0</v>
      </c>
      <c r="E88" s="52"/>
      <c r="G88" s="51">
        <f t="shared" si="11"/>
        <v>0</v>
      </c>
      <c r="O88" s="50">
        <f t="shared" si="9"/>
        <v>0</v>
      </c>
      <c r="P88" s="51">
        <f t="shared" si="10"/>
        <v>0</v>
      </c>
    </row>
    <row r="89" spans="1:17" x14ac:dyDescent="0.3">
      <c r="A89" t="s">
        <v>341</v>
      </c>
      <c r="B89" t="s">
        <v>992</v>
      </c>
      <c r="C89" t="s">
        <v>993</v>
      </c>
      <c r="D89" s="50">
        <f>_xlfn.IFNA(IF(-VLOOKUP(B89,'System TB'!$A:$C,3,FALSE)&gt;0,-VLOOKUP(B89,'System TB'!$A:$C,3,FALSE),0),0)</f>
        <v>208065784.72999999</v>
      </c>
      <c r="E89" s="52"/>
      <c r="G89" s="51">
        <f t="shared" si="11"/>
        <v>208065784.72999999</v>
      </c>
      <c r="O89" s="50">
        <f t="shared" si="9"/>
        <v>208065784.72999999</v>
      </c>
      <c r="P89" s="51">
        <f t="shared" si="10"/>
        <v>0</v>
      </c>
    </row>
    <row r="90" spans="1:17" x14ac:dyDescent="0.3">
      <c r="A90" t="s">
        <v>242</v>
      </c>
      <c r="B90" t="s">
        <v>994</v>
      </c>
      <c r="C90" t="s">
        <v>995</v>
      </c>
      <c r="D90" s="50">
        <f>_xlfn.IFNA(IF(-VLOOKUP(B90,'System TB'!$A:$C,3,FALSE)&gt;0,-VLOOKUP(B90,'System TB'!$A:$C,3,FALSE),0),0)</f>
        <v>0</v>
      </c>
      <c r="E90" s="52"/>
      <c r="G90" s="51">
        <f t="shared" si="11"/>
        <v>0</v>
      </c>
      <c r="O90" s="50">
        <f t="shared" si="9"/>
        <v>0</v>
      </c>
      <c r="P90" s="51">
        <f t="shared" si="10"/>
        <v>0</v>
      </c>
    </row>
    <row r="91" spans="1:17" x14ac:dyDescent="0.3">
      <c r="A91" t="s">
        <v>356</v>
      </c>
      <c r="B91" t="s">
        <v>996</v>
      </c>
      <c r="C91" t="s">
        <v>997</v>
      </c>
      <c r="D91" s="50">
        <f>_xlfn.IFNA(IF(-VLOOKUP(B91,'System TB'!$A:$C,3,FALSE)&gt;0,-VLOOKUP(B91,'System TB'!$A:$C,3,FALSE),0),0)</f>
        <v>3900553.42</v>
      </c>
      <c r="E91" s="52"/>
      <c r="G91" s="51">
        <f t="shared" si="11"/>
        <v>3900553.42</v>
      </c>
      <c r="O91" s="50">
        <f t="shared" si="9"/>
        <v>3900553.42</v>
      </c>
      <c r="P91" s="51">
        <f t="shared" si="10"/>
        <v>0</v>
      </c>
      <c r="Q91" s="50"/>
    </row>
    <row r="92" spans="1:17" x14ac:dyDescent="0.3">
      <c r="A92" t="s">
        <v>356</v>
      </c>
      <c r="B92" t="s">
        <v>998</v>
      </c>
      <c r="C92" t="s">
        <v>999</v>
      </c>
      <c r="D92" s="50">
        <f>_xlfn.IFNA(IF(-VLOOKUP(B92,'System TB'!$A:$C,3,FALSE)&gt;0,-VLOOKUP(B92,'System TB'!$A:$C,3,FALSE),0),0)</f>
        <v>12879.59</v>
      </c>
      <c r="E92" s="52"/>
      <c r="G92" s="51">
        <f t="shared" si="11"/>
        <v>12879.59</v>
      </c>
      <c r="O92" s="50">
        <f t="shared" si="9"/>
        <v>12879.59</v>
      </c>
      <c r="P92" s="51">
        <f t="shared" si="10"/>
        <v>0</v>
      </c>
      <c r="Q92" s="50"/>
    </row>
    <row r="93" spans="1:17" x14ac:dyDescent="0.3">
      <c r="A93" t="s">
        <v>356</v>
      </c>
      <c r="B93" t="s">
        <v>1000</v>
      </c>
      <c r="C93" t="s">
        <v>1001</v>
      </c>
      <c r="D93" s="50">
        <f>_xlfn.IFNA(IF(-VLOOKUP(B93,'System TB'!$A:$C,3,FALSE)&gt;0,-VLOOKUP(B93,'System TB'!$A:$C,3,FALSE),0),0)</f>
        <v>96388.55</v>
      </c>
      <c r="E93" s="52"/>
      <c r="G93" s="51">
        <f t="shared" si="11"/>
        <v>96388.55</v>
      </c>
      <c r="O93" s="50">
        <f t="shared" si="9"/>
        <v>96388.55</v>
      </c>
      <c r="P93" s="51">
        <f t="shared" si="10"/>
        <v>0</v>
      </c>
      <c r="Q93" s="50"/>
    </row>
    <row r="94" spans="1:17" x14ac:dyDescent="0.3">
      <c r="A94" t="s">
        <v>242</v>
      </c>
      <c r="B94" t="s">
        <v>1002</v>
      </c>
      <c r="C94" t="s">
        <v>1003</v>
      </c>
      <c r="D94" s="50">
        <f>_xlfn.IFNA(IF(-VLOOKUP(B94,'System TB'!$A:$C,3,FALSE)&gt;0,-VLOOKUP(B94,'System TB'!$A:$C,3,FALSE),0),0)</f>
        <v>0</v>
      </c>
      <c r="E94" s="52"/>
      <c r="G94" s="51">
        <f t="shared" si="11"/>
        <v>0</v>
      </c>
      <c r="O94" s="50">
        <f t="shared" si="9"/>
        <v>0</v>
      </c>
      <c r="P94" s="51">
        <f t="shared" si="10"/>
        <v>0</v>
      </c>
    </row>
    <row r="95" spans="1:17" x14ac:dyDescent="0.3">
      <c r="A95" t="s">
        <v>242</v>
      </c>
      <c r="B95" t="s">
        <v>1004</v>
      </c>
      <c r="C95" t="s">
        <v>1005</v>
      </c>
      <c r="D95" s="50">
        <f>_xlfn.IFNA(IF(-VLOOKUP(B95,'System TB'!$A:$C,3,FALSE)&gt;0,-VLOOKUP(B95,'System TB'!$A:$C,3,FALSE),0),0)</f>
        <v>0</v>
      </c>
      <c r="E95" s="52"/>
      <c r="G95" s="51">
        <f t="shared" si="11"/>
        <v>0</v>
      </c>
      <c r="O95" s="50">
        <f t="shared" si="9"/>
        <v>0</v>
      </c>
      <c r="P95" s="51">
        <f t="shared" si="10"/>
        <v>0</v>
      </c>
    </row>
    <row r="96" spans="1:17" x14ac:dyDescent="0.3">
      <c r="A96" t="s">
        <v>242</v>
      </c>
      <c r="B96" t="s">
        <v>1006</v>
      </c>
      <c r="C96" t="s">
        <v>1007</v>
      </c>
      <c r="D96" s="50">
        <f>_xlfn.IFNA(IF(-VLOOKUP(B96,'System TB'!$A:$C,3,FALSE)&gt;0,-VLOOKUP(B96,'System TB'!$A:$C,3,FALSE),0),0)</f>
        <v>0</v>
      </c>
      <c r="E96" s="52"/>
      <c r="G96" s="51">
        <f t="shared" si="11"/>
        <v>0</v>
      </c>
      <c r="O96" s="50">
        <f t="shared" si="9"/>
        <v>0</v>
      </c>
      <c r="P96" s="51">
        <f t="shared" si="10"/>
        <v>0</v>
      </c>
    </row>
    <row r="97" spans="1:17" x14ac:dyDescent="0.3">
      <c r="A97" t="s">
        <v>242</v>
      </c>
      <c r="B97" t="s">
        <v>1008</v>
      </c>
      <c r="C97" t="s">
        <v>1009</v>
      </c>
      <c r="D97" s="50">
        <f>_xlfn.IFNA(IF(-VLOOKUP(B97,'System TB'!$A:$C,3,FALSE)&gt;0,-VLOOKUP(B97,'System TB'!$A:$C,3,FALSE),0),0)</f>
        <v>0</v>
      </c>
      <c r="E97" s="52"/>
      <c r="G97" s="51">
        <f t="shared" si="11"/>
        <v>0</v>
      </c>
      <c r="O97" s="50">
        <f t="shared" si="9"/>
        <v>0</v>
      </c>
      <c r="P97" s="51">
        <f t="shared" si="10"/>
        <v>0</v>
      </c>
    </row>
    <row r="98" spans="1:17" x14ac:dyDescent="0.3">
      <c r="A98" t="s">
        <v>356</v>
      </c>
      <c r="B98" t="s">
        <v>1010</v>
      </c>
      <c r="C98" t="s">
        <v>1011</v>
      </c>
      <c r="D98" s="50">
        <f>_xlfn.IFNA(IF(-VLOOKUP(B98,'System TB'!$A:$C,3,FALSE)&gt;0,-VLOOKUP(B98,'System TB'!$A:$C,3,FALSE),0),0)</f>
        <v>13601412.41</v>
      </c>
      <c r="E98" s="52"/>
      <c r="G98" s="51">
        <f t="shared" si="11"/>
        <v>13601412.41</v>
      </c>
      <c r="O98" s="50">
        <f t="shared" ref="O98:O129" si="12">SUM(F98:N98)</f>
        <v>13601412.41</v>
      </c>
      <c r="P98" s="51">
        <f t="shared" ref="P98:P129" si="13">O98-D98</f>
        <v>0</v>
      </c>
      <c r="Q98" s="50"/>
    </row>
    <row r="99" spans="1:17" x14ac:dyDescent="0.3">
      <c r="A99" t="s">
        <v>356</v>
      </c>
      <c r="B99" t="s">
        <v>1012</v>
      </c>
      <c r="C99" t="s">
        <v>1013</v>
      </c>
      <c r="D99" s="50">
        <f>_xlfn.IFNA(IF(-VLOOKUP(B99,'System TB'!$A:$C,3,FALSE)&gt;0,-VLOOKUP(B99,'System TB'!$A:$C,3,FALSE),0),0)</f>
        <v>9175198.4499999993</v>
      </c>
      <c r="E99" s="52"/>
      <c r="G99" s="51">
        <f t="shared" si="11"/>
        <v>9175198.4499999993</v>
      </c>
      <c r="O99" s="50">
        <f t="shared" si="12"/>
        <v>9175198.4499999993</v>
      </c>
      <c r="P99" s="51">
        <f t="shared" si="13"/>
        <v>0</v>
      </c>
      <c r="Q99" s="50"/>
    </row>
    <row r="100" spans="1:17" x14ac:dyDescent="0.3">
      <c r="A100" t="s">
        <v>356</v>
      </c>
      <c r="B100" t="s">
        <v>1014</v>
      </c>
      <c r="C100" t="s">
        <v>1015</v>
      </c>
      <c r="D100" s="50">
        <f>_xlfn.IFNA(IF(-VLOOKUP(B100,'System TB'!$A:$C,3,FALSE)&gt;0,-VLOOKUP(B100,'System TB'!$A:$C,3,FALSE),0),0)</f>
        <v>2212430.38</v>
      </c>
      <c r="E100" s="52"/>
      <c r="G100" s="51">
        <f t="shared" si="11"/>
        <v>2212430.38</v>
      </c>
      <c r="O100" s="50">
        <f t="shared" si="12"/>
        <v>2212430.38</v>
      </c>
      <c r="P100" s="51">
        <f t="shared" si="13"/>
        <v>0</v>
      </c>
      <c r="Q100" s="50"/>
    </row>
    <row r="101" spans="1:17" x14ac:dyDescent="0.3">
      <c r="A101" t="s">
        <v>356</v>
      </c>
      <c r="B101" t="s">
        <v>1016</v>
      </c>
      <c r="C101" t="s">
        <v>1017</v>
      </c>
      <c r="D101" s="50">
        <f>_xlfn.IFNA(IF(-VLOOKUP(B101,'System TB'!$A:$C,3,FALSE)&gt;0,-VLOOKUP(B101,'System TB'!$A:$C,3,FALSE),0),0)</f>
        <v>7199655.6100000003</v>
      </c>
      <c r="E101" s="52"/>
      <c r="G101" s="51">
        <f t="shared" si="11"/>
        <v>7199655.6100000003</v>
      </c>
      <c r="O101" s="50">
        <f t="shared" si="12"/>
        <v>7199655.6100000003</v>
      </c>
      <c r="P101" s="51">
        <f t="shared" si="13"/>
        <v>0</v>
      </c>
      <c r="Q101" s="50"/>
    </row>
    <row r="102" spans="1:17" x14ac:dyDescent="0.3">
      <c r="A102" t="s">
        <v>356</v>
      </c>
      <c r="B102" t="s">
        <v>1018</v>
      </c>
      <c r="C102" t="s">
        <v>1019</v>
      </c>
      <c r="D102" s="50">
        <f>_xlfn.IFNA(IF(-VLOOKUP(B102,'System TB'!$A:$C,3,FALSE)&gt;0,-VLOOKUP(B102,'System TB'!$A:$C,3,FALSE),0),0)</f>
        <v>2615840.77</v>
      </c>
      <c r="E102" s="52"/>
      <c r="G102" s="51"/>
      <c r="H102" s="51"/>
      <c r="K102" s="51">
        <f>D102</f>
        <v>2615840.77</v>
      </c>
      <c r="O102" s="50">
        <f t="shared" si="12"/>
        <v>2615840.77</v>
      </c>
      <c r="P102" s="51">
        <f t="shared" si="13"/>
        <v>0</v>
      </c>
      <c r="Q102" s="50"/>
    </row>
    <row r="103" spans="1:17" x14ac:dyDescent="0.3">
      <c r="A103" t="s">
        <v>356</v>
      </c>
      <c r="B103" t="s">
        <v>1020</v>
      </c>
      <c r="C103" t="s">
        <v>1021</v>
      </c>
      <c r="D103" s="50">
        <f>_xlfn.IFNA(IF(-VLOOKUP(B103,'System TB'!$A:$C,3,FALSE)&gt;0,-VLOOKUP(B103,'System TB'!$A:$C,3,FALSE),0),0)</f>
        <v>2682127.88</v>
      </c>
      <c r="E103" s="52"/>
      <c r="G103" s="51">
        <f>D103</f>
        <v>2682127.88</v>
      </c>
      <c r="O103" s="50">
        <f t="shared" si="12"/>
        <v>2682127.88</v>
      </c>
      <c r="P103" s="51">
        <f t="shared" si="13"/>
        <v>0</v>
      </c>
      <c r="Q103" s="50"/>
    </row>
    <row r="104" spans="1:17" x14ac:dyDescent="0.3">
      <c r="A104" t="s">
        <v>242</v>
      </c>
      <c r="B104" t="s">
        <v>1022</v>
      </c>
      <c r="C104" t="s">
        <v>1023</v>
      </c>
      <c r="D104" s="50">
        <f>_xlfn.IFNA(IF(-VLOOKUP(B104,'System TB'!$A:$C,3,FALSE)&gt;0,-VLOOKUP(B104,'System TB'!$A:$C,3,FALSE),0),0)</f>
        <v>0</v>
      </c>
      <c r="E104" s="52"/>
      <c r="G104" s="51">
        <f>D104</f>
        <v>0</v>
      </c>
      <c r="O104" s="50">
        <f t="shared" si="12"/>
        <v>0</v>
      </c>
      <c r="P104" s="51">
        <f t="shared" si="13"/>
        <v>0</v>
      </c>
    </row>
    <row r="105" spans="1:17" x14ac:dyDescent="0.3">
      <c r="A105" t="s">
        <v>242</v>
      </c>
      <c r="B105" t="s">
        <v>1024</v>
      </c>
      <c r="C105" t="s">
        <v>1025</v>
      </c>
      <c r="D105" s="50">
        <f>_xlfn.IFNA(IF(-VLOOKUP(B105,'System TB'!$A:$C,3,FALSE)&gt;0,-VLOOKUP(B105,'System TB'!$A:$C,3,FALSE),0),0)</f>
        <v>0</v>
      </c>
      <c r="E105" s="52"/>
      <c r="G105" s="51">
        <f>D105</f>
        <v>0</v>
      </c>
      <c r="O105" s="50">
        <f t="shared" si="12"/>
        <v>0</v>
      </c>
      <c r="P105" s="51">
        <f t="shared" si="13"/>
        <v>0</v>
      </c>
    </row>
    <row r="106" spans="1:17" x14ac:dyDescent="0.3">
      <c r="A106" t="s">
        <v>356</v>
      </c>
      <c r="B106" t="s">
        <v>1026</v>
      </c>
      <c r="C106" t="s">
        <v>1027</v>
      </c>
      <c r="D106" s="50">
        <f>_xlfn.IFNA(IF(-VLOOKUP(B106,'System TB'!$A:$C,3,FALSE)&gt;0,-VLOOKUP(B106,'System TB'!$A:$C,3,FALSE),0),0)</f>
        <v>16120</v>
      </c>
      <c r="E106" s="52"/>
      <c r="G106" s="51">
        <f>D106</f>
        <v>16120</v>
      </c>
      <c r="O106" s="50">
        <f t="shared" si="12"/>
        <v>16120</v>
      </c>
      <c r="P106" s="51">
        <f t="shared" si="13"/>
        <v>0</v>
      </c>
      <c r="Q106" s="50"/>
    </row>
    <row r="107" spans="1:17" x14ac:dyDescent="0.3">
      <c r="A107" t="s">
        <v>356</v>
      </c>
      <c r="B107" t="s">
        <v>1028</v>
      </c>
      <c r="C107" t="s">
        <v>1029</v>
      </c>
      <c r="D107" s="50">
        <f>_xlfn.IFNA(IF(-VLOOKUP(B107,'System TB'!$A:$C,3,FALSE)&gt;0,-VLOOKUP(B107,'System TB'!$A:$C,3,FALSE),0),0)</f>
        <v>7087909.04</v>
      </c>
      <c r="E107" s="52"/>
      <c r="G107" s="51">
        <f>D107</f>
        <v>7087909.04</v>
      </c>
      <c r="O107" s="50">
        <f t="shared" si="12"/>
        <v>7087909.04</v>
      </c>
      <c r="P107" s="51">
        <f t="shared" si="13"/>
        <v>0</v>
      </c>
      <c r="Q107" s="50"/>
    </row>
    <row r="108" spans="1:17" x14ac:dyDescent="0.3">
      <c r="A108" t="s">
        <v>356</v>
      </c>
      <c r="B108" t="s">
        <v>1030</v>
      </c>
      <c r="C108" t="s">
        <v>1031</v>
      </c>
      <c r="D108" s="50">
        <f>_xlfn.IFNA(IF(-VLOOKUP(B108,'System TB'!$A:$C,3,FALSE)&gt;0,-VLOOKUP(B108,'System TB'!$A:$C,3,FALSE),0),0)</f>
        <v>8675843.1099999994</v>
      </c>
      <c r="E108" s="52"/>
      <c r="G108" s="51"/>
      <c r="H108" s="51">
        <f>D108</f>
        <v>8675843.1099999994</v>
      </c>
      <c r="O108" s="50">
        <f t="shared" si="12"/>
        <v>8675843.1099999994</v>
      </c>
      <c r="P108" s="51">
        <f t="shared" si="13"/>
        <v>0</v>
      </c>
      <c r="Q108" s="50"/>
    </row>
    <row r="109" spans="1:17" x14ac:dyDescent="0.3">
      <c r="A109" t="s">
        <v>242</v>
      </c>
      <c r="B109" t="s">
        <v>712</v>
      </c>
      <c r="C109" t="s">
        <v>713</v>
      </c>
      <c r="D109" s="50">
        <f>_xlfn.IFNA(IF(-VLOOKUP(B109,'System TB'!$A:$C,3,FALSE)&gt;0,-VLOOKUP(B109,'System TB'!$A:$C,3,FALSE),0),0)</f>
        <v>0</v>
      </c>
      <c r="E109" s="52"/>
      <c r="G109" s="51">
        <f>D109</f>
        <v>0</v>
      </c>
      <c r="O109" s="50">
        <f t="shared" si="12"/>
        <v>0</v>
      </c>
      <c r="P109" s="51">
        <f t="shared" si="13"/>
        <v>0</v>
      </c>
    </row>
    <row r="110" spans="1:17" x14ac:dyDescent="0.3">
      <c r="A110" t="s">
        <v>242</v>
      </c>
      <c r="B110" t="s">
        <v>718</v>
      </c>
      <c r="C110" t="s">
        <v>719</v>
      </c>
      <c r="D110" s="50">
        <f>_xlfn.IFNA(IF(-VLOOKUP(B110,'System TB'!$A:$C,3,FALSE)&gt;0,-VLOOKUP(B110,'System TB'!$A:$C,3,FALSE),0),0)</f>
        <v>0</v>
      </c>
      <c r="E110" s="52"/>
      <c r="G110" s="51">
        <f>D110</f>
        <v>0</v>
      </c>
      <c r="O110" s="50">
        <f t="shared" si="12"/>
        <v>0</v>
      </c>
      <c r="P110" s="51">
        <f t="shared" si="13"/>
        <v>0</v>
      </c>
    </row>
    <row r="111" spans="1:17" x14ac:dyDescent="0.3">
      <c r="A111" t="s">
        <v>356</v>
      </c>
      <c r="B111" t="s">
        <v>1032</v>
      </c>
      <c r="C111" t="s">
        <v>1033</v>
      </c>
      <c r="D111" s="50">
        <f>_xlfn.IFNA(IF(-VLOOKUP(B111,'System TB'!$A:$C,3,FALSE)&gt;0,-VLOOKUP(B111,'System TB'!$A:$C,3,FALSE),0),0)</f>
        <v>554810.55000000005</v>
      </c>
      <c r="E111" s="52"/>
      <c r="G111" s="51"/>
      <c r="H111" s="51"/>
      <c r="K111" s="51">
        <f>D111</f>
        <v>554810.55000000005</v>
      </c>
      <c r="O111" s="50">
        <f t="shared" si="12"/>
        <v>554810.55000000005</v>
      </c>
      <c r="P111" s="51">
        <f t="shared" si="13"/>
        <v>0</v>
      </c>
      <c r="Q111" s="50"/>
    </row>
    <row r="112" spans="1:17" x14ac:dyDescent="0.3">
      <c r="A112" t="s">
        <v>356</v>
      </c>
      <c r="B112" t="s">
        <v>1034</v>
      </c>
      <c r="C112" t="s">
        <v>1035</v>
      </c>
      <c r="D112" s="50">
        <f>_xlfn.IFNA(IF(-VLOOKUP(B112,'System TB'!$A:$C,3,FALSE)&gt;0,-VLOOKUP(B112,'System TB'!$A:$C,3,FALSE),0),0)</f>
        <v>6040225.2400000002</v>
      </c>
      <c r="E112" s="52"/>
      <c r="G112" s="51">
        <f t="shared" ref="G112:G127" si="14">D112</f>
        <v>6040225.2400000002</v>
      </c>
      <c r="O112" s="50">
        <f t="shared" si="12"/>
        <v>6040225.2400000002</v>
      </c>
      <c r="P112" s="51">
        <f t="shared" si="13"/>
        <v>0</v>
      </c>
      <c r="Q112" s="50"/>
    </row>
    <row r="113" spans="1:17" x14ac:dyDescent="0.3">
      <c r="A113" t="s">
        <v>356</v>
      </c>
      <c r="B113" t="s">
        <v>716</v>
      </c>
      <c r="C113" t="s">
        <v>717</v>
      </c>
      <c r="D113" s="50">
        <f>_xlfn.IFNA(IF(-VLOOKUP(B113,'System TB'!$A:$C,3,FALSE)&gt;0,-VLOOKUP(B113,'System TB'!$A:$C,3,FALSE),0),0)</f>
        <v>1329761.8400000001</v>
      </c>
      <c r="E113" s="52"/>
      <c r="G113" s="51">
        <f t="shared" si="14"/>
        <v>1329761.8400000001</v>
      </c>
      <c r="O113" s="50">
        <f t="shared" si="12"/>
        <v>1329761.8400000001</v>
      </c>
      <c r="P113" s="51">
        <f t="shared" si="13"/>
        <v>0</v>
      </c>
      <c r="Q113" s="50"/>
    </row>
    <row r="114" spans="1:17" x14ac:dyDescent="0.3">
      <c r="A114" t="s">
        <v>356</v>
      </c>
      <c r="B114" t="s">
        <v>1036</v>
      </c>
      <c r="C114" t="s">
        <v>1037</v>
      </c>
      <c r="D114" s="50">
        <f>_xlfn.IFNA(IF(-VLOOKUP(B114,'System TB'!$A:$C,3,FALSE)&gt;0,-VLOOKUP(B114,'System TB'!$A:$C,3,FALSE),0),0)</f>
        <v>66667238.509999998</v>
      </c>
      <c r="E114" s="52"/>
      <c r="G114" s="51">
        <f t="shared" si="14"/>
        <v>66667238.509999998</v>
      </c>
      <c r="O114" s="50">
        <f t="shared" si="12"/>
        <v>66667238.509999998</v>
      </c>
      <c r="P114" s="51">
        <f t="shared" si="13"/>
        <v>0</v>
      </c>
      <c r="Q114" s="50"/>
    </row>
    <row r="115" spans="1:17" x14ac:dyDescent="0.3">
      <c r="A115" t="s">
        <v>353</v>
      </c>
      <c r="B115" t="s">
        <v>1038</v>
      </c>
      <c r="C115" t="s">
        <v>1039</v>
      </c>
      <c r="D115" s="50">
        <f>_xlfn.IFNA(IF(-VLOOKUP(B115,'System TB'!$A:$C,3,FALSE)&gt;0,-VLOOKUP(B115,'System TB'!$A:$C,3,FALSE),0),0)</f>
        <v>52835318.509999998</v>
      </c>
      <c r="E115" s="52"/>
      <c r="G115" s="51">
        <f t="shared" si="14"/>
        <v>52835318.509999998</v>
      </c>
      <c r="O115" s="50">
        <f t="shared" si="12"/>
        <v>52835318.509999998</v>
      </c>
      <c r="P115" s="51">
        <f t="shared" si="13"/>
        <v>0</v>
      </c>
    </row>
    <row r="116" spans="1:17" x14ac:dyDescent="0.3">
      <c r="A116" t="s">
        <v>353</v>
      </c>
      <c r="B116" t="s">
        <v>1040</v>
      </c>
      <c r="C116" t="s">
        <v>1041</v>
      </c>
      <c r="D116" s="50">
        <f>_xlfn.IFNA(IF(-VLOOKUP(B116,'System TB'!$A:$C,3,FALSE)&gt;0,-VLOOKUP(B116,'System TB'!$A:$C,3,FALSE),0),0)</f>
        <v>0</v>
      </c>
      <c r="E116" s="52"/>
      <c r="G116" s="51">
        <f t="shared" si="14"/>
        <v>0</v>
      </c>
      <c r="O116" s="50">
        <f t="shared" si="12"/>
        <v>0</v>
      </c>
      <c r="P116" s="51">
        <f t="shared" si="13"/>
        <v>0</v>
      </c>
    </row>
    <row r="117" spans="1:17" x14ac:dyDescent="0.3">
      <c r="A117" t="s">
        <v>353</v>
      </c>
      <c r="B117" t="s">
        <v>1042</v>
      </c>
      <c r="C117" t="s">
        <v>1043</v>
      </c>
      <c r="D117" s="50">
        <f>_xlfn.IFNA(IF(-VLOOKUP(B117,'System TB'!$A:$C,3,FALSE)&gt;0,-VLOOKUP(B117,'System TB'!$A:$C,3,FALSE),0),0)</f>
        <v>230256.05</v>
      </c>
      <c r="E117" s="52"/>
      <c r="G117" s="51">
        <f t="shared" si="14"/>
        <v>230256.05</v>
      </c>
      <c r="O117" s="50">
        <f t="shared" si="12"/>
        <v>230256.05</v>
      </c>
      <c r="P117" s="51">
        <f t="shared" si="13"/>
        <v>0</v>
      </c>
    </row>
    <row r="118" spans="1:17" x14ac:dyDescent="0.3">
      <c r="A118" t="s">
        <v>353</v>
      </c>
      <c r="B118" t="s">
        <v>726</v>
      </c>
      <c r="C118" t="s">
        <v>727</v>
      </c>
      <c r="D118" s="50">
        <f>_xlfn.IFNA(IF(-VLOOKUP(B118,'System TB'!$A:$C,3,FALSE)&gt;0,-VLOOKUP(B118,'System TB'!$A:$C,3,FALSE),0),0)</f>
        <v>0</v>
      </c>
      <c r="E118" s="52"/>
      <c r="G118" s="51">
        <f t="shared" si="14"/>
        <v>0</v>
      </c>
      <c r="O118" s="50">
        <f t="shared" si="12"/>
        <v>0</v>
      </c>
      <c r="P118" s="51">
        <f t="shared" si="13"/>
        <v>0</v>
      </c>
    </row>
    <row r="119" spans="1:17" x14ac:dyDescent="0.3">
      <c r="A119" t="s">
        <v>353</v>
      </c>
      <c r="B119" t="s">
        <v>732</v>
      </c>
      <c r="C119" t="s">
        <v>733</v>
      </c>
      <c r="D119" s="50">
        <f>_xlfn.IFNA(IF(-VLOOKUP(B119,'System TB'!$A:$C,3,FALSE)&gt;0,-VLOOKUP(B119,'System TB'!$A:$C,3,FALSE),0),0)</f>
        <v>0.06</v>
      </c>
      <c r="E119" s="52"/>
      <c r="G119" s="51">
        <f t="shared" si="14"/>
        <v>0.06</v>
      </c>
      <c r="O119" s="50">
        <f t="shared" si="12"/>
        <v>0.06</v>
      </c>
      <c r="P119" s="51">
        <f t="shared" si="13"/>
        <v>0</v>
      </c>
    </row>
    <row r="120" spans="1:17" x14ac:dyDescent="0.3">
      <c r="A120" t="s">
        <v>353</v>
      </c>
      <c r="B120" t="s">
        <v>1044</v>
      </c>
      <c r="C120" t="s">
        <v>1045</v>
      </c>
      <c r="D120" s="50">
        <f>_xlfn.IFNA(IF(-VLOOKUP(B120,'System TB'!$A:$C,3,FALSE)&gt;0,-VLOOKUP(B120,'System TB'!$A:$C,3,FALSE),0),0)</f>
        <v>180403928.47</v>
      </c>
      <c r="E120" s="52"/>
      <c r="G120" s="51">
        <f t="shared" si="14"/>
        <v>180403928.47</v>
      </c>
      <c r="O120" s="50">
        <f t="shared" si="12"/>
        <v>180403928.47</v>
      </c>
      <c r="P120" s="51">
        <f t="shared" si="13"/>
        <v>0</v>
      </c>
    </row>
    <row r="121" spans="1:17" x14ac:dyDescent="0.3">
      <c r="A121" t="s">
        <v>353</v>
      </c>
      <c r="B121" t="s">
        <v>747</v>
      </c>
      <c r="C121" t="s">
        <v>748</v>
      </c>
      <c r="D121" s="50">
        <f>_xlfn.IFNA(IF(-VLOOKUP(B121,'System TB'!$A:$C,3,FALSE)&gt;0,-VLOOKUP(B121,'System TB'!$A:$C,3,FALSE),0),0)</f>
        <v>1317297.44</v>
      </c>
      <c r="E121" s="52"/>
      <c r="G121" s="51">
        <f t="shared" si="14"/>
        <v>1317297.44</v>
      </c>
      <c r="O121" s="50">
        <f t="shared" si="12"/>
        <v>1317297.44</v>
      </c>
      <c r="P121" s="51">
        <f t="shared" si="13"/>
        <v>0</v>
      </c>
    </row>
    <row r="122" spans="1:17" x14ac:dyDescent="0.3">
      <c r="A122" t="s">
        <v>353</v>
      </c>
      <c r="B122" t="s">
        <v>1046</v>
      </c>
      <c r="C122" t="s">
        <v>1047</v>
      </c>
      <c r="D122" s="50">
        <f>_xlfn.IFNA(IF(-VLOOKUP(B122,'System TB'!$A:$C,3,FALSE)&gt;0,-VLOOKUP(B122,'System TB'!$A:$C,3,FALSE),0),0)</f>
        <v>0.65</v>
      </c>
      <c r="E122" s="52"/>
      <c r="G122" s="51">
        <f t="shared" si="14"/>
        <v>0.65</v>
      </c>
      <c r="O122" s="50">
        <f t="shared" si="12"/>
        <v>0.65</v>
      </c>
      <c r="P122" s="51">
        <f t="shared" si="13"/>
        <v>0</v>
      </c>
    </row>
    <row r="123" spans="1:17" x14ac:dyDescent="0.3">
      <c r="A123" t="s">
        <v>353</v>
      </c>
      <c r="B123" t="s">
        <v>1048</v>
      </c>
      <c r="C123" t="s">
        <v>1049</v>
      </c>
      <c r="D123" s="50">
        <f>_xlfn.IFNA(IF(-VLOOKUP(B123,'System TB'!$A:$C,3,FALSE)&gt;0,-VLOOKUP(B123,'System TB'!$A:$C,3,FALSE),0),0)</f>
        <v>0</v>
      </c>
      <c r="E123" s="52"/>
      <c r="G123" s="51">
        <f t="shared" si="14"/>
        <v>0</v>
      </c>
      <c r="O123" s="50">
        <f t="shared" si="12"/>
        <v>0</v>
      </c>
      <c r="P123" s="51">
        <f t="shared" si="13"/>
        <v>0</v>
      </c>
    </row>
    <row r="124" spans="1:17" x14ac:dyDescent="0.3">
      <c r="A124" t="s">
        <v>353</v>
      </c>
      <c r="B124" t="s">
        <v>1050</v>
      </c>
      <c r="C124" t="s">
        <v>1051</v>
      </c>
      <c r="D124" s="50">
        <f>_xlfn.IFNA(IF(-VLOOKUP(B124,'System TB'!$A:$C,3,FALSE)&gt;0,-VLOOKUP(B124,'System TB'!$A:$C,3,FALSE),0),0)</f>
        <v>1341587.0900000001</v>
      </c>
      <c r="E124" s="52"/>
      <c r="G124" s="51">
        <f t="shared" si="14"/>
        <v>1341587.0900000001</v>
      </c>
      <c r="O124" s="50">
        <f t="shared" si="12"/>
        <v>1341587.0900000001</v>
      </c>
      <c r="P124" s="51">
        <f t="shared" si="13"/>
        <v>0</v>
      </c>
    </row>
    <row r="125" spans="1:17" x14ac:dyDescent="0.3">
      <c r="A125" t="s">
        <v>239</v>
      </c>
      <c r="B125" t="s">
        <v>710</v>
      </c>
      <c r="C125" t="s">
        <v>711</v>
      </c>
      <c r="D125" s="50">
        <f>_xlfn.IFNA(IF(-VLOOKUP(B125,'System TB'!$A:$C,3,FALSE)&gt;0,-VLOOKUP(B125,'System TB'!$A:$C,3,FALSE),0),0)</f>
        <v>0</v>
      </c>
      <c r="E125" s="52"/>
      <c r="G125" s="51">
        <f t="shared" si="14"/>
        <v>0</v>
      </c>
      <c r="O125" s="50">
        <f t="shared" si="12"/>
        <v>0</v>
      </c>
      <c r="P125" s="51">
        <f t="shared" si="13"/>
        <v>0</v>
      </c>
    </row>
    <row r="126" spans="1:17" x14ac:dyDescent="0.3">
      <c r="A126" t="s">
        <v>353</v>
      </c>
      <c r="B126" t="s">
        <v>700</v>
      </c>
      <c r="C126" t="s">
        <v>701</v>
      </c>
      <c r="D126" s="50">
        <f>_xlfn.IFNA(IF(-VLOOKUP(B126,'System TB'!$A:$C,3,FALSE)&gt;0,-VLOOKUP(B126,'System TB'!$A:$C,3,FALSE),0),0)</f>
        <v>0</v>
      </c>
      <c r="E126" s="52"/>
      <c r="G126" s="51">
        <f t="shared" si="14"/>
        <v>0</v>
      </c>
      <c r="O126" s="50">
        <f t="shared" si="12"/>
        <v>0</v>
      </c>
      <c r="P126" s="51">
        <f t="shared" si="13"/>
        <v>0</v>
      </c>
    </row>
    <row r="127" spans="1:17" x14ac:dyDescent="0.3">
      <c r="A127" t="s">
        <v>356</v>
      </c>
      <c r="B127" t="s">
        <v>1052</v>
      </c>
      <c r="C127" t="s">
        <v>1053</v>
      </c>
      <c r="D127" s="50">
        <f>_xlfn.IFNA(IF(-VLOOKUP(B127,'System TB'!$A:$C,3,FALSE)&gt;0,-VLOOKUP(B127,'System TB'!$A:$C,3,FALSE),0),0)</f>
        <v>13998639</v>
      </c>
      <c r="E127" s="52"/>
      <c r="G127" s="51">
        <f t="shared" si="14"/>
        <v>13998639</v>
      </c>
      <c r="O127" s="50">
        <f t="shared" si="12"/>
        <v>13998639</v>
      </c>
      <c r="P127" s="51">
        <f t="shared" si="13"/>
        <v>0</v>
      </c>
      <c r="Q127" s="50"/>
    </row>
    <row r="128" spans="1:17" x14ac:dyDescent="0.3">
      <c r="A128" t="s">
        <v>356</v>
      </c>
      <c r="B128" t="s">
        <v>1054</v>
      </c>
      <c r="C128" t="s">
        <v>1055</v>
      </c>
      <c r="D128" s="50">
        <f>_xlfn.IFNA(IF(-VLOOKUP(B128,'System TB'!$A:$C,3,FALSE)&gt;0,-VLOOKUP(B128,'System TB'!$A:$C,3,FALSE),0),0)</f>
        <v>4396092</v>
      </c>
      <c r="E128" s="52"/>
      <c r="G128" s="51"/>
      <c r="H128" s="51"/>
      <c r="K128" s="51">
        <f>D128</f>
        <v>4396092</v>
      </c>
      <c r="O128" s="50">
        <f t="shared" si="12"/>
        <v>4396092</v>
      </c>
      <c r="P128" s="51">
        <f t="shared" si="13"/>
        <v>0</v>
      </c>
      <c r="Q128" s="50"/>
    </row>
    <row r="129" spans="1:17" x14ac:dyDescent="0.3">
      <c r="A129" t="s">
        <v>356</v>
      </c>
      <c r="B129" t="s">
        <v>598</v>
      </c>
      <c r="C129" t="s">
        <v>599</v>
      </c>
      <c r="D129" s="50">
        <f>_xlfn.IFNA(IF(-VLOOKUP(B129,'System TB'!$A:$C,3,FALSE)&gt;0,-VLOOKUP(B129,'System TB'!$A:$C,3,FALSE),0),0)</f>
        <v>0</v>
      </c>
      <c r="E129" s="52"/>
      <c r="G129" s="51">
        <f>D129</f>
        <v>0</v>
      </c>
      <c r="O129" s="50">
        <f t="shared" si="12"/>
        <v>0</v>
      </c>
      <c r="P129" s="51">
        <f t="shared" si="13"/>
        <v>0</v>
      </c>
      <c r="Q129" s="50"/>
    </row>
    <row r="130" spans="1:17" x14ac:dyDescent="0.3">
      <c r="A130" t="s">
        <v>239</v>
      </c>
      <c r="B130" t="s">
        <v>600</v>
      </c>
      <c r="C130" t="s">
        <v>601</v>
      </c>
      <c r="D130" s="50">
        <f>_xlfn.IFNA(IF(-VLOOKUP(B130,'System TB'!$A:$C,3,FALSE)&gt;0,-VLOOKUP(B130,'System TB'!$A:$C,3,FALSE),0),0)</f>
        <v>0</v>
      </c>
      <c r="E130" s="52"/>
      <c r="G130" s="51">
        <f>D130</f>
        <v>0</v>
      </c>
      <c r="O130" s="50">
        <f t="shared" ref="O130:O160" si="15">SUM(F130:N130)</f>
        <v>0</v>
      </c>
      <c r="P130" s="51">
        <f t="shared" ref="P130:P160" si="16">O130-D130</f>
        <v>0</v>
      </c>
    </row>
    <row r="131" spans="1:17" x14ac:dyDescent="0.3">
      <c r="A131" t="s">
        <v>356</v>
      </c>
      <c r="B131" t="s">
        <v>1056</v>
      </c>
      <c r="C131" t="s">
        <v>1057</v>
      </c>
      <c r="D131" s="50">
        <f>_xlfn.IFNA(IF(-VLOOKUP(B131,'System TB'!$A:$C,3,FALSE)&gt;0,-VLOOKUP(B131,'System TB'!$A:$C,3,FALSE),0),0)</f>
        <v>0</v>
      </c>
      <c r="E131" s="52"/>
      <c r="G131" s="51"/>
      <c r="M131" s="51">
        <f>D131</f>
        <v>0</v>
      </c>
      <c r="O131" s="50">
        <f t="shared" si="15"/>
        <v>0</v>
      </c>
      <c r="P131" s="51">
        <f t="shared" si="16"/>
        <v>0</v>
      </c>
      <c r="Q131" s="50"/>
    </row>
    <row r="132" spans="1:17" x14ac:dyDescent="0.3">
      <c r="A132" t="s">
        <v>356</v>
      </c>
      <c r="B132" t="s">
        <v>1058</v>
      </c>
      <c r="C132" t="s">
        <v>1059</v>
      </c>
      <c r="D132" s="50">
        <f>_xlfn.IFNA(IF(-VLOOKUP(B132,'System TB'!$A:$C,3,FALSE)&gt;0,-VLOOKUP(B132,'System TB'!$A:$C,3,FALSE),0),0)</f>
        <v>1247375.1200000001</v>
      </c>
      <c r="E132" s="52"/>
      <c r="G132" s="51">
        <f t="shared" ref="G132:G141" si="17">D132</f>
        <v>1247375.1200000001</v>
      </c>
      <c r="H132" s="51"/>
      <c r="O132" s="50">
        <f t="shared" si="15"/>
        <v>1247375.1200000001</v>
      </c>
      <c r="P132" s="51">
        <f t="shared" si="16"/>
        <v>0</v>
      </c>
      <c r="Q132" s="50"/>
    </row>
    <row r="133" spans="1:17" x14ac:dyDescent="0.3">
      <c r="A133" t="s">
        <v>356</v>
      </c>
      <c r="B133" t="s">
        <v>698</v>
      </c>
      <c r="C133" t="s">
        <v>699</v>
      </c>
      <c r="D133" s="50">
        <f>_xlfn.IFNA(IF(-VLOOKUP(B133,'System TB'!$A:$C,3,FALSE)&gt;0,-VLOOKUP(B133,'System TB'!$A:$C,3,FALSE),0),0)</f>
        <v>1873869.18</v>
      </c>
      <c r="E133" s="52"/>
      <c r="G133" s="51">
        <f t="shared" si="17"/>
        <v>1873869.18</v>
      </c>
      <c r="O133" s="50">
        <f t="shared" si="15"/>
        <v>1873869.18</v>
      </c>
      <c r="P133" s="51">
        <f t="shared" si="16"/>
        <v>0</v>
      </c>
      <c r="Q133" s="50"/>
    </row>
    <row r="134" spans="1:17" x14ac:dyDescent="0.3">
      <c r="A134" t="s">
        <v>356</v>
      </c>
      <c r="B134" t="s">
        <v>652</v>
      </c>
      <c r="C134" t="s">
        <v>653</v>
      </c>
      <c r="D134" s="50">
        <f>_xlfn.IFNA(IF(-VLOOKUP(B134,'System TB'!$A:$C,3,FALSE)&gt;0,-VLOOKUP(B134,'System TB'!$A:$C,3,FALSE),0),0)</f>
        <v>19700</v>
      </c>
      <c r="E134" s="52"/>
      <c r="G134" s="51">
        <f t="shared" si="17"/>
        <v>19700</v>
      </c>
      <c r="O134" s="50">
        <f t="shared" si="15"/>
        <v>19700</v>
      </c>
      <c r="P134" s="51">
        <f t="shared" si="16"/>
        <v>0</v>
      </c>
      <c r="Q134" s="50"/>
    </row>
    <row r="135" spans="1:17" x14ac:dyDescent="0.3">
      <c r="A135" t="s">
        <v>353</v>
      </c>
      <c r="B135" t="s">
        <v>574</v>
      </c>
      <c r="C135" t="s">
        <v>575</v>
      </c>
      <c r="D135" s="50">
        <f>_xlfn.IFNA(IF(-VLOOKUP(B135,'System TB'!$A:$C,3,FALSE)&gt;0,-VLOOKUP(B135,'System TB'!$A:$C,3,FALSE),0),0)</f>
        <v>0</v>
      </c>
      <c r="E135" s="52"/>
      <c r="G135" s="51">
        <f t="shared" si="17"/>
        <v>0</v>
      </c>
      <c r="O135" s="50">
        <f t="shared" si="15"/>
        <v>0</v>
      </c>
      <c r="P135" s="51">
        <f t="shared" si="16"/>
        <v>0</v>
      </c>
    </row>
    <row r="136" spans="1:17" x14ac:dyDescent="0.3">
      <c r="A136" t="s">
        <v>353</v>
      </c>
      <c r="B136" t="s">
        <v>576</v>
      </c>
      <c r="C136" t="s">
        <v>577</v>
      </c>
      <c r="D136" s="50">
        <f>_xlfn.IFNA(IF(-VLOOKUP(B136,'System TB'!$A:$C,3,FALSE)&gt;0,-VLOOKUP(B136,'System TB'!$A:$C,3,FALSE),0),0)</f>
        <v>0</v>
      </c>
      <c r="E136" s="52"/>
      <c r="G136" s="51">
        <f t="shared" si="17"/>
        <v>0</v>
      </c>
      <c r="O136" s="50">
        <f t="shared" si="15"/>
        <v>0</v>
      </c>
      <c r="P136" s="51">
        <f t="shared" si="16"/>
        <v>0</v>
      </c>
    </row>
    <row r="137" spans="1:17" x14ac:dyDescent="0.3">
      <c r="A137" t="s">
        <v>353</v>
      </c>
      <c r="B137" t="s">
        <v>1060</v>
      </c>
      <c r="C137" t="s">
        <v>1061</v>
      </c>
      <c r="D137" s="50">
        <f>_xlfn.IFNA(IF(-VLOOKUP(B137,'System TB'!$A:$C,3,FALSE)&gt;0,-VLOOKUP(B137,'System TB'!$A:$C,3,FALSE),0),0)</f>
        <v>0</v>
      </c>
      <c r="E137" s="52"/>
      <c r="G137" s="51">
        <f t="shared" si="17"/>
        <v>0</v>
      </c>
      <c r="O137" s="50">
        <f t="shared" si="15"/>
        <v>0</v>
      </c>
      <c r="P137" s="51">
        <f t="shared" si="16"/>
        <v>0</v>
      </c>
    </row>
    <row r="138" spans="1:17" x14ac:dyDescent="0.3">
      <c r="A138" t="s">
        <v>353</v>
      </c>
      <c r="B138" t="s">
        <v>674</v>
      </c>
      <c r="C138" t="s">
        <v>675</v>
      </c>
      <c r="D138" s="50">
        <f>_xlfn.IFNA(IF(-VLOOKUP(B138,'System TB'!$A:$C,3,FALSE)&gt;0,-VLOOKUP(B138,'System TB'!$A:$C,3,FALSE),0),0)</f>
        <v>0</v>
      </c>
      <c r="E138" s="52"/>
      <c r="G138" s="51">
        <f t="shared" si="17"/>
        <v>0</v>
      </c>
      <c r="O138" s="50">
        <f t="shared" si="15"/>
        <v>0</v>
      </c>
      <c r="P138" s="51">
        <f t="shared" si="16"/>
        <v>0</v>
      </c>
    </row>
    <row r="139" spans="1:17" x14ac:dyDescent="0.3">
      <c r="A139" t="s">
        <v>353</v>
      </c>
      <c r="B139" t="s">
        <v>682</v>
      </c>
      <c r="C139" t="s">
        <v>683</v>
      </c>
      <c r="D139" s="50">
        <f>_xlfn.IFNA(IF(-VLOOKUP(B139,'System TB'!$A:$C,3,FALSE)&gt;0,-VLOOKUP(B139,'System TB'!$A:$C,3,FALSE),0),0)</f>
        <v>0</v>
      </c>
      <c r="E139" s="52"/>
      <c r="G139" s="51">
        <f t="shared" si="17"/>
        <v>0</v>
      </c>
      <c r="O139" s="50">
        <f t="shared" si="15"/>
        <v>0</v>
      </c>
      <c r="P139" s="51">
        <f t="shared" si="16"/>
        <v>0</v>
      </c>
    </row>
    <row r="140" spans="1:17" x14ac:dyDescent="0.3">
      <c r="A140" t="s">
        <v>242</v>
      </c>
      <c r="B140" t="s">
        <v>676</v>
      </c>
      <c r="C140" t="s">
        <v>677</v>
      </c>
      <c r="D140" s="50">
        <f>_xlfn.IFNA(IF(-VLOOKUP(B140,'System TB'!$A:$C,3,FALSE)&gt;0,-VLOOKUP(B140,'System TB'!$A:$C,3,FALSE),0),0)</f>
        <v>0</v>
      </c>
      <c r="E140" s="52"/>
      <c r="G140" s="51">
        <f t="shared" si="17"/>
        <v>0</v>
      </c>
      <c r="O140" s="50">
        <f t="shared" si="15"/>
        <v>0</v>
      </c>
      <c r="P140" s="51">
        <f t="shared" si="16"/>
        <v>0</v>
      </c>
    </row>
    <row r="141" spans="1:17" x14ac:dyDescent="0.3">
      <c r="A141" t="s">
        <v>356</v>
      </c>
      <c r="B141" t="s">
        <v>1062</v>
      </c>
      <c r="C141" t="s">
        <v>1063</v>
      </c>
      <c r="D141" s="50">
        <f>_xlfn.IFNA(IF(-VLOOKUP(B141,'System TB'!$A:$C,3,FALSE)&gt;0,-VLOOKUP(B141,'System TB'!$A:$C,3,FALSE),0),0)</f>
        <v>13743105.310000001</v>
      </c>
      <c r="E141" s="52"/>
      <c r="G141" s="51">
        <f t="shared" si="17"/>
        <v>13743105.310000001</v>
      </c>
      <c r="O141" s="50">
        <f t="shared" si="15"/>
        <v>13743105.310000001</v>
      </c>
      <c r="P141" s="51">
        <f t="shared" si="16"/>
        <v>0</v>
      </c>
      <c r="Q141" s="50"/>
    </row>
    <row r="142" spans="1:17" x14ac:dyDescent="0.3">
      <c r="A142" t="s">
        <v>347</v>
      </c>
      <c r="B142" t="s">
        <v>734</v>
      </c>
      <c r="C142" t="s">
        <v>735</v>
      </c>
      <c r="D142" s="50">
        <f>_xlfn.IFNA(IF(-VLOOKUP(B142,'System TB'!$A:$C,3,FALSE)&gt;0,-VLOOKUP(B142,'System TB'!$A:$C,3,FALSE),0),0)</f>
        <v>0</v>
      </c>
      <c r="E142" s="52"/>
      <c r="G142" s="51"/>
      <c r="H142" s="50"/>
      <c r="I142" s="50"/>
      <c r="J142" s="50"/>
      <c r="K142" s="50"/>
      <c r="L142" s="51">
        <f>D142</f>
        <v>0</v>
      </c>
      <c r="M142" s="50"/>
      <c r="O142" s="50">
        <f t="shared" si="15"/>
        <v>0</v>
      </c>
      <c r="P142" s="51">
        <f t="shared" si="16"/>
        <v>0</v>
      </c>
    </row>
    <row r="143" spans="1:17" x14ac:dyDescent="0.3">
      <c r="A143" t="s">
        <v>242</v>
      </c>
      <c r="B143" t="s">
        <v>1064</v>
      </c>
      <c r="C143" t="s">
        <v>1065</v>
      </c>
      <c r="D143" s="50">
        <f>_xlfn.IFNA(IF(-VLOOKUP(B143,'System TB'!$A:$C,3,FALSE)&gt;0,-VLOOKUP(B143,'System TB'!$A:$C,3,FALSE),0),0)</f>
        <v>0</v>
      </c>
      <c r="E143" s="52"/>
      <c r="G143" s="51">
        <f t="shared" ref="G143:G149" si="18">D143</f>
        <v>0</v>
      </c>
      <c r="H143" s="50"/>
      <c r="I143" s="50"/>
      <c r="J143" s="50"/>
      <c r="K143" s="50"/>
      <c r="L143" s="50"/>
      <c r="M143" s="50"/>
      <c r="O143" s="50">
        <f t="shared" si="15"/>
        <v>0</v>
      </c>
      <c r="P143" s="51">
        <f t="shared" si="16"/>
        <v>0</v>
      </c>
    </row>
    <row r="144" spans="1:17" x14ac:dyDescent="0.3">
      <c r="A144" t="s">
        <v>356</v>
      </c>
      <c r="B144" t="s">
        <v>670</v>
      </c>
      <c r="C144" t="s">
        <v>1066</v>
      </c>
      <c r="D144" s="50">
        <f>_xlfn.IFNA(IF(-VLOOKUP(B144,'System TB'!$A:$C,3,FALSE)&gt;0,-VLOOKUP(B144,'System TB'!$A:$C,3,FALSE),0),0)</f>
        <v>652370.96</v>
      </c>
      <c r="E144" s="52"/>
      <c r="G144" s="51">
        <f t="shared" si="18"/>
        <v>652370.96</v>
      </c>
      <c r="H144" s="50"/>
      <c r="I144" s="50"/>
      <c r="J144" s="50"/>
      <c r="K144" s="50"/>
      <c r="L144" s="50"/>
      <c r="M144" s="50"/>
      <c r="O144" s="50">
        <f t="shared" si="15"/>
        <v>652370.96</v>
      </c>
      <c r="P144" s="51">
        <f t="shared" si="16"/>
        <v>0</v>
      </c>
    </row>
    <row r="145" spans="1:17" x14ac:dyDescent="0.3">
      <c r="A145" t="s">
        <v>356</v>
      </c>
      <c r="B145" t="s">
        <v>1067</v>
      </c>
      <c r="C145" t="s">
        <v>1068</v>
      </c>
      <c r="D145" s="50">
        <f>_xlfn.IFNA(IF(-VLOOKUP(B145,'System TB'!$A:$C,3,FALSE)&gt;0,-VLOOKUP(B145,'System TB'!$A:$C,3,FALSE),0),0)</f>
        <v>0</v>
      </c>
      <c r="E145" s="52"/>
      <c r="G145" s="51">
        <f t="shared" si="18"/>
        <v>0</v>
      </c>
      <c r="O145" s="50">
        <f t="shared" si="15"/>
        <v>0</v>
      </c>
      <c r="P145" s="51">
        <f t="shared" si="16"/>
        <v>0</v>
      </c>
      <c r="Q145" s="50"/>
    </row>
    <row r="146" spans="1:17" x14ac:dyDescent="0.3">
      <c r="A146" t="s">
        <v>353</v>
      </c>
      <c r="B146" t="s">
        <v>668</v>
      </c>
      <c r="C146" t="s">
        <v>669</v>
      </c>
      <c r="D146" s="50">
        <f>_xlfn.IFNA(IF(-VLOOKUP(B146,'System TB'!$A:$C,3,FALSE)&gt;0,-VLOOKUP(B146,'System TB'!$A:$C,3,FALSE),0),0)</f>
        <v>0</v>
      </c>
      <c r="E146" s="52"/>
      <c r="G146" s="51">
        <f t="shared" si="18"/>
        <v>0</v>
      </c>
      <c r="O146" s="50">
        <f t="shared" si="15"/>
        <v>0</v>
      </c>
      <c r="P146" s="51">
        <f t="shared" si="16"/>
        <v>0</v>
      </c>
    </row>
    <row r="147" spans="1:17" x14ac:dyDescent="0.3">
      <c r="A147" t="s">
        <v>353</v>
      </c>
      <c r="B147" t="s">
        <v>730</v>
      </c>
      <c r="C147" t="s">
        <v>731</v>
      </c>
      <c r="D147" s="50">
        <f>_xlfn.IFNA(IF(-VLOOKUP(B147,'System TB'!$A:$C,3,FALSE)&gt;0,-VLOOKUP(B147,'System TB'!$A:$C,3,FALSE),0),0)</f>
        <v>0</v>
      </c>
      <c r="E147" s="52"/>
      <c r="G147" s="51">
        <f t="shared" si="18"/>
        <v>0</v>
      </c>
      <c r="O147" s="50">
        <f t="shared" si="15"/>
        <v>0</v>
      </c>
      <c r="P147" s="51">
        <f t="shared" si="16"/>
        <v>0</v>
      </c>
    </row>
    <row r="148" spans="1:17" x14ac:dyDescent="0.3">
      <c r="A148" t="s">
        <v>356</v>
      </c>
      <c r="B148" t="s">
        <v>1069</v>
      </c>
      <c r="C148" t="s">
        <v>1070</v>
      </c>
      <c r="D148" s="50">
        <f>_xlfn.IFNA(IF(-VLOOKUP(B148,'System TB'!$A:$C,3,FALSE)&gt;0,-VLOOKUP(B148,'System TB'!$A:$C,3,FALSE),0),0)</f>
        <v>2290</v>
      </c>
      <c r="E148" s="52"/>
      <c r="G148" s="51">
        <f t="shared" si="18"/>
        <v>2290</v>
      </c>
      <c r="O148" s="50">
        <f t="shared" si="15"/>
        <v>2290</v>
      </c>
      <c r="P148" s="51">
        <f t="shared" si="16"/>
        <v>0</v>
      </c>
      <c r="Q148" s="50"/>
    </row>
    <row r="149" spans="1:17" x14ac:dyDescent="0.3">
      <c r="A149" t="s">
        <v>356</v>
      </c>
      <c r="B149" t="s">
        <v>1071</v>
      </c>
      <c r="C149" t="s">
        <v>1072</v>
      </c>
      <c r="D149" s="50">
        <f>_xlfn.IFNA(IF(-VLOOKUP(B149,'System TB'!$A:$C,3,FALSE)&gt;0,-VLOOKUP(B149,'System TB'!$A:$C,3,FALSE),0),0)</f>
        <v>491328678.82999998</v>
      </c>
      <c r="G149" s="51">
        <f t="shared" si="18"/>
        <v>491328678.82999998</v>
      </c>
      <c r="O149" s="50">
        <f t="shared" si="15"/>
        <v>491328678.82999998</v>
      </c>
      <c r="P149" s="51">
        <f t="shared" si="16"/>
        <v>0</v>
      </c>
      <c r="Q149" s="50"/>
    </row>
    <row r="150" spans="1:17" x14ac:dyDescent="0.3">
      <c r="A150" t="s">
        <v>356</v>
      </c>
      <c r="B150" t="s">
        <v>1073</v>
      </c>
      <c r="C150" t="s">
        <v>1074</v>
      </c>
      <c r="D150" s="50">
        <f>_xlfn.IFNA(IF(-VLOOKUP(B150,'System TB'!$A:$C,3,FALSE)&gt;0,-VLOOKUP(B150,'System TB'!$A:$C,3,FALSE),0),0)</f>
        <v>14198305.189999999</v>
      </c>
      <c r="K150" s="51">
        <f>D150</f>
        <v>14198305.189999999</v>
      </c>
      <c r="O150" s="50">
        <f t="shared" si="15"/>
        <v>14198305.189999999</v>
      </c>
      <c r="P150" s="51">
        <f t="shared" si="16"/>
        <v>0</v>
      </c>
      <c r="Q150" s="50"/>
    </row>
    <row r="151" spans="1:17" x14ac:dyDescent="0.3">
      <c r="A151" t="s">
        <v>356</v>
      </c>
      <c r="B151" t="s">
        <v>1075</v>
      </c>
      <c r="C151" t="s">
        <v>1076</v>
      </c>
      <c r="D151" s="50">
        <f>_xlfn.IFNA(IF(-VLOOKUP(B151,'System TB'!$A:$C,3,FALSE)&gt;0,-VLOOKUP(B151,'System TB'!$A:$C,3,FALSE),0),0)</f>
        <v>4571778.17</v>
      </c>
      <c r="H151" s="51">
        <f>D151</f>
        <v>4571778.17</v>
      </c>
      <c r="O151" s="50">
        <f t="shared" si="15"/>
        <v>4571778.17</v>
      </c>
      <c r="P151" s="51">
        <f t="shared" si="16"/>
        <v>0</v>
      </c>
      <c r="Q151" s="50"/>
    </row>
    <row r="152" spans="1:17" x14ac:dyDescent="0.3">
      <c r="A152" t="s">
        <v>356</v>
      </c>
      <c r="B152" t="s">
        <v>1077</v>
      </c>
      <c r="C152" t="s">
        <v>1078</v>
      </c>
      <c r="D152" s="50">
        <f>_xlfn.IFNA(IF(-VLOOKUP(B152,'System TB'!$A:$C,3,FALSE)&gt;0,-VLOOKUP(B152,'System TB'!$A:$C,3,FALSE),0),0)</f>
        <v>40651493.890000001</v>
      </c>
      <c r="H152" s="51">
        <f>D152</f>
        <v>40651493.890000001</v>
      </c>
      <c r="O152" s="50">
        <f t="shared" si="15"/>
        <v>40651493.890000001</v>
      </c>
      <c r="P152" s="51">
        <f t="shared" si="16"/>
        <v>0</v>
      </c>
      <c r="Q152" s="50"/>
    </row>
    <row r="153" spans="1:17" x14ac:dyDescent="0.3">
      <c r="A153" t="s">
        <v>356</v>
      </c>
      <c r="B153" t="s">
        <v>1079</v>
      </c>
      <c r="C153" t="s">
        <v>1080</v>
      </c>
      <c r="D153" s="50">
        <f>_xlfn.IFNA(IF(-VLOOKUP(B153,'System TB'!$A:$C,3,FALSE)&gt;0,-VLOOKUP(B153,'System TB'!$A:$C,3,FALSE),0),0)</f>
        <v>18236008.780000001</v>
      </c>
      <c r="G153" s="51">
        <f>D153</f>
        <v>18236008.780000001</v>
      </c>
      <c r="O153" s="50">
        <f t="shared" si="15"/>
        <v>18236008.780000001</v>
      </c>
      <c r="P153" s="51">
        <f t="shared" si="16"/>
        <v>0</v>
      </c>
      <c r="Q153" s="50"/>
    </row>
    <row r="154" spans="1:17" x14ac:dyDescent="0.3">
      <c r="A154" t="s">
        <v>356</v>
      </c>
      <c r="B154" t="s">
        <v>1081</v>
      </c>
      <c r="C154" t="s">
        <v>1082</v>
      </c>
      <c r="D154" s="50">
        <f>_xlfn.IFNA(IF(-VLOOKUP(B154,'System TB'!$A:$C,3,FALSE)&gt;0,-VLOOKUP(B154,'System TB'!$A:$C,3,FALSE),0),0)</f>
        <v>23018523.879999999</v>
      </c>
      <c r="G154" s="51"/>
      <c r="H154" s="51">
        <f>D154</f>
        <v>23018523.879999999</v>
      </c>
      <c r="O154" s="50">
        <f t="shared" si="15"/>
        <v>23018523.879999999</v>
      </c>
      <c r="P154" s="51">
        <f t="shared" si="16"/>
        <v>0</v>
      </c>
      <c r="Q154" s="50"/>
    </row>
    <row r="155" spans="1:17" x14ac:dyDescent="0.3">
      <c r="A155" t="s">
        <v>356</v>
      </c>
      <c r="B155" t="s">
        <v>1083</v>
      </c>
      <c r="C155" t="s">
        <v>1084</v>
      </c>
      <c r="D155" s="50">
        <f>_xlfn.IFNA(IF(-VLOOKUP(B155,'System TB'!$A:$C,3,FALSE)&gt;0,-VLOOKUP(B155,'System TB'!$A:$C,3,FALSE),0),0)</f>
        <v>2070920.8</v>
      </c>
      <c r="G155" s="51">
        <f>D155</f>
        <v>2070920.8</v>
      </c>
      <c r="O155" s="50">
        <f t="shared" si="15"/>
        <v>2070920.8</v>
      </c>
      <c r="P155" s="51">
        <f t="shared" si="16"/>
        <v>0</v>
      </c>
      <c r="Q155" s="50"/>
    </row>
    <row r="156" spans="1:17" x14ac:dyDescent="0.3">
      <c r="A156" t="s">
        <v>353</v>
      </c>
      <c r="B156" t="s">
        <v>632</v>
      </c>
      <c r="C156" t="s">
        <v>633</v>
      </c>
      <c r="D156" s="50">
        <f>_xlfn.IFNA(IF(-VLOOKUP(B156,'System TB'!$A:$C,3,FALSE)&gt;0,-VLOOKUP(B156,'System TB'!$A:$C,3,FALSE),0),0)</f>
        <v>0</v>
      </c>
      <c r="G156" s="51">
        <f>D156</f>
        <v>0</v>
      </c>
      <c r="O156" s="50">
        <f t="shared" si="15"/>
        <v>0</v>
      </c>
      <c r="P156" s="51">
        <f t="shared" si="16"/>
        <v>0</v>
      </c>
      <c r="Q156" s="50"/>
    </row>
    <row r="157" spans="1:17" x14ac:dyDescent="0.3">
      <c r="A157" t="s">
        <v>356</v>
      </c>
      <c r="B157" t="s">
        <v>566</v>
      </c>
      <c r="C157" t="s">
        <v>567</v>
      </c>
      <c r="D157" s="50">
        <f>_xlfn.IFNA(IF(-VLOOKUP(B157,'System TB'!$A:$C,3,FALSE)&gt;0,-VLOOKUP(B157,'System TB'!$A:$C,3,FALSE),0),0)</f>
        <v>0</v>
      </c>
      <c r="L157" s="51">
        <f>D157</f>
        <v>0</v>
      </c>
      <c r="O157" s="50">
        <f t="shared" si="15"/>
        <v>0</v>
      </c>
      <c r="P157" s="51">
        <f t="shared" si="16"/>
        <v>0</v>
      </c>
      <c r="Q157" s="50"/>
    </row>
    <row r="158" spans="1:17" x14ac:dyDescent="0.3">
      <c r="A158" t="s">
        <v>356</v>
      </c>
      <c r="B158" t="s">
        <v>1085</v>
      </c>
      <c r="C158" s="20" t="s">
        <v>1086</v>
      </c>
      <c r="D158" s="50">
        <f>_xlfn.IFNA(IF(-VLOOKUP(B158,'System TB'!$A:$C,3,FALSE)&gt;0,-VLOOKUP(B158,'System TB'!$A:$C,3,FALSE),0),0)</f>
        <v>294683.71000000002</v>
      </c>
      <c r="G158" s="51">
        <f>D158</f>
        <v>294683.71000000002</v>
      </c>
      <c r="L158" s="51"/>
      <c r="O158" s="50">
        <f t="shared" si="15"/>
        <v>294683.71000000002</v>
      </c>
      <c r="P158" s="51">
        <f t="shared" si="16"/>
        <v>0</v>
      </c>
      <c r="Q158" s="50"/>
    </row>
    <row r="159" spans="1:17" x14ac:dyDescent="0.3">
      <c r="A159" t="s">
        <v>353</v>
      </c>
      <c r="B159" t="s">
        <v>622</v>
      </c>
      <c r="C159" s="20" t="s">
        <v>623</v>
      </c>
      <c r="D159" s="50">
        <f>_xlfn.IFNA(IF(-VLOOKUP(B159,'System TB'!$A:$C,3,FALSE)&gt;0,-VLOOKUP(B159,'System TB'!$A:$C,3,FALSE),0),0)</f>
        <v>0</v>
      </c>
      <c r="G159" s="51">
        <f>D159</f>
        <v>0</v>
      </c>
      <c r="L159" s="51"/>
      <c r="O159" s="50">
        <f t="shared" si="15"/>
        <v>0</v>
      </c>
      <c r="P159" s="51">
        <f t="shared" si="16"/>
        <v>0</v>
      </c>
      <c r="Q159" s="50"/>
    </row>
    <row r="160" spans="1:17" x14ac:dyDescent="0.3">
      <c r="A160" t="s">
        <v>353</v>
      </c>
      <c r="B160" t="s">
        <v>1087</v>
      </c>
      <c r="C160" s="20" t="s">
        <v>1088</v>
      </c>
      <c r="D160" s="50">
        <f>_xlfn.IFNA(IF(-VLOOKUP(B160,'System TB'!$A:$C,3,FALSE)&gt;0,-VLOOKUP(B160,'System TB'!$A:$C,3,FALSE),0),0)</f>
        <v>132130.74</v>
      </c>
      <c r="G160" s="51">
        <f>D160</f>
        <v>132130.74</v>
      </c>
      <c r="L160" s="51"/>
      <c r="O160" s="50">
        <f t="shared" si="15"/>
        <v>132130.74</v>
      </c>
      <c r="P160" s="51">
        <f t="shared" si="16"/>
        <v>0</v>
      </c>
      <c r="Q160" s="50"/>
    </row>
    <row r="162" spans="1:16" s="54" customFormat="1" x14ac:dyDescent="0.3">
      <c r="C162" s="56" t="s">
        <v>461</v>
      </c>
      <c r="D162" s="59">
        <f>SUM(D2:D161)</f>
        <v>5346063497.5000019</v>
      </c>
      <c r="E162" s="52"/>
      <c r="F162" s="59">
        <f t="shared" ref="F162:P162" si="19">SUM(F2:F161)</f>
        <v>0</v>
      </c>
      <c r="G162" s="59">
        <f t="shared" si="19"/>
        <v>4276011493.5400014</v>
      </c>
      <c r="H162" s="59">
        <f t="shared" si="19"/>
        <v>174426626.88999999</v>
      </c>
      <c r="I162" s="59">
        <f t="shared" si="19"/>
        <v>631306447.88999999</v>
      </c>
      <c r="J162" s="59">
        <f t="shared" si="19"/>
        <v>0</v>
      </c>
      <c r="K162" s="59">
        <f t="shared" si="19"/>
        <v>57012049.039999999</v>
      </c>
      <c r="L162" s="59">
        <f t="shared" si="19"/>
        <v>0</v>
      </c>
      <c r="M162" s="59">
        <f t="shared" si="19"/>
        <v>207306880.13999999</v>
      </c>
      <c r="N162" s="59">
        <f t="shared" si="19"/>
        <v>0</v>
      </c>
      <c r="O162" s="59">
        <f t="shared" si="19"/>
        <v>5346063497.5000019</v>
      </c>
      <c r="P162" s="59">
        <f t="shared" si="19"/>
        <v>0</v>
      </c>
    </row>
    <row r="163" spans="1:16" s="54" customFormat="1" x14ac:dyDescent="0.3">
      <c r="C163" s="57" t="s">
        <v>749</v>
      </c>
      <c r="D163" s="55">
        <f>ROUND(D162/1000,)</f>
        <v>5346063</v>
      </c>
      <c r="E163" s="52"/>
      <c r="F163" s="55">
        <f t="shared" ref="F163:O163" si="20">ROUND(F162/1000,)</f>
        <v>0</v>
      </c>
      <c r="G163" s="55">
        <f t="shared" si="20"/>
        <v>4276011</v>
      </c>
      <c r="H163" s="55">
        <f t="shared" si="20"/>
        <v>174427</v>
      </c>
      <c r="I163" s="55">
        <f t="shared" si="20"/>
        <v>631306</v>
      </c>
      <c r="J163" s="55">
        <f t="shared" si="20"/>
        <v>0</v>
      </c>
      <c r="K163" s="55">
        <f t="shared" si="20"/>
        <v>57012</v>
      </c>
      <c r="L163" s="55">
        <f t="shared" si="20"/>
        <v>0</v>
      </c>
      <c r="M163" s="55">
        <f t="shared" si="20"/>
        <v>207307</v>
      </c>
      <c r="N163" s="55">
        <f t="shared" si="20"/>
        <v>0</v>
      </c>
      <c r="O163" s="55">
        <f t="shared" si="20"/>
        <v>5346063</v>
      </c>
      <c r="P163" s="58"/>
    </row>
    <row r="166" spans="1:16" x14ac:dyDescent="0.3">
      <c r="A166" s="39" t="s">
        <v>341</v>
      </c>
      <c r="C166" s="39" t="s">
        <v>342</v>
      </c>
      <c r="D166" s="62">
        <f>SUMIF($A$2:$A$157,A166,$D$2:$D$157)</f>
        <v>208065784.72999999</v>
      </c>
      <c r="E166" s="52"/>
      <c r="F166" s="62">
        <f>'NBD-MF-01-SOFP'!E127</f>
        <v>208065784.72999999</v>
      </c>
      <c r="G166" s="62">
        <f t="shared" ref="G166:G172" si="21">D166-F166</f>
        <v>0</v>
      </c>
    </row>
    <row r="167" spans="1:16" x14ac:dyDescent="0.3">
      <c r="A167" s="39" t="s">
        <v>344</v>
      </c>
      <c r="C167" s="39" t="s">
        <v>345</v>
      </c>
      <c r="D167" s="62">
        <f>SUMIF($A$2:$A$157,A167,$D$2:$D$157)</f>
        <v>461718527.47000003</v>
      </c>
      <c r="E167" s="52"/>
      <c r="F167" s="62">
        <f>'NBD-MF-01-SOFP'!E128</f>
        <v>461718527.47000003</v>
      </c>
      <c r="G167" s="62">
        <f t="shared" si="21"/>
        <v>0</v>
      </c>
    </row>
    <row r="168" spans="1:16" x14ac:dyDescent="0.3">
      <c r="A168" s="39" t="s">
        <v>347</v>
      </c>
      <c r="C168" s="39" t="s">
        <v>348</v>
      </c>
      <c r="D168" s="62">
        <f>SUMIF($A$2:$A$157,A168,$D$2:$D$157)</f>
        <v>0</v>
      </c>
      <c r="F168" s="62">
        <f>'NBD-MF-01-SOFP'!E129</f>
        <v>0</v>
      </c>
      <c r="G168" s="62">
        <f t="shared" si="21"/>
        <v>0</v>
      </c>
    </row>
    <row r="169" spans="1:16" x14ac:dyDescent="0.3">
      <c r="A169" s="39" t="s">
        <v>350</v>
      </c>
      <c r="C169" s="39" t="s">
        <v>351</v>
      </c>
      <c r="D169" s="62">
        <f>SUMIF($A$2:$A$157,A169,$D$2:$D$157)</f>
        <v>207306880.13999999</v>
      </c>
      <c r="F169" s="62">
        <f>'NBD-MF-01-SOFP'!E130</f>
        <v>207306880.13999999</v>
      </c>
      <c r="G169" s="62">
        <f t="shared" si="21"/>
        <v>0</v>
      </c>
    </row>
    <row r="170" spans="1:16" x14ac:dyDescent="0.3">
      <c r="A170" s="39" t="s">
        <v>353</v>
      </c>
      <c r="C170" s="39" t="s">
        <v>354</v>
      </c>
      <c r="D170" s="62">
        <f>SUMIF($A$2:$A$157,A170,$D$2:$D$157)</f>
        <v>236128389.55000001</v>
      </c>
      <c r="F170" s="62">
        <f>'NBD-MF-01-SOFP'!E131-Borrowings!M17-Borrowings!M18</f>
        <v>236260524.25</v>
      </c>
      <c r="G170" s="62">
        <f t="shared" si="21"/>
        <v>-132134.69999998808</v>
      </c>
    </row>
    <row r="171" spans="1:16" x14ac:dyDescent="0.3">
      <c r="A171" s="39" t="s">
        <v>356</v>
      </c>
      <c r="C171" s="39" t="s">
        <v>357</v>
      </c>
      <c r="D171" s="62">
        <f>SUMIF($A$2:$A$158,A171,$D$2:$D$158)</f>
        <v>4232711784.8700018</v>
      </c>
      <c r="F171" s="62">
        <f>'NBD-MF-01-SOFP'!E132</f>
        <v>4232711784.920002</v>
      </c>
      <c r="G171" s="62">
        <f t="shared" si="21"/>
        <v>-5.0000190734863281E-2</v>
      </c>
    </row>
    <row r="172" spans="1:16" x14ac:dyDescent="0.3">
      <c r="D172" s="144">
        <f>SUM(D166:D171)</f>
        <v>5345931366.7600021</v>
      </c>
      <c r="F172" s="144">
        <f>SUM(F166:F171)</f>
        <v>5346063501.5100021</v>
      </c>
      <c r="G172" s="62">
        <f t="shared" si="21"/>
        <v>-132134.75</v>
      </c>
    </row>
  </sheetData>
  <autoFilter ref="A1:Q157" xr:uid="{00000000-0009-0000-0000-000008000000}"/>
  <conditionalFormatting sqref="A161 B157:B160">
    <cfRule type="duplicateValues" dxfId="5" priority="45"/>
  </conditionalFormatting>
  <conditionalFormatting sqref="B1 B149:B156 B162:B1048576">
    <cfRule type="duplicateValues" dxfId="4" priority="32"/>
  </conditionalFormatting>
  <conditionalFormatting sqref="B1:B156 B162:B1048576">
    <cfRule type="duplicateValues" dxfId="3" priority="6"/>
  </conditionalFormatting>
  <conditionalFormatting sqref="B2:B148">
    <cfRule type="duplicateValues" dxfId="2" priority="27"/>
  </conditionalFormatting>
  <conditionalFormatting sqref="B161">
    <cfRule type="duplicateValues" dxfId="1" priority="47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2"/>
  <dimension ref="A1:G2795"/>
  <sheetViews>
    <sheetView topLeftCell="A1046" zoomScale="85" zoomScaleNormal="85" workbookViewId="0">
      <selection activeCell="D1055" sqref="D1055"/>
    </sheetView>
  </sheetViews>
  <sheetFormatPr defaultColWidth="9.109375" defaultRowHeight="14.4" x14ac:dyDescent="0.3"/>
  <cols>
    <col min="1" max="1" width="27.88671875" style="20" bestFit="1" customWidth="1"/>
    <col min="2" max="2" width="72.6640625" style="20" bestFit="1" customWidth="1"/>
    <col min="3" max="3" width="19.6640625" style="20" bestFit="1" customWidth="1"/>
    <col min="4" max="4" width="10.6640625" style="20" bestFit="1" customWidth="1"/>
    <col min="5" max="5" width="13.33203125" style="20" bestFit="1" customWidth="1"/>
    <col min="6" max="6" width="6.6640625" style="20" bestFit="1" customWidth="1"/>
    <col min="7" max="7" width="12.109375" style="20" bestFit="1" customWidth="1"/>
    <col min="8" max="10" width="9.109375" style="20" customWidth="1"/>
    <col min="11" max="16384" width="9.109375" style="20"/>
  </cols>
  <sheetData>
    <row r="1" spans="1:7" x14ac:dyDescent="0.3">
      <c r="A1" s="20" t="s">
        <v>1089</v>
      </c>
      <c r="B1" s="20" t="s">
        <v>511</v>
      </c>
      <c r="C1" s="21" t="s">
        <v>1090</v>
      </c>
      <c r="D1" s="20" t="s">
        <v>1091</v>
      </c>
      <c r="E1" s="154"/>
      <c r="F1" s="154"/>
      <c r="G1" s="154"/>
    </row>
    <row r="2" spans="1:7" x14ac:dyDescent="0.3">
      <c r="A2" s="172" t="s">
        <v>1092</v>
      </c>
      <c r="B2" s="115" t="s">
        <v>1093</v>
      </c>
      <c r="C2" s="116">
        <v>109531.5</v>
      </c>
      <c r="E2" s="154"/>
      <c r="F2" s="154"/>
      <c r="G2" s="154"/>
    </row>
    <row r="3" spans="1:7" x14ac:dyDescent="0.3">
      <c r="A3" s="172" t="s">
        <v>1094</v>
      </c>
      <c r="B3" s="115" t="s">
        <v>1095</v>
      </c>
      <c r="C3" s="116">
        <v>0</v>
      </c>
      <c r="E3" s="154"/>
      <c r="F3" s="154"/>
      <c r="G3" s="154"/>
    </row>
    <row r="4" spans="1:7" x14ac:dyDescent="0.3">
      <c r="A4" s="172" t="s">
        <v>1096</v>
      </c>
      <c r="B4" s="115" t="s">
        <v>1097</v>
      </c>
      <c r="C4" s="116">
        <v>771775.93</v>
      </c>
      <c r="E4" s="154"/>
      <c r="F4" s="154"/>
      <c r="G4" s="154"/>
    </row>
    <row r="5" spans="1:7" x14ac:dyDescent="0.3">
      <c r="A5" s="172" t="s">
        <v>1098</v>
      </c>
      <c r="B5" s="115" t="s">
        <v>1099</v>
      </c>
      <c r="C5" s="116">
        <v>0</v>
      </c>
      <c r="E5" s="154"/>
      <c r="F5" s="154"/>
      <c r="G5" s="154"/>
    </row>
    <row r="6" spans="1:7" x14ac:dyDescent="0.3">
      <c r="A6" s="172" t="s">
        <v>1100</v>
      </c>
      <c r="B6" s="115" t="s">
        <v>1101</v>
      </c>
      <c r="C6" s="116">
        <v>0</v>
      </c>
      <c r="E6" s="154"/>
      <c r="F6" s="154"/>
      <c r="G6" s="154"/>
    </row>
    <row r="7" spans="1:7" x14ac:dyDescent="0.3">
      <c r="A7" s="172" t="s">
        <v>1102</v>
      </c>
      <c r="B7" s="115" t="s">
        <v>1103</v>
      </c>
      <c r="C7" s="116">
        <v>-102698800.92</v>
      </c>
      <c r="E7" s="154"/>
      <c r="F7" s="154"/>
      <c r="G7" s="154"/>
    </row>
    <row r="8" spans="1:7" x14ac:dyDescent="0.3">
      <c r="A8" s="172" t="s">
        <v>628</v>
      </c>
      <c r="B8" s="115" t="s">
        <v>629</v>
      </c>
      <c r="C8" s="116">
        <v>8290535.9400000004</v>
      </c>
      <c r="E8" s="154"/>
      <c r="F8" s="154"/>
      <c r="G8" s="154"/>
    </row>
    <row r="9" spans="1:7" x14ac:dyDescent="0.3">
      <c r="A9" s="172" t="s">
        <v>578</v>
      </c>
      <c r="B9" s="115" t="s">
        <v>579</v>
      </c>
      <c r="C9" s="116">
        <v>72000881.329999998</v>
      </c>
      <c r="E9" s="154"/>
      <c r="F9" s="154"/>
      <c r="G9" s="154"/>
    </row>
    <row r="10" spans="1:7" x14ac:dyDescent="0.3">
      <c r="A10" s="172" t="s">
        <v>1104</v>
      </c>
      <c r="B10" s="115" t="s">
        <v>1105</v>
      </c>
      <c r="C10" s="116">
        <v>407291.75</v>
      </c>
      <c r="E10" s="154"/>
      <c r="F10" s="154"/>
      <c r="G10" s="154"/>
    </row>
    <row r="11" spans="1:7" x14ac:dyDescent="0.3">
      <c r="A11" s="172" t="s">
        <v>1106</v>
      </c>
      <c r="B11" s="115" t="s">
        <v>1107</v>
      </c>
      <c r="C11" s="116">
        <v>-2514861.12</v>
      </c>
      <c r="E11" s="154"/>
      <c r="F11" s="154"/>
      <c r="G11" s="154"/>
    </row>
    <row r="12" spans="1:7" x14ac:dyDescent="0.3">
      <c r="A12" s="172" t="s">
        <v>1108</v>
      </c>
      <c r="B12" s="115" t="s">
        <v>1109</v>
      </c>
      <c r="C12" s="116">
        <v>-16295653630.33</v>
      </c>
      <c r="E12" s="154"/>
      <c r="F12" s="154"/>
      <c r="G12" s="154"/>
    </row>
    <row r="13" spans="1:7" x14ac:dyDescent="0.3">
      <c r="A13" s="172" t="s">
        <v>1110</v>
      </c>
      <c r="B13" s="115" t="s">
        <v>1111</v>
      </c>
      <c r="C13" s="116">
        <v>168018.68</v>
      </c>
      <c r="E13" s="154"/>
      <c r="F13" s="154"/>
      <c r="G13" s="154"/>
    </row>
    <row r="14" spans="1:7" x14ac:dyDescent="0.3">
      <c r="A14" s="172" t="s">
        <v>1112</v>
      </c>
      <c r="B14" s="115" t="s">
        <v>1113</v>
      </c>
      <c r="C14" s="116">
        <v>19652</v>
      </c>
      <c r="E14" s="154"/>
      <c r="F14" s="154"/>
      <c r="G14" s="154"/>
    </row>
    <row r="15" spans="1:7" x14ac:dyDescent="0.3">
      <c r="A15" s="172" t="s">
        <v>1114</v>
      </c>
      <c r="B15" s="115" t="s">
        <v>1115</v>
      </c>
      <c r="C15" s="116">
        <v>152070</v>
      </c>
      <c r="E15" s="154"/>
      <c r="F15" s="154"/>
      <c r="G15" s="154"/>
    </row>
    <row r="16" spans="1:7" x14ac:dyDescent="0.3">
      <c r="A16" s="172" t="s">
        <v>1116</v>
      </c>
      <c r="B16" s="115" t="s">
        <v>1117</v>
      </c>
      <c r="C16" s="116">
        <v>553017</v>
      </c>
      <c r="E16" s="154"/>
      <c r="F16" s="154"/>
      <c r="G16" s="154"/>
    </row>
    <row r="17" spans="1:7" x14ac:dyDescent="0.3">
      <c r="A17" s="172" t="s">
        <v>1118</v>
      </c>
      <c r="B17" s="115" t="s">
        <v>1119</v>
      </c>
      <c r="C17" s="116">
        <v>0</v>
      </c>
      <c r="E17" s="154"/>
      <c r="F17" s="154"/>
      <c r="G17" s="154"/>
    </row>
    <row r="18" spans="1:7" x14ac:dyDescent="0.3">
      <c r="A18" s="172" t="s">
        <v>1120</v>
      </c>
      <c r="B18" s="115" t="s">
        <v>1121</v>
      </c>
      <c r="C18" s="116">
        <v>620769.5</v>
      </c>
      <c r="E18" s="154"/>
      <c r="F18" s="154"/>
      <c r="G18" s="154"/>
    </row>
    <row r="19" spans="1:7" x14ac:dyDescent="0.3">
      <c r="A19" s="172" t="s">
        <v>1122</v>
      </c>
      <c r="B19" s="115" t="s">
        <v>1123</v>
      </c>
      <c r="C19" s="116">
        <v>145650</v>
      </c>
      <c r="E19" s="154"/>
      <c r="F19" s="154"/>
      <c r="G19" s="154"/>
    </row>
    <row r="20" spans="1:7" x14ac:dyDescent="0.3">
      <c r="A20" s="172" t="s">
        <v>1124</v>
      </c>
      <c r="B20" s="115" t="s">
        <v>1125</v>
      </c>
      <c r="C20" s="116">
        <v>256824.74</v>
      </c>
      <c r="E20" s="154"/>
      <c r="F20" s="154"/>
      <c r="G20" s="154"/>
    </row>
    <row r="21" spans="1:7" x14ac:dyDescent="0.3">
      <c r="A21" s="172" t="s">
        <v>1126</v>
      </c>
      <c r="B21" s="115" t="s">
        <v>1127</v>
      </c>
      <c r="C21" s="116">
        <v>163666.38</v>
      </c>
      <c r="E21" s="154"/>
      <c r="F21" s="154"/>
      <c r="G21" s="154"/>
    </row>
    <row r="22" spans="1:7" x14ac:dyDescent="0.3">
      <c r="A22" s="172" t="s">
        <v>1128</v>
      </c>
      <c r="B22" s="115" t="s">
        <v>1129</v>
      </c>
      <c r="C22" s="116">
        <v>964316.29</v>
      </c>
      <c r="E22" s="154"/>
      <c r="F22" s="154"/>
      <c r="G22" s="154"/>
    </row>
    <row r="23" spans="1:7" x14ac:dyDescent="0.3">
      <c r="A23" s="172" t="s">
        <v>1130</v>
      </c>
      <c r="B23" s="115" t="s">
        <v>1131</v>
      </c>
      <c r="C23" s="116">
        <v>630141.56000000006</v>
      </c>
      <c r="E23" s="154"/>
      <c r="F23" s="154"/>
      <c r="G23" s="154"/>
    </row>
    <row r="24" spans="1:7" x14ac:dyDescent="0.3">
      <c r="A24" s="172" t="s">
        <v>1132</v>
      </c>
      <c r="B24" s="115" t="s">
        <v>1133</v>
      </c>
      <c r="C24" s="116">
        <v>113344.5</v>
      </c>
      <c r="E24" s="154"/>
      <c r="F24" s="154"/>
      <c r="G24" s="154"/>
    </row>
    <row r="25" spans="1:7" x14ac:dyDescent="0.3">
      <c r="A25" s="172" t="s">
        <v>1134</v>
      </c>
      <c r="B25" s="115" t="s">
        <v>1135</v>
      </c>
      <c r="C25" s="116">
        <v>3275601.24</v>
      </c>
      <c r="E25" s="154"/>
      <c r="F25" s="154"/>
      <c r="G25" s="154"/>
    </row>
    <row r="26" spans="1:7" x14ac:dyDescent="0.3">
      <c r="A26" s="172" t="s">
        <v>1136</v>
      </c>
      <c r="B26" s="115" t="s">
        <v>1137</v>
      </c>
      <c r="C26" s="116">
        <v>155283.18</v>
      </c>
      <c r="E26" s="154"/>
      <c r="F26" s="154"/>
      <c r="G26" s="154"/>
    </row>
    <row r="27" spans="1:7" x14ac:dyDescent="0.3">
      <c r="A27" s="172" t="s">
        <v>1138</v>
      </c>
      <c r="B27" s="115" t="s">
        <v>1139</v>
      </c>
      <c r="C27" s="116">
        <v>217953</v>
      </c>
      <c r="E27" s="154"/>
      <c r="F27" s="154"/>
      <c r="G27" s="154"/>
    </row>
    <row r="28" spans="1:7" x14ac:dyDescent="0.3">
      <c r="A28" s="172" t="s">
        <v>1140</v>
      </c>
      <c r="B28" s="115" t="s">
        <v>1141</v>
      </c>
      <c r="C28" s="116">
        <v>1242990.24</v>
      </c>
      <c r="E28" s="154"/>
      <c r="F28" s="154"/>
      <c r="G28" s="154"/>
    </row>
    <row r="29" spans="1:7" x14ac:dyDescent="0.3">
      <c r="A29" s="172" t="s">
        <v>1142</v>
      </c>
      <c r="B29" s="115" t="s">
        <v>1143</v>
      </c>
      <c r="C29" s="116">
        <v>181191.87</v>
      </c>
      <c r="E29" s="154"/>
      <c r="F29" s="154"/>
      <c r="G29" s="154"/>
    </row>
    <row r="30" spans="1:7" x14ac:dyDescent="0.3">
      <c r="A30" s="172" t="s">
        <v>1144</v>
      </c>
      <c r="B30" s="115" t="s">
        <v>1145</v>
      </c>
      <c r="C30" s="116">
        <v>102269.61</v>
      </c>
      <c r="E30" s="154"/>
      <c r="F30" s="154"/>
      <c r="G30" s="154"/>
    </row>
    <row r="31" spans="1:7" x14ac:dyDescent="0.3">
      <c r="A31" s="172" t="s">
        <v>1146</v>
      </c>
      <c r="B31" s="115" t="s">
        <v>1147</v>
      </c>
      <c r="C31" s="116">
        <v>447031.65</v>
      </c>
      <c r="E31" s="154"/>
      <c r="F31" s="154"/>
      <c r="G31" s="154"/>
    </row>
    <row r="32" spans="1:7" x14ac:dyDescent="0.3">
      <c r="A32" s="172" t="s">
        <v>1148</v>
      </c>
      <c r="B32" s="115" t="s">
        <v>1149</v>
      </c>
      <c r="C32" s="116">
        <v>0</v>
      </c>
      <c r="E32" s="154"/>
      <c r="F32" s="154"/>
      <c r="G32" s="154"/>
    </row>
    <row r="33" spans="1:7" x14ac:dyDescent="0.3">
      <c r="A33" s="172" t="s">
        <v>1150</v>
      </c>
      <c r="B33" s="115" t="s">
        <v>1151</v>
      </c>
      <c r="C33" s="116">
        <v>132274.79999999999</v>
      </c>
      <c r="E33" s="154"/>
      <c r="F33" s="154"/>
      <c r="G33" s="154"/>
    </row>
    <row r="34" spans="1:7" x14ac:dyDescent="0.3">
      <c r="A34" s="172" t="s">
        <v>1152</v>
      </c>
      <c r="B34" s="115" t="s">
        <v>1153</v>
      </c>
      <c r="C34" s="116">
        <v>101700.5</v>
      </c>
      <c r="E34" s="154"/>
      <c r="F34" s="154"/>
      <c r="G34" s="154"/>
    </row>
    <row r="35" spans="1:7" x14ac:dyDescent="0.3">
      <c r="A35" s="172" t="s">
        <v>1154</v>
      </c>
      <c r="B35" s="115" t="s">
        <v>1155</v>
      </c>
      <c r="C35" s="116">
        <v>0</v>
      </c>
      <c r="E35" s="154"/>
      <c r="F35" s="154"/>
      <c r="G35" s="154"/>
    </row>
    <row r="36" spans="1:7" x14ac:dyDescent="0.3">
      <c r="A36" s="172" t="s">
        <v>1156</v>
      </c>
      <c r="B36" s="115" t="s">
        <v>1157</v>
      </c>
      <c r="C36" s="116">
        <v>0</v>
      </c>
      <c r="E36" s="154"/>
      <c r="F36" s="154"/>
      <c r="G36" s="154"/>
    </row>
    <row r="37" spans="1:7" x14ac:dyDescent="0.3">
      <c r="A37" s="172" t="s">
        <v>734</v>
      </c>
      <c r="B37" s="115" t="s">
        <v>735</v>
      </c>
      <c r="C37" s="116">
        <v>216539585.81</v>
      </c>
      <c r="E37" s="154"/>
      <c r="F37" s="154"/>
      <c r="G37" s="154"/>
    </row>
    <row r="38" spans="1:7" x14ac:dyDescent="0.3">
      <c r="A38" s="172" t="s">
        <v>1044</v>
      </c>
      <c r="B38" s="115" t="s">
        <v>1045</v>
      </c>
      <c r="C38" s="116">
        <v>-180403928.47</v>
      </c>
      <c r="E38" s="154"/>
      <c r="F38" s="154"/>
      <c r="G38" s="154"/>
    </row>
    <row r="39" spans="1:7" x14ac:dyDescent="0.3">
      <c r="A39" s="172" t="s">
        <v>1158</v>
      </c>
      <c r="B39" s="115" t="s">
        <v>1159</v>
      </c>
      <c r="C39" s="116">
        <v>146640.03</v>
      </c>
      <c r="E39" s="154"/>
      <c r="F39" s="154"/>
      <c r="G39" s="154"/>
    </row>
    <row r="40" spans="1:7" x14ac:dyDescent="0.3">
      <c r="A40" s="172" t="s">
        <v>1160</v>
      </c>
      <c r="B40" s="115" t="s">
        <v>1161</v>
      </c>
      <c r="C40" s="116">
        <v>126202.9</v>
      </c>
      <c r="E40" s="154"/>
      <c r="F40" s="154"/>
      <c r="G40" s="154"/>
    </row>
    <row r="41" spans="1:7" x14ac:dyDescent="0.3">
      <c r="A41" s="172" t="s">
        <v>1162</v>
      </c>
      <c r="B41" s="115" t="s">
        <v>1163</v>
      </c>
      <c r="C41" s="116">
        <v>56795</v>
      </c>
      <c r="E41" s="154"/>
      <c r="F41" s="154"/>
      <c r="G41" s="154"/>
    </row>
    <row r="42" spans="1:7" x14ac:dyDescent="0.3">
      <c r="A42" s="172" t="s">
        <v>1164</v>
      </c>
      <c r="B42" s="115" t="s">
        <v>1165</v>
      </c>
      <c r="C42" s="116">
        <v>304567.15000000002</v>
      </c>
      <c r="E42" s="154"/>
      <c r="F42" s="154"/>
      <c r="G42" s="154"/>
    </row>
    <row r="43" spans="1:7" x14ac:dyDescent="0.3">
      <c r="A43" s="172" t="s">
        <v>1166</v>
      </c>
      <c r="B43" s="115" t="s">
        <v>1167</v>
      </c>
      <c r="C43" s="116">
        <v>3300</v>
      </c>
      <c r="E43" s="154"/>
      <c r="F43" s="154"/>
      <c r="G43" s="154"/>
    </row>
    <row r="44" spans="1:7" x14ac:dyDescent="0.3">
      <c r="A44" s="172" t="s">
        <v>704</v>
      </c>
      <c r="B44" s="115" t="s">
        <v>705</v>
      </c>
      <c r="C44" s="116">
        <v>-0.05</v>
      </c>
      <c r="E44" s="154"/>
      <c r="F44" s="154"/>
      <c r="G44" s="154"/>
    </row>
    <row r="45" spans="1:7" x14ac:dyDescent="0.3">
      <c r="A45" s="172" t="s">
        <v>1168</v>
      </c>
      <c r="B45" s="115" t="s">
        <v>1169</v>
      </c>
      <c r="C45" s="116">
        <v>0</v>
      </c>
      <c r="E45" s="154"/>
      <c r="F45" s="154"/>
      <c r="G45" s="154"/>
    </row>
    <row r="46" spans="1:7" x14ac:dyDescent="0.3">
      <c r="A46" s="172" t="s">
        <v>1170</v>
      </c>
      <c r="B46" s="115" t="s">
        <v>1171</v>
      </c>
      <c r="C46" s="116">
        <v>92400</v>
      </c>
      <c r="E46" s="154"/>
      <c r="F46" s="154"/>
      <c r="G46" s="154"/>
    </row>
    <row r="47" spans="1:7" x14ac:dyDescent="0.3">
      <c r="A47" s="172" t="s">
        <v>1172</v>
      </c>
      <c r="B47" s="115" t="s">
        <v>1173</v>
      </c>
      <c r="C47" s="116">
        <v>97139.25</v>
      </c>
      <c r="E47" s="154"/>
      <c r="F47" s="154"/>
      <c r="G47" s="154"/>
    </row>
    <row r="48" spans="1:7" x14ac:dyDescent="0.3">
      <c r="A48" s="172" t="s">
        <v>1174</v>
      </c>
      <c r="B48" s="115" t="s">
        <v>1175</v>
      </c>
      <c r="C48" s="116">
        <v>4670.46</v>
      </c>
      <c r="E48" s="154"/>
      <c r="F48" s="154"/>
      <c r="G48" s="154"/>
    </row>
    <row r="49" spans="1:7" x14ac:dyDescent="0.3">
      <c r="A49" s="172" t="s">
        <v>1176</v>
      </c>
      <c r="B49" s="115" t="s">
        <v>1177</v>
      </c>
      <c r="C49" s="116">
        <v>5000</v>
      </c>
      <c r="E49" s="154"/>
      <c r="F49" s="154"/>
      <c r="G49" s="154"/>
    </row>
    <row r="50" spans="1:7" x14ac:dyDescent="0.3">
      <c r="A50" s="172" t="s">
        <v>1178</v>
      </c>
      <c r="B50" s="115" t="s">
        <v>1179</v>
      </c>
      <c r="C50" s="116">
        <v>0</v>
      </c>
      <c r="E50" s="154"/>
      <c r="F50" s="154"/>
      <c r="G50" s="154"/>
    </row>
    <row r="51" spans="1:7" x14ac:dyDescent="0.3">
      <c r="A51" s="172" t="s">
        <v>1180</v>
      </c>
      <c r="B51" s="115" t="s">
        <v>1181</v>
      </c>
      <c r="C51" s="116">
        <v>0</v>
      </c>
      <c r="E51" s="154"/>
      <c r="F51" s="154"/>
      <c r="G51" s="154"/>
    </row>
    <row r="52" spans="1:7" x14ac:dyDescent="0.3">
      <c r="A52" s="172" t="s">
        <v>1182</v>
      </c>
      <c r="B52" s="115" t="s">
        <v>1183</v>
      </c>
      <c r="C52" s="116">
        <v>149024.75</v>
      </c>
      <c r="E52" s="154"/>
      <c r="F52" s="154"/>
      <c r="G52" s="154"/>
    </row>
    <row r="53" spans="1:7" x14ac:dyDescent="0.3">
      <c r="A53" s="172" t="s">
        <v>1184</v>
      </c>
      <c r="B53" s="115" t="s">
        <v>1185</v>
      </c>
      <c r="C53" s="116">
        <v>31032.22</v>
      </c>
      <c r="E53" s="154"/>
      <c r="F53" s="154"/>
      <c r="G53" s="154"/>
    </row>
    <row r="54" spans="1:7" x14ac:dyDescent="0.3">
      <c r="A54" s="172" t="s">
        <v>1186</v>
      </c>
      <c r="B54" s="115" t="s">
        <v>1187</v>
      </c>
      <c r="C54" s="116">
        <v>5000</v>
      </c>
      <c r="E54" s="154"/>
      <c r="F54" s="154"/>
      <c r="G54" s="154"/>
    </row>
    <row r="55" spans="1:7" x14ac:dyDescent="0.3">
      <c r="A55" s="172" t="s">
        <v>1188</v>
      </c>
      <c r="B55" s="115" t="s">
        <v>1189</v>
      </c>
      <c r="C55" s="116">
        <v>0</v>
      </c>
      <c r="E55" s="154"/>
      <c r="F55" s="154"/>
      <c r="G55" s="154"/>
    </row>
    <row r="56" spans="1:7" x14ac:dyDescent="0.3">
      <c r="A56" s="172" t="s">
        <v>1190</v>
      </c>
      <c r="B56" s="115" t="s">
        <v>1191</v>
      </c>
      <c r="C56" s="116">
        <v>52601</v>
      </c>
      <c r="E56" s="154"/>
      <c r="F56" s="154"/>
      <c r="G56" s="154"/>
    </row>
    <row r="57" spans="1:7" x14ac:dyDescent="0.3">
      <c r="A57" s="172" t="s">
        <v>1192</v>
      </c>
      <c r="B57" s="115" t="s">
        <v>1193</v>
      </c>
      <c r="C57" s="116">
        <v>0</v>
      </c>
      <c r="E57" s="154"/>
      <c r="F57" s="154"/>
      <c r="G57" s="154"/>
    </row>
    <row r="58" spans="1:7" x14ac:dyDescent="0.3">
      <c r="A58" s="172" t="s">
        <v>1194</v>
      </c>
      <c r="B58" s="115" t="s">
        <v>1195</v>
      </c>
      <c r="C58" s="116">
        <v>0</v>
      </c>
      <c r="E58" s="154"/>
      <c r="F58" s="154"/>
      <c r="G58" s="154"/>
    </row>
    <row r="59" spans="1:7" x14ac:dyDescent="0.3">
      <c r="A59" s="172" t="s">
        <v>975</v>
      </c>
      <c r="B59" s="115" t="s">
        <v>976</v>
      </c>
      <c r="C59" s="116">
        <v>0</v>
      </c>
      <c r="E59" s="154"/>
      <c r="F59" s="154"/>
      <c r="G59" s="154"/>
    </row>
    <row r="60" spans="1:7" x14ac:dyDescent="0.3">
      <c r="A60" s="172" t="s">
        <v>1196</v>
      </c>
      <c r="B60" s="115" t="s">
        <v>1197</v>
      </c>
      <c r="C60" s="116">
        <v>21642.36</v>
      </c>
      <c r="E60" s="154"/>
      <c r="F60" s="154"/>
      <c r="G60" s="154"/>
    </row>
    <row r="61" spans="1:7" x14ac:dyDescent="0.3">
      <c r="A61" s="172" t="s">
        <v>1198</v>
      </c>
      <c r="B61" s="115" t="s">
        <v>1199</v>
      </c>
      <c r="C61" s="116">
        <v>0</v>
      </c>
      <c r="E61" s="154"/>
      <c r="F61" s="154"/>
      <c r="G61" s="154"/>
    </row>
    <row r="62" spans="1:7" x14ac:dyDescent="0.3">
      <c r="A62" s="172" t="s">
        <v>1200</v>
      </c>
      <c r="B62" s="115" t="s">
        <v>1201</v>
      </c>
      <c r="C62" s="116">
        <v>0</v>
      </c>
      <c r="E62" s="154"/>
      <c r="F62" s="154"/>
      <c r="G62" s="154"/>
    </row>
    <row r="63" spans="1:7" x14ac:dyDescent="0.3">
      <c r="A63" s="172" t="s">
        <v>977</v>
      </c>
      <c r="B63" s="115" t="s">
        <v>978</v>
      </c>
      <c r="C63" s="116">
        <v>0</v>
      </c>
      <c r="E63" s="154"/>
      <c r="F63" s="154"/>
      <c r="G63" s="154"/>
    </row>
    <row r="64" spans="1:7" x14ac:dyDescent="0.3">
      <c r="A64" s="172" t="s">
        <v>1202</v>
      </c>
      <c r="B64" s="115" t="s">
        <v>1203</v>
      </c>
      <c r="C64" s="116">
        <v>0</v>
      </c>
      <c r="E64" s="154"/>
      <c r="F64" s="154"/>
      <c r="G64" s="154"/>
    </row>
    <row r="65" spans="1:7" x14ac:dyDescent="0.3">
      <c r="A65" s="172" t="s">
        <v>1204</v>
      </c>
      <c r="B65" s="115" t="s">
        <v>1205</v>
      </c>
      <c r="C65" s="116">
        <v>0</v>
      </c>
      <c r="E65" s="154"/>
      <c r="F65" s="154"/>
      <c r="G65" s="154"/>
    </row>
    <row r="66" spans="1:7" x14ac:dyDescent="0.3">
      <c r="A66" s="172" t="s">
        <v>1206</v>
      </c>
      <c r="B66" s="115" t="s">
        <v>1207</v>
      </c>
      <c r="C66" s="116">
        <v>1973</v>
      </c>
      <c r="E66" s="154"/>
      <c r="F66" s="154"/>
      <c r="G66" s="154"/>
    </row>
    <row r="67" spans="1:7" x14ac:dyDescent="0.3">
      <c r="A67" s="172" t="s">
        <v>668</v>
      </c>
      <c r="B67" s="115" t="s">
        <v>669</v>
      </c>
      <c r="C67" s="116">
        <v>0</v>
      </c>
      <c r="E67" s="154"/>
      <c r="F67" s="154"/>
      <c r="G67" s="154"/>
    </row>
    <row r="68" spans="1:7" x14ac:dyDescent="0.3">
      <c r="A68" s="172" t="s">
        <v>1208</v>
      </c>
      <c r="B68" s="115" t="s">
        <v>1209</v>
      </c>
      <c r="C68" s="116">
        <v>0</v>
      </c>
      <c r="E68" s="154"/>
      <c r="F68" s="154"/>
      <c r="G68" s="154"/>
    </row>
    <row r="69" spans="1:7" x14ac:dyDescent="0.3">
      <c r="A69" s="172" t="s">
        <v>1210</v>
      </c>
      <c r="B69" s="115" t="s">
        <v>1211</v>
      </c>
      <c r="C69" s="116">
        <v>0</v>
      </c>
      <c r="E69" s="154"/>
      <c r="F69" s="154"/>
      <c r="G69" s="154"/>
    </row>
    <row r="70" spans="1:7" x14ac:dyDescent="0.3">
      <c r="A70" s="172" t="s">
        <v>1060</v>
      </c>
      <c r="B70" s="115" t="s">
        <v>1061</v>
      </c>
      <c r="C70" s="116">
        <v>0</v>
      </c>
      <c r="E70" s="154"/>
      <c r="F70" s="154"/>
      <c r="G70" s="154"/>
    </row>
    <row r="71" spans="1:7" x14ac:dyDescent="0.3">
      <c r="A71" s="172" t="s">
        <v>1212</v>
      </c>
      <c r="B71" s="115" t="s">
        <v>1213</v>
      </c>
      <c r="C71" s="116">
        <v>0</v>
      </c>
      <c r="E71" s="154"/>
      <c r="F71" s="154"/>
      <c r="G71" s="154"/>
    </row>
    <row r="72" spans="1:7" x14ac:dyDescent="0.3">
      <c r="A72" s="172" t="s">
        <v>1214</v>
      </c>
      <c r="B72" s="115" t="s">
        <v>1215</v>
      </c>
      <c r="C72" s="116">
        <v>0</v>
      </c>
      <c r="E72" s="154"/>
      <c r="F72" s="154"/>
      <c r="G72" s="154"/>
    </row>
    <row r="73" spans="1:7" x14ac:dyDescent="0.3">
      <c r="A73" s="172" t="s">
        <v>1216</v>
      </c>
      <c r="B73" s="115" t="s">
        <v>1217</v>
      </c>
      <c r="C73" s="116">
        <v>0</v>
      </c>
      <c r="E73" s="154"/>
      <c r="F73" s="154"/>
      <c r="G73" s="154"/>
    </row>
    <row r="74" spans="1:7" x14ac:dyDescent="0.3">
      <c r="A74" s="172" t="s">
        <v>1218</v>
      </c>
      <c r="B74" s="115" t="s">
        <v>1219</v>
      </c>
      <c r="C74" s="116">
        <v>0</v>
      </c>
      <c r="E74" s="154"/>
      <c r="F74" s="154"/>
      <c r="G74" s="154"/>
    </row>
    <row r="75" spans="1:7" x14ac:dyDescent="0.3">
      <c r="A75" s="172" t="s">
        <v>1220</v>
      </c>
      <c r="B75" s="115" t="s">
        <v>1221</v>
      </c>
      <c r="C75" s="116">
        <v>0</v>
      </c>
      <c r="E75" s="154"/>
      <c r="F75" s="154"/>
      <c r="G75" s="154"/>
    </row>
    <row r="76" spans="1:7" x14ac:dyDescent="0.3">
      <c r="A76" s="172" t="s">
        <v>1222</v>
      </c>
      <c r="B76" s="115" t="s">
        <v>1223</v>
      </c>
      <c r="C76" s="116">
        <v>0</v>
      </c>
      <c r="E76" s="154"/>
      <c r="F76" s="154"/>
      <c r="G76" s="154"/>
    </row>
    <row r="77" spans="1:7" x14ac:dyDescent="0.3">
      <c r="A77" s="172" t="s">
        <v>1224</v>
      </c>
      <c r="B77" s="115" t="s">
        <v>1225</v>
      </c>
      <c r="C77" s="116">
        <v>0</v>
      </c>
      <c r="E77" s="154"/>
      <c r="F77" s="154"/>
      <c r="G77" s="154"/>
    </row>
    <row r="78" spans="1:7" x14ac:dyDescent="0.3">
      <c r="A78" s="172" t="s">
        <v>1226</v>
      </c>
      <c r="B78" s="115" t="s">
        <v>1227</v>
      </c>
      <c r="C78" s="116">
        <v>0</v>
      </c>
      <c r="E78" s="154"/>
      <c r="F78" s="154"/>
      <c r="G78" s="154"/>
    </row>
    <row r="79" spans="1:7" x14ac:dyDescent="0.3">
      <c r="A79" s="172" t="s">
        <v>1228</v>
      </c>
      <c r="B79" s="115" t="s">
        <v>1229</v>
      </c>
      <c r="C79" s="116">
        <v>0</v>
      </c>
      <c r="E79" s="154"/>
      <c r="F79" s="154"/>
      <c r="G79" s="154"/>
    </row>
    <row r="80" spans="1:7" x14ac:dyDescent="0.3">
      <c r="A80" s="172" t="s">
        <v>1230</v>
      </c>
      <c r="B80" s="115" t="s">
        <v>1231</v>
      </c>
      <c r="C80" s="116">
        <v>0</v>
      </c>
      <c r="E80" s="154"/>
      <c r="F80" s="154"/>
      <c r="G80" s="154"/>
    </row>
    <row r="81" spans="1:7" x14ac:dyDescent="0.3">
      <c r="A81" s="172" t="s">
        <v>1232</v>
      </c>
      <c r="B81" s="115" t="s">
        <v>1233</v>
      </c>
      <c r="C81" s="116">
        <v>0</v>
      </c>
      <c r="E81" s="154"/>
      <c r="F81" s="154"/>
      <c r="G81" s="154"/>
    </row>
    <row r="82" spans="1:7" x14ac:dyDescent="0.3">
      <c r="A82" s="172" t="s">
        <v>1234</v>
      </c>
      <c r="B82" s="115" t="s">
        <v>1235</v>
      </c>
      <c r="C82" s="116">
        <v>0</v>
      </c>
      <c r="E82" s="154"/>
      <c r="F82" s="154"/>
      <c r="G82" s="154"/>
    </row>
    <row r="83" spans="1:7" x14ac:dyDescent="0.3">
      <c r="A83" s="172" t="s">
        <v>1236</v>
      </c>
      <c r="B83" s="115" t="s">
        <v>1237</v>
      </c>
      <c r="C83" s="116">
        <v>0</v>
      </c>
      <c r="E83" s="154"/>
      <c r="F83" s="154"/>
      <c r="G83" s="154"/>
    </row>
    <row r="84" spans="1:7" x14ac:dyDescent="0.3">
      <c r="A84" s="172" t="s">
        <v>1238</v>
      </c>
      <c r="B84" s="115" t="s">
        <v>1239</v>
      </c>
      <c r="C84" s="116">
        <v>0</v>
      </c>
      <c r="E84" s="154"/>
      <c r="F84" s="154"/>
      <c r="G84" s="154"/>
    </row>
    <row r="85" spans="1:7" x14ac:dyDescent="0.3">
      <c r="A85" s="172" t="s">
        <v>1240</v>
      </c>
      <c r="B85" s="115" t="s">
        <v>1241</v>
      </c>
      <c r="C85" s="116">
        <v>0</v>
      </c>
      <c r="E85" s="154"/>
      <c r="F85" s="154"/>
      <c r="G85" s="154"/>
    </row>
    <row r="86" spans="1:7" x14ac:dyDescent="0.3">
      <c r="A86" s="172" t="s">
        <v>1242</v>
      </c>
      <c r="B86" s="115" t="s">
        <v>1243</v>
      </c>
      <c r="C86" s="116">
        <v>0</v>
      </c>
      <c r="E86" s="154"/>
      <c r="F86" s="154"/>
      <c r="G86" s="154"/>
    </row>
    <row r="87" spans="1:7" x14ac:dyDescent="0.3">
      <c r="A87" s="172" t="s">
        <v>1244</v>
      </c>
      <c r="B87" s="115" t="s">
        <v>1245</v>
      </c>
      <c r="C87" s="116">
        <v>0</v>
      </c>
      <c r="E87" s="154"/>
      <c r="F87" s="154"/>
      <c r="G87" s="154"/>
    </row>
    <row r="88" spans="1:7" x14ac:dyDescent="0.3">
      <c r="A88" s="172" t="s">
        <v>1246</v>
      </c>
      <c r="B88" s="115" t="s">
        <v>1247</v>
      </c>
      <c r="C88" s="116">
        <v>0</v>
      </c>
      <c r="E88" s="154"/>
      <c r="F88" s="154"/>
      <c r="G88" s="154"/>
    </row>
    <row r="89" spans="1:7" x14ac:dyDescent="0.3">
      <c r="A89" s="172" t="s">
        <v>1248</v>
      </c>
      <c r="B89" s="115" t="s">
        <v>1249</v>
      </c>
      <c r="C89" s="116">
        <v>0</v>
      </c>
      <c r="E89" s="154"/>
      <c r="F89" s="154"/>
      <c r="G89" s="154"/>
    </row>
    <row r="90" spans="1:7" x14ac:dyDescent="0.3">
      <c r="A90" s="172" t="s">
        <v>1250</v>
      </c>
      <c r="B90" s="115" t="s">
        <v>1251</v>
      </c>
      <c r="C90" s="116">
        <v>0</v>
      </c>
      <c r="E90" s="154"/>
      <c r="F90" s="154"/>
      <c r="G90" s="154"/>
    </row>
    <row r="91" spans="1:7" x14ac:dyDescent="0.3">
      <c r="A91" s="172" t="s">
        <v>1252</v>
      </c>
      <c r="B91" s="115" t="s">
        <v>1253</v>
      </c>
      <c r="C91" s="116">
        <v>0</v>
      </c>
      <c r="E91" s="154"/>
      <c r="F91" s="154"/>
      <c r="G91" s="154"/>
    </row>
    <row r="92" spans="1:7" x14ac:dyDescent="0.3">
      <c r="A92" s="172" t="s">
        <v>1254</v>
      </c>
      <c r="B92" s="115" t="s">
        <v>1255</v>
      </c>
      <c r="C92" s="116">
        <v>0</v>
      </c>
      <c r="E92" s="154"/>
      <c r="F92" s="154"/>
      <c r="G92" s="154"/>
    </row>
    <row r="93" spans="1:7" x14ac:dyDescent="0.3">
      <c r="A93" s="172" t="s">
        <v>1256</v>
      </c>
      <c r="B93" s="115" t="s">
        <v>1257</v>
      </c>
      <c r="C93" s="116">
        <v>0</v>
      </c>
      <c r="E93" s="154"/>
      <c r="F93" s="154"/>
      <c r="G93" s="154"/>
    </row>
    <row r="94" spans="1:7" x14ac:dyDescent="0.3">
      <c r="A94" s="172" t="s">
        <v>1258</v>
      </c>
      <c r="B94" s="115" t="s">
        <v>1259</v>
      </c>
      <c r="C94" s="116">
        <v>8855</v>
      </c>
      <c r="E94" s="154"/>
      <c r="F94" s="154"/>
      <c r="G94" s="154"/>
    </row>
    <row r="95" spans="1:7" x14ac:dyDescent="0.3">
      <c r="A95" s="172" t="s">
        <v>1073</v>
      </c>
      <c r="B95" s="115" t="s">
        <v>1074</v>
      </c>
      <c r="C95" s="116">
        <v>-14198305.189999999</v>
      </c>
      <c r="E95" s="154"/>
      <c r="F95" s="154"/>
      <c r="G95" s="154"/>
    </row>
    <row r="96" spans="1:7" x14ac:dyDescent="0.3">
      <c r="A96" s="172" t="s">
        <v>1260</v>
      </c>
      <c r="B96" s="115" t="s">
        <v>1261</v>
      </c>
      <c r="C96" s="116">
        <v>-84577492.409999996</v>
      </c>
      <c r="E96" s="154"/>
      <c r="F96" s="154"/>
      <c r="G96" s="154"/>
    </row>
    <row r="97" spans="1:7" x14ac:dyDescent="0.3">
      <c r="A97" s="172" t="s">
        <v>1262</v>
      </c>
      <c r="B97" s="115" t="s">
        <v>1263</v>
      </c>
      <c r="C97" s="116">
        <v>4991575</v>
      </c>
      <c r="E97" s="154"/>
      <c r="F97" s="154"/>
      <c r="G97" s="154"/>
    </row>
    <row r="98" spans="1:7" x14ac:dyDescent="0.3">
      <c r="A98" s="172" t="s">
        <v>1264</v>
      </c>
      <c r="B98" s="115" t="s">
        <v>1265</v>
      </c>
      <c r="C98" s="116">
        <v>4611961.7</v>
      </c>
      <c r="E98" s="154"/>
      <c r="F98" s="154"/>
      <c r="G98" s="154"/>
    </row>
    <row r="99" spans="1:7" x14ac:dyDescent="0.3">
      <c r="A99" s="172" t="s">
        <v>1266</v>
      </c>
      <c r="B99" s="115" t="s">
        <v>1267</v>
      </c>
      <c r="C99" s="116">
        <v>0.36</v>
      </c>
      <c r="E99" s="154"/>
      <c r="F99" s="154"/>
      <c r="G99" s="154"/>
    </row>
    <row r="100" spans="1:7" x14ac:dyDescent="0.3">
      <c r="A100" s="172" t="s">
        <v>1268</v>
      </c>
      <c r="B100" s="115" t="s">
        <v>1269</v>
      </c>
      <c r="C100" s="116">
        <v>241928</v>
      </c>
      <c r="E100" s="154"/>
      <c r="F100" s="154"/>
      <c r="G100" s="154"/>
    </row>
    <row r="101" spans="1:7" x14ac:dyDescent="0.3">
      <c r="A101" s="172" t="s">
        <v>1270</v>
      </c>
      <c r="B101" s="115" t="s">
        <v>1271</v>
      </c>
      <c r="C101" s="116">
        <v>392305.64</v>
      </c>
      <c r="E101" s="154"/>
      <c r="F101" s="154"/>
      <c r="G101" s="154"/>
    </row>
    <row r="102" spans="1:7" x14ac:dyDescent="0.3">
      <c r="A102" s="172" t="s">
        <v>1272</v>
      </c>
      <c r="B102" s="115" t="s">
        <v>1273</v>
      </c>
      <c r="C102" s="116">
        <v>2898700</v>
      </c>
      <c r="E102" s="154"/>
      <c r="F102" s="154"/>
      <c r="G102" s="154"/>
    </row>
    <row r="103" spans="1:7" x14ac:dyDescent="0.3">
      <c r="A103" s="172" t="s">
        <v>1274</v>
      </c>
      <c r="B103" s="115" t="s">
        <v>1275</v>
      </c>
      <c r="C103" s="116">
        <v>467091.19</v>
      </c>
      <c r="E103" s="154"/>
      <c r="F103" s="154"/>
      <c r="G103" s="154"/>
    </row>
    <row r="104" spans="1:7" x14ac:dyDescent="0.3">
      <c r="A104" s="172" t="s">
        <v>1276</v>
      </c>
      <c r="B104" s="115" t="s">
        <v>1277</v>
      </c>
      <c r="C104" s="116">
        <v>0</v>
      </c>
      <c r="E104" s="154"/>
      <c r="F104" s="154"/>
      <c r="G104" s="154"/>
    </row>
    <row r="105" spans="1:7" x14ac:dyDescent="0.3">
      <c r="A105" s="172" t="s">
        <v>1278</v>
      </c>
      <c r="B105" s="115" t="s">
        <v>1279</v>
      </c>
      <c r="C105" s="116">
        <v>-4006806.4</v>
      </c>
      <c r="E105" s="154"/>
      <c r="F105" s="154"/>
      <c r="G105" s="154"/>
    </row>
    <row r="106" spans="1:7" x14ac:dyDescent="0.3">
      <c r="A106" s="172" t="s">
        <v>1280</v>
      </c>
      <c r="B106" s="115" t="s">
        <v>1281</v>
      </c>
      <c r="C106" s="116">
        <v>25350</v>
      </c>
      <c r="E106" s="154"/>
      <c r="F106" s="154"/>
      <c r="G106" s="154"/>
    </row>
    <row r="107" spans="1:7" x14ac:dyDescent="0.3">
      <c r="A107" s="172" t="s">
        <v>1282</v>
      </c>
      <c r="B107" s="115" t="s">
        <v>1283</v>
      </c>
      <c r="C107" s="116">
        <v>32545</v>
      </c>
      <c r="E107" s="154"/>
      <c r="F107" s="154"/>
      <c r="G107" s="154"/>
    </row>
    <row r="108" spans="1:7" x14ac:dyDescent="0.3">
      <c r="A108" s="172" t="s">
        <v>1284</v>
      </c>
      <c r="B108" s="115" t="s">
        <v>1285</v>
      </c>
      <c r="C108" s="116">
        <v>1150</v>
      </c>
      <c r="E108" s="154"/>
      <c r="F108" s="154"/>
      <c r="G108" s="154"/>
    </row>
    <row r="109" spans="1:7" x14ac:dyDescent="0.3">
      <c r="A109" s="172" t="s">
        <v>1286</v>
      </c>
      <c r="B109" s="115" t="s">
        <v>1287</v>
      </c>
      <c r="C109" s="116">
        <v>224243</v>
      </c>
      <c r="E109" s="154"/>
      <c r="F109" s="154"/>
      <c r="G109" s="154"/>
    </row>
    <row r="110" spans="1:7" x14ac:dyDescent="0.3">
      <c r="A110" s="172" t="s">
        <v>1288</v>
      </c>
      <c r="B110" s="115" t="s">
        <v>1289</v>
      </c>
      <c r="C110" s="116">
        <v>152737.26999999999</v>
      </c>
      <c r="E110" s="154"/>
      <c r="F110" s="154"/>
      <c r="G110" s="154"/>
    </row>
    <row r="111" spans="1:7" x14ac:dyDescent="0.3">
      <c r="A111" s="172" t="s">
        <v>1290</v>
      </c>
      <c r="B111" s="115" t="s">
        <v>1291</v>
      </c>
      <c r="C111" s="116">
        <v>817291</v>
      </c>
      <c r="E111" s="154"/>
      <c r="F111" s="154"/>
      <c r="G111" s="154"/>
    </row>
    <row r="112" spans="1:7" x14ac:dyDescent="0.3">
      <c r="A112" s="172" t="s">
        <v>1292</v>
      </c>
      <c r="B112" s="115" t="s">
        <v>1293</v>
      </c>
      <c r="C112" s="116">
        <v>99876</v>
      </c>
      <c r="E112" s="154"/>
      <c r="F112" s="154"/>
      <c r="G112" s="154"/>
    </row>
    <row r="113" spans="1:7" x14ac:dyDescent="0.3">
      <c r="A113" s="172" t="s">
        <v>1294</v>
      </c>
      <c r="B113" s="115" t="s">
        <v>1295</v>
      </c>
      <c r="C113" s="116">
        <v>200445</v>
      </c>
      <c r="E113" s="154"/>
      <c r="F113" s="154"/>
      <c r="G113" s="154"/>
    </row>
    <row r="114" spans="1:7" x14ac:dyDescent="0.3">
      <c r="A114" s="172" t="s">
        <v>702</v>
      </c>
      <c r="B114" s="115" t="s">
        <v>703</v>
      </c>
      <c r="C114" s="116">
        <v>0</v>
      </c>
      <c r="E114" s="154"/>
      <c r="F114" s="154"/>
      <c r="G114" s="154"/>
    </row>
    <row r="115" spans="1:7" x14ac:dyDescent="0.3">
      <c r="A115" s="172" t="s">
        <v>1296</v>
      </c>
      <c r="B115" s="115" t="s">
        <v>1297</v>
      </c>
      <c r="C115" s="116">
        <v>3931624.34</v>
      </c>
      <c r="E115" s="154"/>
      <c r="F115" s="154"/>
      <c r="G115" s="154"/>
    </row>
    <row r="116" spans="1:7" x14ac:dyDescent="0.3">
      <c r="A116" s="172" t="s">
        <v>1298</v>
      </c>
      <c r="B116" s="115" t="s">
        <v>1299</v>
      </c>
      <c r="C116" s="116">
        <v>49305</v>
      </c>
      <c r="E116" s="154"/>
      <c r="F116" s="154"/>
      <c r="G116" s="154"/>
    </row>
    <row r="117" spans="1:7" x14ac:dyDescent="0.3">
      <c r="A117" s="172" t="s">
        <v>1300</v>
      </c>
      <c r="B117" s="115" t="s">
        <v>1301</v>
      </c>
      <c r="C117" s="116">
        <v>90900</v>
      </c>
      <c r="E117" s="154"/>
      <c r="F117" s="154"/>
      <c r="G117" s="154"/>
    </row>
    <row r="118" spans="1:7" x14ac:dyDescent="0.3">
      <c r="A118" s="172" t="s">
        <v>903</v>
      </c>
      <c r="B118" s="115" t="s">
        <v>1302</v>
      </c>
      <c r="C118" s="116">
        <v>-5931715.9100000001</v>
      </c>
      <c r="E118" s="154"/>
      <c r="F118" s="154"/>
      <c r="G118" s="154"/>
    </row>
    <row r="119" spans="1:7" x14ac:dyDescent="0.3">
      <c r="A119" s="172" t="s">
        <v>1303</v>
      </c>
      <c r="B119" s="115" t="s">
        <v>1304</v>
      </c>
      <c r="C119" s="116">
        <v>187405.14</v>
      </c>
      <c r="E119" s="154"/>
      <c r="F119" s="154"/>
      <c r="G119" s="154"/>
    </row>
    <row r="120" spans="1:7" x14ac:dyDescent="0.3">
      <c r="A120" s="172" t="s">
        <v>1305</v>
      </c>
      <c r="B120" s="115" t="s">
        <v>1306</v>
      </c>
      <c r="C120" s="116">
        <v>55569.3</v>
      </c>
      <c r="E120" s="154"/>
      <c r="F120" s="154"/>
      <c r="G120" s="154"/>
    </row>
    <row r="121" spans="1:7" x14ac:dyDescent="0.3">
      <c r="A121" s="172" t="s">
        <v>1307</v>
      </c>
      <c r="B121" s="115" t="s">
        <v>1308</v>
      </c>
      <c r="C121" s="116">
        <v>22641</v>
      </c>
      <c r="E121" s="154"/>
      <c r="F121" s="154"/>
      <c r="G121" s="154"/>
    </row>
    <row r="122" spans="1:7" x14ac:dyDescent="0.3">
      <c r="A122" s="172" t="s">
        <v>1309</v>
      </c>
      <c r="B122" s="115" t="s">
        <v>1310</v>
      </c>
      <c r="C122" s="116">
        <v>113337.78</v>
      </c>
      <c r="E122" s="154"/>
      <c r="F122" s="154"/>
      <c r="G122" s="154"/>
    </row>
    <row r="123" spans="1:7" x14ac:dyDescent="0.3">
      <c r="A123" s="172" t="s">
        <v>1311</v>
      </c>
      <c r="B123" s="115" t="s">
        <v>1312</v>
      </c>
      <c r="C123" s="116">
        <v>292978.03000000003</v>
      </c>
      <c r="E123" s="154"/>
      <c r="F123" s="154"/>
      <c r="G123" s="154"/>
    </row>
    <row r="124" spans="1:7" x14ac:dyDescent="0.3">
      <c r="A124" s="172" t="s">
        <v>941</v>
      </c>
      <c r="B124" s="115" t="s">
        <v>942</v>
      </c>
      <c r="C124" s="116">
        <v>-7213425.0499999998</v>
      </c>
      <c r="E124" s="154"/>
      <c r="F124" s="154"/>
      <c r="G124" s="154"/>
    </row>
    <row r="125" spans="1:7" x14ac:dyDescent="0.3">
      <c r="A125" s="172" t="s">
        <v>1313</v>
      </c>
      <c r="B125" s="115" t="s">
        <v>1314</v>
      </c>
      <c r="C125" s="116">
        <v>140739.03</v>
      </c>
      <c r="E125" s="154"/>
      <c r="F125" s="154"/>
      <c r="G125" s="154"/>
    </row>
    <row r="126" spans="1:7" x14ac:dyDescent="0.3">
      <c r="A126" s="172" t="s">
        <v>1315</v>
      </c>
      <c r="B126" s="115" t="s">
        <v>1316</v>
      </c>
      <c r="C126" s="116">
        <v>143440</v>
      </c>
      <c r="E126" s="154"/>
      <c r="F126" s="154"/>
      <c r="G126" s="154"/>
    </row>
    <row r="127" spans="1:7" x14ac:dyDescent="0.3">
      <c r="A127" s="172" t="s">
        <v>1317</v>
      </c>
      <c r="B127" s="115" t="s">
        <v>1318</v>
      </c>
      <c r="C127" s="116">
        <v>15871</v>
      </c>
      <c r="E127" s="154"/>
      <c r="F127" s="154"/>
      <c r="G127" s="154"/>
    </row>
    <row r="128" spans="1:7" x14ac:dyDescent="0.3">
      <c r="A128" s="172" t="s">
        <v>1319</v>
      </c>
      <c r="B128" s="115" t="s">
        <v>1320</v>
      </c>
      <c r="C128" s="116">
        <v>62390</v>
      </c>
      <c r="E128" s="154"/>
      <c r="F128" s="154"/>
      <c r="G128" s="154"/>
    </row>
    <row r="129" spans="1:7" x14ac:dyDescent="0.3">
      <c r="A129" s="172" t="s">
        <v>1321</v>
      </c>
      <c r="B129" s="115" t="s">
        <v>1322</v>
      </c>
      <c r="C129" s="116">
        <v>124564853.97</v>
      </c>
      <c r="E129" s="154"/>
      <c r="F129" s="154"/>
      <c r="G129" s="154"/>
    </row>
    <row r="130" spans="1:7" x14ac:dyDescent="0.3">
      <c r="A130" s="172" t="s">
        <v>1323</v>
      </c>
      <c r="B130" s="115" t="s">
        <v>1324</v>
      </c>
      <c r="C130" s="116">
        <v>334019</v>
      </c>
      <c r="E130" s="154"/>
      <c r="F130" s="154"/>
      <c r="G130" s="154"/>
    </row>
    <row r="131" spans="1:7" x14ac:dyDescent="0.3">
      <c r="A131" s="172" t="s">
        <v>1325</v>
      </c>
      <c r="B131" s="115" t="s">
        <v>1326</v>
      </c>
      <c r="C131" s="116">
        <v>152324.88</v>
      </c>
      <c r="E131" s="154"/>
      <c r="F131" s="154"/>
      <c r="G131" s="154"/>
    </row>
    <row r="132" spans="1:7" x14ac:dyDescent="0.3">
      <c r="A132" s="172" t="s">
        <v>1327</v>
      </c>
      <c r="B132" s="115" t="s">
        <v>1328</v>
      </c>
      <c r="C132" s="116">
        <v>33500.36</v>
      </c>
      <c r="E132" s="154"/>
      <c r="F132" s="154"/>
      <c r="G132" s="154"/>
    </row>
    <row r="133" spans="1:7" x14ac:dyDescent="0.3">
      <c r="A133" s="172" t="s">
        <v>1329</v>
      </c>
      <c r="B133" s="115" t="s">
        <v>1330</v>
      </c>
      <c r="C133" s="116">
        <v>105496.87</v>
      </c>
      <c r="E133" s="154"/>
      <c r="F133" s="154"/>
      <c r="G133" s="154"/>
    </row>
    <row r="134" spans="1:7" x14ac:dyDescent="0.3">
      <c r="A134" s="172" t="s">
        <v>1331</v>
      </c>
      <c r="B134" s="115" t="s">
        <v>1332</v>
      </c>
      <c r="C134" s="116">
        <v>169586.1</v>
      </c>
      <c r="E134" s="154"/>
      <c r="F134" s="154"/>
      <c r="G134" s="154"/>
    </row>
    <row r="135" spans="1:7" x14ac:dyDescent="0.3">
      <c r="A135" s="172" t="s">
        <v>1333</v>
      </c>
      <c r="B135" s="115" t="s">
        <v>1334</v>
      </c>
      <c r="C135" s="116">
        <v>0</v>
      </c>
      <c r="E135" s="154"/>
      <c r="F135" s="154"/>
      <c r="G135" s="154"/>
    </row>
    <row r="136" spans="1:7" x14ac:dyDescent="0.3">
      <c r="A136" s="172" t="s">
        <v>1335</v>
      </c>
      <c r="B136" s="115" t="s">
        <v>1336</v>
      </c>
      <c r="C136" s="116">
        <v>0</v>
      </c>
      <c r="E136" s="154"/>
      <c r="F136" s="154"/>
      <c r="G136" s="154"/>
    </row>
    <row r="137" spans="1:7" x14ac:dyDescent="0.3">
      <c r="A137" s="172" t="s">
        <v>1337</v>
      </c>
      <c r="B137" s="115" t="s">
        <v>1338</v>
      </c>
      <c r="C137" s="116">
        <v>260</v>
      </c>
      <c r="E137" s="154"/>
      <c r="F137" s="154"/>
      <c r="G137" s="154"/>
    </row>
    <row r="138" spans="1:7" x14ac:dyDescent="0.3">
      <c r="A138" s="172" t="s">
        <v>1339</v>
      </c>
      <c r="B138" s="115" t="s">
        <v>1340</v>
      </c>
      <c r="C138" s="116">
        <v>0</v>
      </c>
      <c r="E138" s="154"/>
      <c r="F138" s="154"/>
      <c r="G138" s="154"/>
    </row>
    <row r="139" spans="1:7" x14ac:dyDescent="0.3">
      <c r="A139" s="172" t="s">
        <v>1341</v>
      </c>
      <c r="B139" s="115" t="s">
        <v>1342</v>
      </c>
      <c r="C139" s="116">
        <v>0</v>
      </c>
      <c r="E139" s="154"/>
      <c r="F139" s="154"/>
      <c r="G139" s="154"/>
    </row>
    <row r="140" spans="1:7" x14ac:dyDescent="0.3">
      <c r="A140" s="172" t="s">
        <v>1343</v>
      </c>
      <c r="B140" s="115" t="s">
        <v>1344</v>
      </c>
      <c r="C140" s="116">
        <v>0</v>
      </c>
      <c r="E140" s="154"/>
      <c r="F140" s="154"/>
      <c r="G140" s="154"/>
    </row>
    <row r="141" spans="1:7" x14ac:dyDescent="0.3">
      <c r="A141" s="172" t="s">
        <v>1048</v>
      </c>
      <c r="B141" s="115" t="s">
        <v>1049</v>
      </c>
      <c r="C141" s="116">
        <v>0</v>
      </c>
      <c r="E141" s="154"/>
      <c r="F141" s="154"/>
      <c r="G141" s="154"/>
    </row>
    <row r="142" spans="1:7" x14ac:dyDescent="0.3">
      <c r="A142" s="172" t="s">
        <v>1345</v>
      </c>
      <c r="B142" s="115" t="s">
        <v>1346</v>
      </c>
      <c r="C142" s="116">
        <v>0</v>
      </c>
      <c r="E142" s="154"/>
      <c r="F142" s="154"/>
      <c r="G142" s="154"/>
    </row>
    <row r="143" spans="1:7" x14ac:dyDescent="0.3">
      <c r="A143" s="173" t="s">
        <v>1347</v>
      </c>
      <c r="B143" s="20" t="s">
        <v>1348</v>
      </c>
      <c r="C143" s="116">
        <v>0</v>
      </c>
      <c r="E143" s="154"/>
      <c r="F143" s="154"/>
      <c r="G143" s="154"/>
    </row>
    <row r="144" spans="1:7" x14ac:dyDescent="0.3">
      <c r="A144" s="172" t="s">
        <v>1349</v>
      </c>
      <c r="B144" s="115" t="s">
        <v>1350</v>
      </c>
      <c r="C144" s="116">
        <v>-9892511000</v>
      </c>
      <c r="E144" s="154"/>
      <c r="F144" s="154"/>
      <c r="G144" s="154"/>
    </row>
    <row r="145" spans="1:7" x14ac:dyDescent="0.3">
      <c r="A145" s="172" t="s">
        <v>1351</v>
      </c>
      <c r="B145" s="115" t="s">
        <v>1352</v>
      </c>
      <c r="C145" s="116">
        <v>0</v>
      </c>
      <c r="E145" s="154"/>
      <c r="F145" s="154"/>
      <c r="G145" s="154"/>
    </row>
    <row r="146" spans="1:7" x14ac:dyDescent="0.3">
      <c r="A146" s="172" t="s">
        <v>1353</v>
      </c>
      <c r="B146" s="115" t="s">
        <v>1354</v>
      </c>
      <c r="C146" s="116">
        <v>0</v>
      </c>
      <c r="E146" s="154"/>
      <c r="F146" s="154"/>
      <c r="G146" s="154"/>
    </row>
    <row r="147" spans="1:7" x14ac:dyDescent="0.3">
      <c r="A147" s="172" t="s">
        <v>1355</v>
      </c>
      <c r="B147" s="115" t="s">
        <v>1356</v>
      </c>
      <c r="C147" s="116">
        <v>0</v>
      </c>
      <c r="E147" s="154"/>
      <c r="F147" s="154"/>
      <c r="G147" s="154"/>
    </row>
    <row r="148" spans="1:7" x14ac:dyDescent="0.3">
      <c r="A148" s="172" t="s">
        <v>1357</v>
      </c>
      <c r="B148" s="115" t="s">
        <v>1358</v>
      </c>
      <c r="C148" s="116">
        <v>0</v>
      </c>
      <c r="E148" s="154"/>
      <c r="F148" s="154"/>
      <c r="G148" s="154"/>
    </row>
    <row r="149" spans="1:7" x14ac:dyDescent="0.3">
      <c r="A149" s="172" t="s">
        <v>1359</v>
      </c>
      <c r="B149" s="115" t="s">
        <v>1360</v>
      </c>
      <c r="C149" s="116">
        <v>0</v>
      </c>
      <c r="E149" s="154"/>
      <c r="F149" s="154"/>
      <c r="G149" s="154"/>
    </row>
    <row r="150" spans="1:7" x14ac:dyDescent="0.3">
      <c r="A150" s="172" t="s">
        <v>1361</v>
      </c>
      <c r="B150" s="115" t="s">
        <v>1362</v>
      </c>
      <c r="C150" s="116">
        <v>-1312248027.0699999</v>
      </c>
      <c r="E150" s="154"/>
      <c r="F150" s="154"/>
      <c r="G150" s="154"/>
    </row>
    <row r="151" spans="1:7" x14ac:dyDescent="0.3">
      <c r="A151" s="172" t="s">
        <v>1363</v>
      </c>
      <c r="B151" s="115" t="s">
        <v>1364</v>
      </c>
      <c r="C151" s="116">
        <v>0</v>
      </c>
      <c r="E151" s="154"/>
      <c r="F151" s="154"/>
      <c r="G151" s="154"/>
    </row>
    <row r="152" spans="1:7" x14ac:dyDescent="0.3">
      <c r="A152" s="172" t="s">
        <v>1365</v>
      </c>
      <c r="B152" s="115" t="s">
        <v>1366</v>
      </c>
      <c r="C152" s="116">
        <v>0</v>
      </c>
      <c r="E152" s="154"/>
      <c r="F152" s="154"/>
      <c r="G152" s="154"/>
    </row>
    <row r="153" spans="1:7" x14ac:dyDescent="0.3">
      <c r="A153" s="172" t="s">
        <v>1367</v>
      </c>
      <c r="B153" s="115" t="s">
        <v>1368</v>
      </c>
      <c r="C153" s="116">
        <v>0</v>
      </c>
      <c r="E153" s="154"/>
      <c r="F153" s="154"/>
      <c r="G153" s="154"/>
    </row>
    <row r="154" spans="1:7" x14ac:dyDescent="0.3">
      <c r="A154" s="172" t="s">
        <v>1369</v>
      </c>
      <c r="B154" s="115" t="s">
        <v>1370</v>
      </c>
      <c r="C154" s="116">
        <v>0</v>
      </c>
      <c r="E154" s="154"/>
      <c r="F154" s="154"/>
      <c r="G154" s="154"/>
    </row>
    <row r="155" spans="1:7" x14ac:dyDescent="0.3">
      <c r="A155" s="172" t="s">
        <v>1371</v>
      </c>
      <c r="B155" s="115" t="s">
        <v>1372</v>
      </c>
      <c r="C155" s="116">
        <v>0</v>
      </c>
      <c r="E155" s="154"/>
      <c r="F155" s="154"/>
      <c r="G155" s="154"/>
    </row>
    <row r="156" spans="1:7" x14ac:dyDescent="0.3">
      <c r="A156" s="172" t="s">
        <v>1373</v>
      </c>
      <c r="B156" s="115" t="s">
        <v>1374</v>
      </c>
      <c r="C156" s="116">
        <v>0</v>
      </c>
      <c r="E156" s="154"/>
      <c r="F156" s="154"/>
      <c r="G156" s="154"/>
    </row>
    <row r="157" spans="1:7" x14ac:dyDescent="0.3">
      <c r="A157" s="172" t="s">
        <v>1375</v>
      </c>
      <c r="B157" s="115" t="s">
        <v>1376</v>
      </c>
      <c r="C157" s="116">
        <v>0</v>
      </c>
      <c r="E157" s="154"/>
      <c r="F157" s="154"/>
      <c r="G157" s="154"/>
    </row>
    <row r="158" spans="1:7" x14ac:dyDescent="0.3">
      <c r="A158" s="172" t="s">
        <v>1377</v>
      </c>
      <c r="B158" s="115" t="s">
        <v>1378</v>
      </c>
      <c r="C158" s="116">
        <v>0</v>
      </c>
      <c r="E158" s="154"/>
      <c r="F158" s="154"/>
      <c r="G158" s="154"/>
    </row>
    <row r="159" spans="1:7" x14ac:dyDescent="0.3">
      <c r="A159" s="172" t="s">
        <v>1379</v>
      </c>
      <c r="B159" s="115" t="s">
        <v>1380</v>
      </c>
      <c r="C159" s="116">
        <v>0</v>
      </c>
      <c r="E159" s="154"/>
      <c r="F159" s="154"/>
      <c r="G159" s="154"/>
    </row>
    <row r="160" spans="1:7" x14ac:dyDescent="0.3">
      <c r="A160" s="172" t="s">
        <v>1381</v>
      </c>
      <c r="B160" s="115" t="s">
        <v>1382</v>
      </c>
      <c r="C160" s="116">
        <v>0</v>
      </c>
      <c r="E160" s="154"/>
      <c r="F160" s="154"/>
      <c r="G160" s="154"/>
    </row>
    <row r="161" spans="1:7" x14ac:dyDescent="0.3">
      <c r="A161" s="172" t="s">
        <v>1383</v>
      </c>
      <c r="B161" s="115" t="s">
        <v>1384</v>
      </c>
      <c r="C161" s="116">
        <v>0</v>
      </c>
      <c r="E161" s="154"/>
      <c r="F161" s="154"/>
      <c r="G161" s="154"/>
    </row>
    <row r="162" spans="1:7" x14ac:dyDescent="0.3">
      <c r="A162" s="172" t="s">
        <v>1385</v>
      </c>
      <c r="B162" s="115" t="s">
        <v>1386</v>
      </c>
      <c r="C162" s="116">
        <v>0</v>
      </c>
      <c r="E162" s="154"/>
      <c r="F162" s="154"/>
      <c r="G162" s="154"/>
    </row>
    <row r="163" spans="1:7" x14ac:dyDescent="0.3">
      <c r="A163" s="172" t="s">
        <v>1387</v>
      </c>
      <c r="B163" s="115" t="s">
        <v>1388</v>
      </c>
      <c r="C163" s="116">
        <v>0</v>
      </c>
      <c r="E163" s="154"/>
      <c r="F163" s="154"/>
      <c r="G163" s="154"/>
    </row>
    <row r="164" spans="1:7" x14ac:dyDescent="0.3">
      <c r="A164" s="172" t="s">
        <v>1389</v>
      </c>
      <c r="B164" s="115" t="s">
        <v>1390</v>
      </c>
      <c r="C164" s="116">
        <v>0</v>
      </c>
      <c r="E164" s="154"/>
      <c r="F164" s="154"/>
      <c r="G164" s="154"/>
    </row>
    <row r="165" spans="1:7" x14ac:dyDescent="0.3">
      <c r="A165" s="172" t="s">
        <v>1391</v>
      </c>
      <c r="B165" s="115" t="s">
        <v>1392</v>
      </c>
      <c r="C165" s="116">
        <v>0</v>
      </c>
      <c r="E165" s="154"/>
      <c r="F165" s="154"/>
      <c r="G165" s="154"/>
    </row>
    <row r="166" spans="1:7" x14ac:dyDescent="0.3">
      <c r="A166" s="172" t="s">
        <v>1393</v>
      </c>
      <c r="B166" s="115" t="s">
        <v>1394</v>
      </c>
      <c r="C166" s="116">
        <v>0</v>
      </c>
      <c r="E166" s="154"/>
      <c r="F166" s="154"/>
      <c r="G166" s="154"/>
    </row>
    <row r="167" spans="1:7" x14ac:dyDescent="0.3">
      <c r="A167" s="172" t="s">
        <v>1395</v>
      </c>
      <c r="B167" s="115" t="s">
        <v>1396</v>
      </c>
      <c r="C167" s="116">
        <v>0</v>
      </c>
      <c r="E167" s="154"/>
      <c r="F167" s="154"/>
      <c r="G167" s="154"/>
    </row>
    <row r="168" spans="1:7" x14ac:dyDescent="0.3">
      <c r="A168" s="172" t="s">
        <v>1397</v>
      </c>
      <c r="B168" s="115" t="s">
        <v>1398</v>
      </c>
      <c r="C168" s="116">
        <v>0</v>
      </c>
      <c r="E168" s="154"/>
      <c r="F168" s="154"/>
      <c r="G168" s="154"/>
    </row>
    <row r="169" spans="1:7" x14ac:dyDescent="0.3">
      <c r="A169" s="172" t="s">
        <v>1399</v>
      </c>
      <c r="B169" s="115" t="s">
        <v>1400</v>
      </c>
      <c r="C169" s="116">
        <v>0</v>
      </c>
      <c r="E169" s="154"/>
      <c r="F169" s="154"/>
      <c r="G169" s="154"/>
    </row>
    <row r="170" spans="1:7" x14ac:dyDescent="0.3">
      <c r="A170" s="172" t="s">
        <v>648</v>
      </c>
      <c r="B170" s="115" t="s">
        <v>649</v>
      </c>
      <c r="C170" s="116">
        <v>0</v>
      </c>
      <c r="E170" s="154"/>
      <c r="F170" s="154"/>
      <c r="G170" s="154"/>
    </row>
    <row r="171" spans="1:7" x14ac:dyDescent="0.3">
      <c r="A171" s="172" t="s">
        <v>1401</v>
      </c>
      <c r="B171" s="115" t="s">
        <v>1402</v>
      </c>
      <c r="C171" s="116">
        <v>0</v>
      </c>
      <c r="E171" s="154"/>
      <c r="F171" s="154"/>
      <c r="G171" s="154"/>
    </row>
    <row r="172" spans="1:7" x14ac:dyDescent="0.3">
      <c r="A172" s="172" t="s">
        <v>1403</v>
      </c>
      <c r="B172" s="115" t="s">
        <v>1404</v>
      </c>
      <c r="C172" s="116">
        <v>0</v>
      </c>
      <c r="E172" s="154"/>
      <c r="F172" s="154"/>
      <c r="G172" s="154"/>
    </row>
    <row r="173" spans="1:7" x14ac:dyDescent="0.3">
      <c r="A173" s="172" t="s">
        <v>1405</v>
      </c>
      <c r="B173" s="115" t="s">
        <v>1406</v>
      </c>
      <c r="C173" s="116">
        <v>0</v>
      </c>
      <c r="E173" s="154"/>
      <c r="F173" s="154"/>
      <c r="G173" s="154"/>
    </row>
    <row r="174" spans="1:7" x14ac:dyDescent="0.3">
      <c r="A174" s="172" t="s">
        <v>546</v>
      </c>
      <c r="B174" s="115" t="s">
        <v>547</v>
      </c>
      <c r="C174" s="116">
        <v>0</v>
      </c>
      <c r="E174" s="154"/>
      <c r="F174" s="154"/>
      <c r="G174" s="154"/>
    </row>
    <row r="175" spans="1:7" x14ac:dyDescent="0.3">
      <c r="A175" s="172" t="s">
        <v>1407</v>
      </c>
      <c r="B175" s="115" t="s">
        <v>1408</v>
      </c>
      <c r="C175" s="116">
        <v>0</v>
      </c>
      <c r="E175" s="154"/>
      <c r="F175" s="154"/>
      <c r="G175" s="154"/>
    </row>
    <row r="176" spans="1:7" x14ac:dyDescent="0.3">
      <c r="A176" s="172" t="s">
        <v>1409</v>
      </c>
      <c r="B176" s="115" t="s">
        <v>1410</v>
      </c>
      <c r="C176" s="116">
        <v>0</v>
      </c>
      <c r="E176" s="154"/>
      <c r="F176" s="154"/>
      <c r="G176" s="154"/>
    </row>
    <row r="177" spans="1:7" x14ac:dyDescent="0.3">
      <c r="A177" s="172" t="s">
        <v>1411</v>
      </c>
      <c r="B177" s="115" t="s">
        <v>1412</v>
      </c>
      <c r="C177" s="116">
        <v>-4221935078.8899999</v>
      </c>
      <c r="E177" s="154"/>
      <c r="F177" s="154"/>
      <c r="G177" s="154"/>
    </row>
    <row r="178" spans="1:7" x14ac:dyDescent="0.3">
      <c r="A178" s="172" t="s">
        <v>1413</v>
      </c>
      <c r="B178" s="115" t="s">
        <v>1414</v>
      </c>
      <c r="C178" s="116">
        <v>375</v>
      </c>
      <c r="E178" s="154"/>
      <c r="F178" s="154"/>
      <c r="G178" s="154"/>
    </row>
    <row r="179" spans="1:7" x14ac:dyDescent="0.3">
      <c r="A179" s="172" t="s">
        <v>1415</v>
      </c>
      <c r="B179" s="115" t="s">
        <v>1416</v>
      </c>
      <c r="C179" s="116">
        <v>78211</v>
      </c>
      <c r="E179" s="154"/>
      <c r="F179" s="154"/>
      <c r="G179" s="154"/>
    </row>
    <row r="180" spans="1:7" x14ac:dyDescent="0.3">
      <c r="A180" s="172" t="s">
        <v>1417</v>
      </c>
      <c r="B180" s="115" t="s">
        <v>1418</v>
      </c>
      <c r="C180" s="116">
        <v>-1587960.06</v>
      </c>
      <c r="E180" s="154"/>
      <c r="F180" s="154"/>
      <c r="G180" s="154"/>
    </row>
    <row r="181" spans="1:7" x14ac:dyDescent="0.3">
      <c r="A181" s="172" t="s">
        <v>1419</v>
      </c>
      <c r="B181" s="115" t="s">
        <v>1420</v>
      </c>
      <c r="C181" s="116">
        <v>540511</v>
      </c>
      <c r="E181" s="154"/>
      <c r="F181" s="154"/>
      <c r="G181" s="154"/>
    </row>
    <row r="182" spans="1:7" x14ac:dyDescent="0.3">
      <c r="A182" s="172" t="s">
        <v>1421</v>
      </c>
      <c r="B182" s="115" t="s">
        <v>1422</v>
      </c>
      <c r="C182" s="116">
        <v>4374337456.9799995</v>
      </c>
      <c r="E182" s="154"/>
      <c r="F182" s="154"/>
      <c r="G182" s="154"/>
    </row>
    <row r="183" spans="1:7" x14ac:dyDescent="0.3">
      <c r="A183" s="172" t="s">
        <v>1423</v>
      </c>
      <c r="B183" s="115" t="s">
        <v>1424</v>
      </c>
      <c r="C183" s="116">
        <v>75260</v>
      </c>
      <c r="E183" s="154"/>
      <c r="F183" s="154"/>
      <c r="G183" s="154"/>
    </row>
    <row r="184" spans="1:7" x14ac:dyDescent="0.3">
      <c r="A184" s="172" t="s">
        <v>1425</v>
      </c>
      <c r="B184" s="115" t="s">
        <v>1426</v>
      </c>
      <c r="C184" s="116">
        <v>30044</v>
      </c>
      <c r="E184" s="154"/>
      <c r="F184" s="154"/>
      <c r="G184" s="154"/>
    </row>
    <row r="185" spans="1:7" x14ac:dyDescent="0.3">
      <c r="A185" s="172" t="s">
        <v>1427</v>
      </c>
      <c r="B185" s="115" t="s">
        <v>1428</v>
      </c>
      <c r="C185" s="116">
        <v>130785.03</v>
      </c>
      <c r="E185" s="154"/>
      <c r="F185" s="154"/>
      <c r="G185" s="154"/>
    </row>
    <row r="186" spans="1:7" x14ac:dyDescent="0.3">
      <c r="A186" s="172" t="s">
        <v>1429</v>
      </c>
      <c r="B186" s="115" t="s">
        <v>1430</v>
      </c>
      <c r="C186" s="116">
        <v>216480</v>
      </c>
      <c r="E186" s="154"/>
      <c r="F186" s="154"/>
      <c r="G186" s="154"/>
    </row>
    <row r="187" spans="1:7" x14ac:dyDescent="0.3">
      <c r="A187" s="172" t="s">
        <v>1431</v>
      </c>
      <c r="B187" s="115" t="s">
        <v>1432</v>
      </c>
      <c r="C187" s="116">
        <v>104095</v>
      </c>
      <c r="E187" s="154"/>
      <c r="F187" s="154"/>
      <c r="G187" s="154"/>
    </row>
    <row r="188" spans="1:7" x14ac:dyDescent="0.3">
      <c r="A188" s="172" t="s">
        <v>1433</v>
      </c>
      <c r="B188" s="115" t="s">
        <v>1434</v>
      </c>
      <c r="C188" s="116">
        <v>44724.800000000003</v>
      </c>
      <c r="E188" s="154"/>
      <c r="F188" s="154"/>
      <c r="G188" s="154"/>
    </row>
    <row r="189" spans="1:7" x14ac:dyDescent="0.3">
      <c r="A189" s="172" t="s">
        <v>1020</v>
      </c>
      <c r="B189" s="115" t="s">
        <v>1021</v>
      </c>
      <c r="C189" s="116">
        <v>-2682127.88</v>
      </c>
      <c r="E189" s="154"/>
      <c r="F189" s="154"/>
      <c r="G189" s="154"/>
    </row>
    <row r="190" spans="1:7" x14ac:dyDescent="0.3">
      <c r="A190" s="172" t="s">
        <v>1435</v>
      </c>
      <c r="B190" s="115" t="s">
        <v>1436</v>
      </c>
      <c r="C190" s="116">
        <v>179773.19</v>
      </c>
      <c r="E190" s="154"/>
      <c r="F190" s="154"/>
      <c r="G190" s="154"/>
    </row>
    <row r="191" spans="1:7" x14ac:dyDescent="0.3">
      <c r="A191" s="172" t="s">
        <v>1437</v>
      </c>
      <c r="B191" s="115" t="s">
        <v>1438</v>
      </c>
      <c r="C191" s="116">
        <v>237937.47</v>
      </c>
      <c r="E191" s="154"/>
      <c r="F191" s="154"/>
      <c r="G191" s="154"/>
    </row>
    <row r="192" spans="1:7" x14ac:dyDescent="0.3">
      <c r="A192" s="172" t="s">
        <v>1439</v>
      </c>
      <c r="B192" s="115" t="s">
        <v>1440</v>
      </c>
      <c r="C192" s="116">
        <v>5399099</v>
      </c>
      <c r="E192" s="154"/>
      <c r="F192" s="154"/>
      <c r="G192" s="154"/>
    </row>
    <row r="193" spans="1:7" x14ac:dyDescent="0.3">
      <c r="A193" s="172" t="s">
        <v>1441</v>
      </c>
      <c r="B193" s="115" t="s">
        <v>1442</v>
      </c>
      <c r="C193" s="116">
        <v>266681.2</v>
      </c>
      <c r="E193" s="154"/>
      <c r="F193" s="154"/>
      <c r="G193" s="154"/>
    </row>
    <row r="194" spans="1:7" x14ac:dyDescent="0.3">
      <c r="A194" s="172" t="s">
        <v>1030</v>
      </c>
      <c r="B194" s="115" t="s">
        <v>1031</v>
      </c>
      <c r="C194" s="116">
        <v>-8675843.1099999994</v>
      </c>
      <c r="E194" s="154"/>
      <c r="F194" s="154"/>
      <c r="G194" s="154"/>
    </row>
    <row r="195" spans="1:7" x14ac:dyDescent="0.3">
      <c r="A195" s="172" t="s">
        <v>1443</v>
      </c>
      <c r="B195" s="115" t="s">
        <v>1444</v>
      </c>
      <c r="C195" s="116">
        <v>13500418.08</v>
      </c>
      <c r="E195" s="154"/>
      <c r="F195" s="154"/>
      <c r="G195" s="154"/>
    </row>
    <row r="196" spans="1:7" x14ac:dyDescent="0.3">
      <c r="A196" s="172" t="s">
        <v>1445</v>
      </c>
      <c r="B196" s="115" t="s">
        <v>1446</v>
      </c>
      <c r="C196" s="116">
        <v>224477.27</v>
      </c>
      <c r="E196" s="154"/>
      <c r="F196" s="154"/>
      <c r="G196" s="154"/>
    </row>
    <row r="197" spans="1:7" x14ac:dyDescent="0.3">
      <c r="A197" s="172" t="s">
        <v>1447</v>
      </c>
      <c r="B197" s="115" t="s">
        <v>1448</v>
      </c>
      <c r="C197" s="116">
        <v>19065.669999999998</v>
      </c>
      <c r="E197" s="154"/>
      <c r="F197" s="154"/>
      <c r="G197" s="154"/>
    </row>
    <row r="198" spans="1:7" x14ac:dyDescent="0.3">
      <c r="A198" s="172" t="s">
        <v>1449</v>
      </c>
      <c r="B198" s="115" t="s">
        <v>1450</v>
      </c>
      <c r="C198" s="116">
        <v>58050</v>
      </c>
      <c r="E198" s="154"/>
      <c r="F198" s="154"/>
      <c r="G198" s="154"/>
    </row>
    <row r="199" spans="1:7" x14ac:dyDescent="0.3">
      <c r="A199" s="172" t="s">
        <v>1451</v>
      </c>
      <c r="B199" s="115" t="s">
        <v>1452</v>
      </c>
      <c r="C199" s="116">
        <v>87880</v>
      </c>
      <c r="E199" s="154"/>
      <c r="F199" s="154"/>
      <c r="G199" s="154"/>
    </row>
    <row r="200" spans="1:7" x14ac:dyDescent="0.3">
      <c r="A200" s="172" t="s">
        <v>1453</v>
      </c>
      <c r="B200" s="115" t="s">
        <v>1454</v>
      </c>
      <c r="C200" s="116">
        <v>111138.55</v>
      </c>
      <c r="E200" s="154"/>
      <c r="F200" s="154"/>
      <c r="G200" s="154"/>
    </row>
    <row r="201" spans="1:7" x14ac:dyDescent="0.3">
      <c r="A201" s="172" t="s">
        <v>1455</v>
      </c>
      <c r="B201" s="115" t="s">
        <v>1456</v>
      </c>
      <c r="C201" s="116">
        <v>0</v>
      </c>
      <c r="E201" s="154"/>
      <c r="F201" s="154"/>
      <c r="G201" s="154"/>
    </row>
    <row r="202" spans="1:7" x14ac:dyDescent="0.3">
      <c r="A202" s="172" t="s">
        <v>1457</v>
      </c>
      <c r="B202" s="115" t="s">
        <v>1458</v>
      </c>
      <c r="C202" s="116">
        <v>99902.36</v>
      </c>
      <c r="E202" s="154"/>
      <c r="F202" s="154"/>
      <c r="G202" s="154"/>
    </row>
    <row r="203" spans="1:7" x14ac:dyDescent="0.3">
      <c r="A203" s="172" t="s">
        <v>1459</v>
      </c>
      <c r="B203" s="115" t="s">
        <v>1460</v>
      </c>
      <c r="C203" s="116">
        <v>264772.2</v>
      </c>
      <c r="E203" s="154"/>
      <c r="F203" s="154"/>
      <c r="G203" s="154"/>
    </row>
    <row r="204" spans="1:7" x14ac:dyDescent="0.3">
      <c r="A204" s="172" t="s">
        <v>1461</v>
      </c>
      <c r="B204" s="115" t="s">
        <v>1462</v>
      </c>
      <c r="C204" s="116">
        <v>80624.800000000003</v>
      </c>
      <c r="E204" s="154"/>
      <c r="F204" s="154"/>
      <c r="G204" s="154"/>
    </row>
    <row r="205" spans="1:7" x14ac:dyDescent="0.3">
      <c r="A205" s="172" t="s">
        <v>1463</v>
      </c>
      <c r="B205" s="115" t="s">
        <v>1464</v>
      </c>
      <c r="C205" s="116">
        <v>0</v>
      </c>
      <c r="E205" s="154"/>
      <c r="F205" s="154"/>
      <c r="G205" s="154"/>
    </row>
    <row r="206" spans="1:7" x14ac:dyDescent="0.3">
      <c r="A206" s="172" t="s">
        <v>1465</v>
      </c>
      <c r="B206" s="115" t="s">
        <v>1466</v>
      </c>
      <c r="C206" s="116">
        <v>136957.5</v>
      </c>
      <c r="E206" s="154"/>
      <c r="F206" s="154"/>
      <c r="G206" s="154"/>
    </row>
    <row r="207" spans="1:7" x14ac:dyDescent="0.3">
      <c r="A207" s="172" t="s">
        <v>1467</v>
      </c>
      <c r="B207" s="115" t="s">
        <v>1468</v>
      </c>
      <c r="C207" s="116">
        <v>111138.55</v>
      </c>
      <c r="E207" s="154"/>
      <c r="F207" s="154"/>
      <c r="G207" s="154"/>
    </row>
    <row r="208" spans="1:7" x14ac:dyDescent="0.3">
      <c r="A208" s="172" t="s">
        <v>1469</v>
      </c>
      <c r="B208" s="115" t="s">
        <v>1470</v>
      </c>
      <c r="C208" s="116">
        <v>129045.68</v>
      </c>
      <c r="E208" s="154"/>
      <c r="F208" s="154"/>
      <c r="G208" s="154"/>
    </row>
    <row r="209" spans="1:7" x14ac:dyDescent="0.3">
      <c r="A209" s="172" t="s">
        <v>1471</v>
      </c>
      <c r="B209" s="115" t="s">
        <v>1472</v>
      </c>
      <c r="C209" s="116">
        <v>0</v>
      </c>
      <c r="E209" s="154"/>
      <c r="F209" s="154"/>
      <c r="G209" s="154"/>
    </row>
    <row r="210" spans="1:7" x14ac:dyDescent="0.3">
      <c r="A210" s="172" t="s">
        <v>1473</v>
      </c>
      <c r="B210" s="115" t="s">
        <v>1474</v>
      </c>
      <c r="C210" s="116">
        <v>31965</v>
      </c>
      <c r="E210" s="154"/>
      <c r="F210" s="154"/>
      <c r="G210" s="154"/>
    </row>
    <row r="211" spans="1:7" x14ac:dyDescent="0.3">
      <c r="A211" s="172" t="s">
        <v>1475</v>
      </c>
      <c r="B211" s="115" t="s">
        <v>1476</v>
      </c>
      <c r="C211" s="116">
        <v>91157</v>
      </c>
      <c r="E211" s="154"/>
      <c r="F211" s="154"/>
      <c r="G211" s="154"/>
    </row>
    <row r="212" spans="1:7" x14ac:dyDescent="0.3">
      <c r="A212" s="172" t="s">
        <v>857</v>
      </c>
      <c r="B212" s="115" t="s">
        <v>858</v>
      </c>
      <c r="C212" s="116">
        <v>-207306880.13999999</v>
      </c>
      <c r="E212" s="154"/>
      <c r="F212" s="154"/>
      <c r="G212" s="154"/>
    </row>
    <row r="213" spans="1:7" x14ac:dyDescent="0.3">
      <c r="A213" s="172" t="s">
        <v>1477</v>
      </c>
      <c r="B213" s="115" t="s">
        <v>1478</v>
      </c>
      <c r="C213" s="116">
        <v>258873.96</v>
      </c>
      <c r="E213" s="154"/>
      <c r="F213" s="154"/>
      <c r="G213" s="154"/>
    </row>
    <row r="214" spans="1:7" x14ac:dyDescent="0.3">
      <c r="A214" s="172" t="s">
        <v>1479</v>
      </c>
      <c r="B214" s="115" t="s">
        <v>1480</v>
      </c>
      <c r="C214" s="116">
        <v>127865.73</v>
      </c>
      <c r="E214" s="154"/>
      <c r="F214" s="154"/>
      <c r="G214" s="154"/>
    </row>
    <row r="215" spans="1:7" x14ac:dyDescent="0.3">
      <c r="A215" s="172" t="s">
        <v>1481</v>
      </c>
      <c r="B215" s="115" t="s">
        <v>1482</v>
      </c>
      <c r="C215" s="116">
        <v>96780.5</v>
      </c>
      <c r="E215" s="154"/>
      <c r="F215" s="154"/>
      <c r="G215" s="154"/>
    </row>
    <row r="216" spans="1:7" x14ac:dyDescent="0.3">
      <c r="A216" s="172" t="s">
        <v>1483</v>
      </c>
      <c r="B216" s="115" t="s">
        <v>1484</v>
      </c>
      <c r="C216" s="116">
        <v>255889.97</v>
      </c>
      <c r="E216" s="154"/>
      <c r="F216" s="154"/>
      <c r="G216" s="154"/>
    </row>
    <row r="217" spans="1:7" x14ac:dyDescent="0.3">
      <c r="A217" s="172" t="s">
        <v>1485</v>
      </c>
      <c r="B217" s="115" t="s">
        <v>1486</v>
      </c>
      <c r="C217" s="116">
        <v>61299.5</v>
      </c>
      <c r="E217" s="154"/>
      <c r="F217" s="154"/>
      <c r="G217" s="154"/>
    </row>
    <row r="218" spans="1:7" x14ac:dyDescent="0.3">
      <c r="A218" s="172" t="s">
        <v>1487</v>
      </c>
      <c r="B218" s="115" t="s">
        <v>1488</v>
      </c>
      <c r="C218" s="116">
        <v>113290.53</v>
      </c>
      <c r="E218" s="154"/>
      <c r="F218" s="154"/>
      <c r="G218" s="154"/>
    </row>
    <row r="219" spans="1:7" x14ac:dyDescent="0.3">
      <c r="A219" s="172" t="s">
        <v>1489</v>
      </c>
      <c r="B219" s="115" t="s">
        <v>1490</v>
      </c>
      <c r="C219" s="116">
        <v>0</v>
      </c>
      <c r="E219" s="154"/>
      <c r="F219" s="154"/>
      <c r="G219" s="154"/>
    </row>
    <row r="220" spans="1:7" x14ac:dyDescent="0.3">
      <c r="A220" s="172" t="s">
        <v>1491</v>
      </c>
      <c r="B220" s="115" t="s">
        <v>1492</v>
      </c>
      <c r="C220" s="116">
        <v>99294.35</v>
      </c>
      <c r="E220" s="154"/>
      <c r="F220" s="154"/>
      <c r="G220" s="154"/>
    </row>
    <row r="221" spans="1:7" x14ac:dyDescent="0.3">
      <c r="A221" s="172" t="s">
        <v>1493</v>
      </c>
      <c r="B221" s="115" t="s">
        <v>1494</v>
      </c>
      <c r="C221" s="116">
        <v>388482</v>
      </c>
      <c r="E221" s="154"/>
      <c r="F221" s="154"/>
      <c r="G221" s="154"/>
    </row>
    <row r="222" spans="1:7" x14ac:dyDescent="0.3">
      <c r="A222" s="172" t="s">
        <v>1495</v>
      </c>
      <c r="B222" s="115" t="s">
        <v>1496</v>
      </c>
      <c r="C222" s="116">
        <v>0</v>
      </c>
      <c r="E222" s="154"/>
      <c r="F222" s="154"/>
      <c r="G222" s="154"/>
    </row>
    <row r="223" spans="1:7" x14ac:dyDescent="0.3">
      <c r="A223" s="172" t="s">
        <v>1497</v>
      </c>
      <c r="B223" s="115" t="s">
        <v>1498</v>
      </c>
      <c r="C223" s="116">
        <v>0</v>
      </c>
      <c r="E223" s="154"/>
      <c r="F223" s="154"/>
      <c r="G223" s="154"/>
    </row>
    <row r="224" spans="1:7" x14ac:dyDescent="0.3">
      <c r="A224" s="172" t="s">
        <v>1499</v>
      </c>
      <c r="B224" s="115" t="s">
        <v>1500</v>
      </c>
      <c r="C224" s="116">
        <v>0</v>
      </c>
      <c r="E224" s="154"/>
      <c r="F224" s="154"/>
      <c r="G224" s="154"/>
    </row>
    <row r="225" spans="1:7" x14ac:dyDescent="0.3">
      <c r="A225" s="172" t="s">
        <v>1501</v>
      </c>
      <c r="B225" s="115" t="s">
        <v>1502</v>
      </c>
      <c r="C225" s="116">
        <v>0</v>
      </c>
      <c r="E225" s="154"/>
      <c r="F225" s="154"/>
      <c r="G225" s="154"/>
    </row>
    <row r="226" spans="1:7" x14ac:dyDescent="0.3">
      <c r="A226" s="172" t="s">
        <v>1503</v>
      </c>
      <c r="B226" s="115" t="s">
        <v>1504</v>
      </c>
      <c r="C226" s="116">
        <v>0</v>
      </c>
      <c r="E226" s="154"/>
      <c r="F226" s="154"/>
      <c r="G226" s="154"/>
    </row>
    <row r="227" spans="1:7" x14ac:dyDescent="0.3">
      <c r="A227" s="172" t="s">
        <v>574</v>
      </c>
      <c r="B227" s="115" t="s">
        <v>575</v>
      </c>
      <c r="C227" s="116">
        <v>55000</v>
      </c>
      <c r="E227" s="154"/>
      <c r="F227" s="154"/>
      <c r="G227" s="154"/>
    </row>
    <row r="228" spans="1:7" x14ac:dyDescent="0.3">
      <c r="A228" s="172" t="s">
        <v>1505</v>
      </c>
      <c r="B228" s="115" t="s">
        <v>1506</v>
      </c>
      <c r="C228" s="116">
        <v>0</v>
      </c>
      <c r="E228" s="154"/>
      <c r="F228" s="154"/>
      <c r="G228" s="154"/>
    </row>
    <row r="229" spans="1:7" x14ac:dyDescent="0.3">
      <c r="A229" s="172" t="s">
        <v>1507</v>
      </c>
      <c r="B229" s="115" t="s">
        <v>1508</v>
      </c>
      <c r="C229" s="116">
        <v>0</v>
      </c>
      <c r="E229" s="154"/>
      <c r="F229" s="154"/>
      <c r="G229" s="154"/>
    </row>
    <row r="230" spans="1:7" x14ac:dyDescent="0.3">
      <c r="A230" s="172" t="s">
        <v>1509</v>
      </c>
      <c r="B230" s="115" t="s">
        <v>1510</v>
      </c>
      <c r="C230" s="116">
        <v>0</v>
      </c>
      <c r="E230" s="154"/>
      <c r="F230" s="154"/>
      <c r="G230" s="154"/>
    </row>
    <row r="231" spans="1:7" x14ac:dyDescent="0.3">
      <c r="A231" s="172" t="s">
        <v>1511</v>
      </c>
      <c r="B231" s="115" t="s">
        <v>1512</v>
      </c>
      <c r="C231" s="116">
        <v>89812</v>
      </c>
      <c r="E231" s="154"/>
      <c r="F231" s="154"/>
      <c r="G231" s="154"/>
    </row>
    <row r="232" spans="1:7" x14ac:dyDescent="0.3">
      <c r="A232" s="172" t="s">
        <v>1513</v>
      </c>
      <c r="B232" s="115" t="s">
        <v>1514</v>
      </c>
      <c r="C232" s="116">
        <v>0</v>
      </c>
      <c r="E232" s="154"/>
      <c r="F232" s="154"/>
      <c r="G232" s="154"/>
    </row>
    <row r="233" spans="1:7" x14ac:dyDescent="0.3">
      <c r="A233" s="172" t="s">
        <v>1515</v>
      </c>
      <c r="B233" s="115" t="s">
        <v>1516</v>
      </c>
      <c r="C233" s="116">
        <v>0</v>
      </c>
      <c r="E233" s="154"/>
      <c r="F233" s="154"/>
      <c r="G233" s="154"/>
    </row>
    <row r="234" spans="1:7" x14ac:dyDescent="0.3">
      <c r="A234" s="172" t="s">
        <v>1517</v>
      </c>
      <c r="B234" s="115" t="s">
        <v>1518</v>
      </c>
      <c r="C234" s="116">
        <v>0</v>
      </c>
      <c r="E234" s="154"/>
      <c r="F234" s="154"/>
      <c r="G234" s="154"/>
    </row>
    <row r="235" spans="1:7" x14ac:dyDescent="0.3">
      <c r="A235" s="172" t="s">
        <v>889</v>
      </c>
      <c r="B235" s="115" t="s">
        <v>890</v>
      </c>
      <c r="C235" s="116">
        <v>0</v>
      </c>
      <c r="E235" s="154"/>
      <c r="F235" s="154"/>
      <c r="G235" s="154"/>
    </row>
    <row r="236" spans="1:7" x14ac:dyDescent="0.3">
      <c r="A236" s="172" t="s">
        <v>1519</v>
      </c>
      <c r="B236" s="115" t="s">
        <v>1520</v>
      </c>
      <c r="C236" s="116">
        <v>0</v>
      </c>
      <c r="E236" s="154"/>
      <c r="F236" s="154"/>
      <c r="G236" s="154"/>
    </row>
    <row r="237" spans="1:7" x14ac:dyDescent="0.3">
      <c r="A237" s="172" t="s">
        <v>1521</v>
      </c>
      <c r="B237" s="115" t="s">
        <v>1522</v>
      </c>
      <c r="C237" s="116">
        <v>0</v>
      </c>
      <c r="E237" s="154"/>
      <c r="F237" s="154"/>
      <c r="G237" s="154"/>
    </row>
    <row r="238" spans="1:7" x14ac:dyDescent="0.3">
      <c r="A238" s="172" t="s">
        <v>1523</v>
      </c>
      <c r="B238" s="115" t="s">
        <v>1524</v>
      </c>
      <c r="C238" s="116">
        <v>0</v>
      </c>
      <c r="E238" s="154"/>
      <c r="F238" s="154"/>
      <c r="G238" s="154"/>
    </row>
    <row r="239" spans="1:7" x14ac:dyDescent="0.3">
      <c r="A239" s="172" t="s">
        <v>1525</v>
      </c>
      <c r="B239" s="115" t="s">
        <v>1526</v>
      </c>
      <c r="C239" s="116">
        <v>0</v>
      </c>
      <c r="E239" s="154"/>
      <c r="F239" s="154"/>
      <c r="G239" s="154"/>
    </row>
    <row r="240" spans="1:7" x14ac:dyDescent="0.3">
      <c r="A240" s="172" t="s">
        <v>1527</v>
      </c>
      <c r="B240" s="115" t="s">
        <v>1528</v>
      </c>
      <c r="C240" s="116">
        <v>0</v>
      </c>
      <c r="E240" s="154"/>
      <c r="F240" s="154"/>
      <c r="G240" s="154"/>
    </row>
    <row r="241" spans="1:7" x14ac:dyDescent="0.3">
      <c r="A241" s="172" t="s">
        <v>534</v>
      </c>
      <c r="B241" s="115" t="s">
        <v>535</v>
      </c>
      <c r="C241" s="116">
        <v>0</v>
      </c>
      <c r="E241" s="154"/>
      <c r="F241" s="154"/>
      <c r="G241" s="154"/>
    </row>
    <row r="242" spans="1:7" x14ac:dyDescent="0.3">
      <c r="A242" s="172" t="s">
        <v>1529</v>
      </c>
      <c r="B242" s="115" t="s">
        <v>1530</v>
      </c>
      <c r="C242" s="116">
        <v>0</v>
      </c>
      <c r="E242" s="154"/>
      <c r="F242" s="154"/>
      <c r="G242" s="154"/>
    </row>
    <row r="243" spans="1:7" x14ac:dyDescent="0.3">
      <c r="A243" s="172" t="s">
        <v>1531</v>
      </c>
      <c r="B243" s="115" t="s">
        <v>1532</v>
      </c>
      <c r="C243" s="116">
        <v>15375</v>
      </c>
      <c r="E243" s="154"/>
      <c r="F243" s="154"/>
      <c r="G243" s="154"/>
    </row>
    <row r="244" spans="1:7" x14ac:dyDescent="0.3">
      <c r="A244" s="172" t="s">
        <v>1533</v>
      </c>
      <c r="B244" s="115" t="s">
        <v>1534</v>
      </c>
      <c r="C244" s="116">
        <v>0</v>
      </c>
      <c r="E244" s="154"/>
      <c r="F244" s="154"/>
      <c r="G244" s="154"/>
    </row>
    <row r="245" spans="1:7" x14ac:dyDescent="0.3">
      <c r="A245" s="172" t="s">
        <v>1535</v>
      </c>
      <c r="B245" s="115" t="s">
        <v>1536</v>
      </c>
      <c r="C245" s="116">
        <v>0</v>
      </c>
      <c r="E245" s="154"/>
      <c r="F245" s="154"/>
      <c r="G245" s="154"/>
    </row>
    <row r="246" spans="1:7" x14ac:dyDescent="0.3">
      <c r="A246" s="172" t="s">
        <v>1537</v>
      </c>
      <c r="B246" s="115" t="s">
        <v>1538</v>
      </c>
      <c r="C246" s="116">
        <v>0</v>
      </c>
      <c r="E246" s="154"/>
      <c r="F246" s="154"/>
      <c r="G246" s="154"/>
    </row>
    <row r="247" spans="1:7" x14ac:dyDescent="0.3">
      <c r="A247" s="173" t="s">
        <v>1539</v>
      </c>
      <c r="B247" s="20" t="s">
        <v>1540</v>
      </c>
      <c r="C247" s="116">
        <v>0</v>
      </c>
      <c r="E247" s="154"/>
      <c r="F247" s="154"/>
      <c r="G247" s="154"/>
    </row>
    <row r="248" spans="1:7" x14ac:dyDescent="0.3">
      <c r="A248" s="172" t="s">
        <v>1541</v>
      </c>
      <c r="B248" s="115" t="s">
        <v>1542</v>
      </c>
      <c r="C248" s="116">
        <v>-164873.56</v>
      </c>
      <c r="E248" s="154"/>
      <c r="F248" s="154"/>
      <c r="G248" s="154"/>
    </row>
    <row r="249" spans="1:7" x14ac:dyDescent="0.3">
      <c r="A249" s="172" t="s">
        <v>1543</v>
      </c>
      <c r="B249" s="115" t="s">
        <v>1544</v>
      </c>
      <c r="C249" s="116">
        <v>0</v>
      </c>
      <c r="E249" s="154"/>
      <c r="F249" s="154"/>
      <c r="G249" s="154"/>
    </row>
    <row r="250" spans="1:7" x14ac:dyDescent="0.3">
      <c r="A250" s="172" t="s">
        <v>1545</v>
      </c>
      <c r="B250" s="115" t="s">
        <v>1546</v>
      </c>
      <c r="C250" s="116">
        <v>0</v>
      </c>
      <c r="E250" s="154"/>
      <c r="F250" s="154"/>
      <c r="G250" s="154"/>
    </row>
    <row r="251" spans="1:7" x14ac:dyDescent="0.3">
      <c r="A251" s="172" t="s">
        <v>1547</v>
      </c>
      <c r="B251" s="115" t="s">
        <v>1548</v>
      </c>
      <c r="C251" s="116">
        <v>0</v>
      </c>
      <c r="E251" s="154"/>
      <c r="F251" s="154"/>
      <c r="G251" s="154"/>
    </row>
    <row r="252" spans="1:7" x14ac:dyDescent="0.3">
      <c r="A252" s="172" t="s">
        <v>602</v>
      </c>
      <c r="B252" s="115" t="s">
        <v>603</v>
      </c>
      <c r="C252" s="116">
        <v>0</v>
      </c>
      <c r="E252" s="154"/>
      <c r="F252" s="154"/>
      <c r="G252" s="154"/>
    </row>
    <row r="253" spans="1:7" x14ac:dyDescent="0.3">
      <c r="A253" s="172" t="s">
        <v>907</v>
      </c>
      <c r="B253" s="115" t="s">
        <v>908</v>
      </c>
      <c r="C253" s="116">
        <v>-44440</v>
      </c>
      <c r="E253" s="154"/>
      <c r="F253" s="154"/>
      <c r="G253" s="154"/>
    </row>
    <row r="254" spans="1:7" x14ac:dyDescent="0.3">
      <c r="A254" s="172" t="s">
        <v>1549</v>
      </c>
      <c r="B254" s="115" t="s">
        <v>1550</v>
      </c>
      <c r="C254" s="116">
        <v>0</v>
      </c>
      <c r="E254" s="154"/>
      <c r="F254" s="154"/>
      <c r="G254" s="154"/>
    </row>
    <row r="255" spans="1:7" x14ac:dyDescent="0.3">
      <c r="A255" s="172" t="s">
        <v>1551</v>
      </c>
      <c r="B255" s="115" t="s">
        <v>1552</v>
      </c>
      <c r="C255" s="116">
        <v>0</v>
      </c>
      <c r="E255" s="154"/>
      <c r="F255" s="154"/>
      <c r="G255" s="154"/>
    </row>
    <row r="256" spans="1:7" x14ac:dyDescent="0.3">
      <c r="A256" s="172" t="s">
        <v>1553</v>
      </c>
      <c r="B256" s="115" t="s">
        <v>1554</v>
      </c>
      <c r="C256" s="116">
        <v>0</v>
      </c>
      <c r="E256" s="154"/>
      <c r="F256" s="154"/>
      <c r="G256" s="154"/>
    </row>
    <row r="257" spans="1:7" x14ac:dyDescent="0.3">
      <c r="A257" s="172" t="s">
        <v>1555</v>
      </c>
      <c r="B257" s="115" t="s">
        <v>1556</v>
      </c>
      <c r="C257" s="116">
        <v>0</v>
      </c>
      <c r="E257" s="154"/>
      <c r="F257" s="154"/>
      <c r="G257" s="154"/>
    </row>
    <row r="258" spans="1:7" x14ac:dyDescent="0.3">
      <c r="A258" s="172" t="s">
        <v>1557</v>
      </c>
      <c r="B258" s="115" t="s">
        <v>1558</v>
      </c>
      <c r="C258" s="116">
        <v>0</v>
      </c>
      <c r="E258" s="154"/>
      <c r="F258" s="154"/>
      <c r="G258" s="154"/>
    </row>
    <row r="259" spans="1:7" x14ac:dyDescent="0.3">
      <c r="A259" s="172" t="s">
        <v>1559</v>
      </c>
      <c r="B259" s="115" t="s">
        <v>1560</v>
      </c>
      <c r="C259" s="116">
        <v>0</v>
      </c>
      <c r="E259" s="154"/>
      <c r="F259" s="154"/>
      <c r="G259" s="154"/>
    </row>
    <row r="260" spans="1:7" x14ac:dyDescent="0.3">
      <c r="A260" s="172" t="s">
        <v>1561</v>
      </c>
      <c r="B260" s="115" t="s">
        <v>1562</v>
      </c>
      <c r="C260" s="116">
        <v>0</v>
      </c>
      <c r="E260" s="154"/>
      <c r="F260" s="154"/>
      <c r="G260" s="154"/>
    </row>
    <row r="261" spans="1:7" x14ac:dyDescent="0.3">
      <c r="A261" s="172" t="s">
        <v>1563</v>
      </c>
      <c r="B261" s="115" t="s">
        <v>1564</v>
      </c>
      <c r="C261" s="116">
        <v>0</v>
      </c>
      <c r="E261" s="154"/>
      <c r="F261" s="154"/>
      <c r="G261" s="154"/>
    </row>
    <row r="262" spans="1:7" x14ac:dyDescent="0.3">
      <c r="A262" s="172" t="s">
        <v>1565</v>
      </c>
      <c r="B262" s="115" t="s">
        <v>1566</v>
      </c>
      <c r="C262" s="116">
        <v>-6</v>
      </c>
      <c r="E262" s="154"/>
      <c r="F262" s="154"/>
      <c r="G262" s="154"/>
    </row>
    <row r="263" spans="1:7" x14ac:dyDescent="0.3">
      <c r="A263" s="172" t="s">
        <v>1567</v>
      </c>
      <c r="B263" s="115" t="s">
        <v>1568</v>
      </c>
      <c r="C263" s="116">
        <v>0</v>
      </c>
      <c r="E263" s="154"/>
      <c r="F263" s="154"/>
      <c r="G263" s="154"/>
    </row>
    <row r="264" spans="1:7" x14ac:dyDescent="0.3">
      <c r="A264" s="172" t="s">
        <v>1569</v>
      </c>
      <c r="B264" s="115" t="s">
        <v>1570</v>
      </c>
      <c r="C264" s="116">
        <v>0</v>
      </c>
      <c r="E264" s="154"/>
      <c r="F264" s="154"/>
      <c r="G264" s="154"/>
    </row>
    <row r="265" spans="1:7" x14ac:dyDescent="0.3">
      <c r="A265" s="172" t="s">
        <v>1571</v>
      </c>
      <c r="B265" s="115" t="s">
        <v>1572</v>
      </c>
      <c r="C265" s="116">
        <v>0</v>
      </c>
      <c r="E265" s="154"/>
      <c r="F265" s="154"/>
      <c r="G265" s="154"/>
    </row>
    <row r="266" spans="1:7" x14ac:dyDescent="0.3">
      <c r="A266" s="172" t="s">
        <v>640</v>
      </c>
      <c r="B266" s="115" t="s">
        <v>641</v>
      </c>
      <c r="C266" s="116">
        <v>0</v>
      </c>
      <c r="E266" s="154"/>
      <c r="F266" s="154"/>
      <c r="G266" s="154"/>
    </row>
    <row r="267" spans="1:7" x14ac:dyDescent="0.3">
      <c r="A267" s="172" t="s">
        <v>1573</v>
      </c>
      <c r="B267" s="115" t="s">
        <v>1574</v>
      </c>
      <c r="C267" s="116">
        <v>17090.34</v>
      </c>
      <c r="E267" s="154"/>
      <c r="F267" s="154"/>
      <c r="G267" s="154"/>
    </row>
    <row r="268" spans="1:7" x14ac:dyDescent="0.3">
      <c r="A268" s="172" t="s">
        <v>1575</v>
      </c>
      <c r="B268" s="115" t="s">
        <v>1576</v>
      </c>
      <c r="C268" s="116">
        <v>0</v>
      </c>
      <c r="E268" s="154"/>
      <c r="F268" s="154"/>
      <c r="G268" s="154"/>
    </row>
    <row r="269" spans="1:7" x14ac:dyDescent="0.3">
      <c r="A269" s="172" t="s">
        <v>1577</v>
      </c>
      <c r="B269" s="115" t="s">
        <v>1578</v>
      </c>
      <c r="C269" s="116">
        <v>0</v>
      </c>
      <c r="E269" s="154"/>
      <c r="F269" s="154"/>
      <c r="G269" s="154"/>
    </row>
    <row r="270" spans="1:7" x14ac:dyDescent="0.3">
      <c r="A270" s="172" t="s">
        <v>1579</v>
      </c>
      <c r="B270" s="115" t="s">
        <v>1580</v>
      </c>
      <c r="C270" s="116">
        <v>-3056172485</v>
      </c>
      <c r="E270" s="154"/>
      <c r="F270" s="154"/>
      <c r="G270" s="154"/>
    </row>
    <row r="271" spans="1:7" x14ac:dyDescent="0.3">
      <c r="A271" s="172" t="s">
        <v>1581</v>
      </c>
      <c r="B271" s="115" t="s">
        <v>1582</v>
      </c>
      <c r="C271" s="116">
        <v>-490614036.51999998</v>
      </c>
      <c r="E271" s="154"/>
      <c r="F271" s="154"/>
      <c r="G271" s="154"/>
    </row>
    <row r="272" spans="1:7" x14ac:dyDescent="0.3">
      <c r="A272" s="172" t="s">
        <v>1583</v>
      </c>
      <c r="B272" s="115" t="s">
        <v>1584</v>
      </c>
      <c r="C272" s="116">
        <v>9474011.9499999993</v>
      </c>
      <c r="E272" s="154"/>
      <c r="F272" s="154"/>
      <c r="G272" s="154"/>
    </row>
    <row r="273" spans="1:7" x14ac:dyDescent="0.3">
      <c r="A273" s="172" t="s">
        <v>1585</v>
      </c>
      <c r="B273" s="115" t="s">
        <v>1586</v>
      </c>
      <c r="C273" s="116">
        <v>0</v>
      </c>
      <c r="E273" s="154"/>
      <c r="F273" s="154"/>
      <c r="G273" s="154"/>
    </row>
    <row r="274" spans="1:7" x14ac:dyDescent="0.3">
      <c r="A274" s="172" t="s">
        <v>1587</v>
      </c>
      <c r="B274" s="115" t="s">
        <v>1588</v>
      </c>
      <c r="C274" s="116">
        <v>156670</v>
      </c>
      <c r="E274" s="154"/>
      <c r="F274" s="154"/>
      <c r="G274" s="154"/>
    </row>
    <row r="275" spans="1:7" x14ac:dyDescent="0.3">
      <c r="A275" s="172" t="s">
        <v>1589</v>
      </c>
      <c r="B275" s="115" t="s">
        <v>1590</v>
      </c>
      <c r="C275" s="116">
        <v>1400</v>
      </c>
      <c r="E275" s="154"/>
      <c r="F275" s="154"/>
      <c r="G275" s="154"/>
    </row>
    <row r="276" spans="1:7" x14ac:dyDescent="0.3">
      <c r="A276" s="172" t="s">
        <v>1591</v>
      </c>
      <c r="B276" s="115" t="s">
        <v>1592</v>
      </c>
      <c r="C276" s="116">
        <v>0</v>
      </c>
      <c r="E276" s="154"/>
      <c r="F276" s="154"/>
      <c r="G276" s="154"/>
    </row>
    <row r="277" spans="1:7" x14ac:dyDescent="0.3">
      <c r="A277" s="172" t="s">
        <v>1593</v>
      </c>
      <c r="B277" s="115" t="s">
        <v>1594</v>
      </c>
      <c r="C277" s="116">
        <v>612192.81000000006</v>
      </c>
      <c r="E277" s="154"/>
      <c r="F277" s="154"/>
      <c r="G277" s="154"/>
    </row>
    <row r="278" spans="1:7" x14ac:dyDescent="0.3">
      <c r="A278" s="172" t="s">
        <v>1595</v>
      </c>
      <c r="B278" s="115" t="s">
        <v>1596</v>
      </c>
      <c r="C278" s="116">
        <v>-9479657091.2299995</v>
      </c>
      <c r="E278" s="154"/>
      <c r="F278" s="154"/>
      <c r="G278" s="154"/>
    </row>
    <row r="279" spans="1:7" x14ac:dyDescent="0.3">
      <c r="A279" s="172" t="s">
        <v>1597</v>
      </c>
      <c r="B279" s="115" t="s">
        <v>1598</v>
      </c>
      <c r="C279" s="116">
        <v>-2494660.54</v>
      </c>
      <c r="E279" s="154"/>
      <c r="F279" s="154"/>
      <c r="G279" s="154"/>
    </row>
    <row r="280" spans="1:7" x14ac:dyDescent="0.3">
      <c r="A280" s="172" t="s">
        <v>1599</v>
      </c>
      <c r="B280" s="115" t="s">
        <v>1600</v>
      </c>
      <c r="C280" s="116">
        <v>64507</v>
      </c>
      <c r="E280" s="154"/>
      <c r="F280" s="154"/>
      <c r="G280" s="154"/>
    </row>
    <row r="281" spans="1:7" x14ac:dyDescent="0.3">
      <c r="A281" s="172" t="s">
        <v>1601</v>
      </c>
      <c r="B281" s="115" t="s">
        <v>1602</v>
      </c>
      <c r="C281" s="116">
        <v>-1993276.34</v>
      </c>
      <c r="E281" s="154"/>
      <c r="F281" s="154"/>
      <c r="G281" s="154"/>
    </row>
    <row r="282" spans="1:7" x14ac:dyDescent="0.3">
      <c r="A282" s="172" t="s">
        <v>1603</v>
      </c>
      <c r="B282" s="115" t="s">
        <v>1604</v>
      </c>
      <c r="C282" s="116">
        <v>319861.75</v>
      </c>
      <c r="E282" s="154"/>
      <c r="F282" s="154"/>
      <c r="G282" s="154"/>
    </row>
    <row r="283" spans="1:7" x14ac:dyDescent="0.3">
      <c r="A283" s="172" t="s">
        <v>1605</v>
      </c>
      <c r="B283" s="115" t="s">
        <v>1606</v>
      </c>
      <c r="C283" s="116">
        <v>-178176470.68000001</v>
      </c>
      <c r="E283" s="154"/>
      <c r="F283" s="154"/>
      <c r="G283" s="154"/>
    </row>
    <row r="284" spans="1:7" x14ac:dyDescent="0.3">
      <c r="A284" s="172" t="s">
        <v>1607</v>
      </c>
      <c r="B284" s="115" t="s">
        <v>1608</v>
      </c>
      <c r="C284" s="116">
        <v>1096180.5</v>
      </c>
      <c r="E284" s="154"/>
      <c r="F284" s="154"/>
      <c r="G284" s="154"/>
    </row>
    <row r="285" spans="1:7" x14ac:dyDescent="0.3">
      <c r="A285" s="172" t="s">
        <v>1609</v>
      </c>
      <c r="B285" s="115" t="s">
        <v>1610</v>
      </c>
      <c r="C285" s="116">
        <v>0</v>
      </c>
      <c r="E285" s="154"/>
      <c r="F285" s="154"/>
      <c r="G285" s="154"/>
    </row>
    <row r="286" spans="1:7" x14ac:dyDescent="0.3">
      <c r="A286" s="172" t="s">
        <v>1611</v>
      </c>
      <c r="B286" s="115" t="s">
        <v>1612</v>
      </c>
      <c r="C286" s="116">
        <v>223320.39</v>
      </c>
      <c r="E286" s="154"/>
      <c r="F286" s="154"/>
      <c r="G286" s="154"/>
    </row>
    <row r="287" spans="1:7" x14ac:dyDescent="0.3">
      <c r="A287" s="172" t="s">
        <v>1613</v>
      </c>
      <c r="B287" s="115" t="s">
        <v>1614</v>
      </c>
      <c r="C287" s="116">
        <v>228600</v>
      </c>
      <c r="E287" s="154"/>
      <c r="F287" s="154"/>
      <c r="G287" s="154"/>
    </row>
    <row r="288" spans="1:7" x14ac:dyDescent="0.3">
      <c r="A288" s="172" t="s">
        <v>1615</v>
      </c>
      <c r="B288" s="115" t="s">
        <v>1616</v>
      </c>
      <c r="C288" s="116">
        <v>144653.76000000001</v>
      </c>
      <c r="E288" s="154"/>
      <c r="F288" s="154"/>
      <c r="G288" s="154"/>
    </row>
    <row r="289" spans="1:7" x14ac:dyDescent="0.3">
      <c r="A289" s="172" t="s">
        <v>1617</v>
      </c>
      <c r="B289" s="115" t="s">
        <v>1618</v>
      </c>
      <c r="C289" s="116">
        <v>239158</v>
      </c>
      <c r="E289" s="154"/>
      <c r="F289" s="154"/>
      <c r="G289" s="154"/>
    </row>
    <row r="290" spans="1:7" x14ac:dyDescent="0.3">
      <c r="A290" s="172" t="s">
        <v>1619</v>
      </c>
      <c r="B290" s="115" t="s">
        <v>1620</v>
      </c>
      <c r="C290" s="116">
        <v>183089.93</v>
      </c>
      <c r="E290" s="154"/>
      <c r="F290" s="154"/>
      <c r="G290" s="154"/>
    </row>
    <row r="291" spans="1:7" x14ac:dyDescent="0.3">
      <c r="A291" s="172" t="s">
        <v>1621</v>
      </c>
      <c r="B291" s="115" t="s">
        <v>1622</v>
      </c>
      <c r="C291" s="116">
        <v>6384.8</v>
      </c>
      <c r="E291" s="154"/>
      <c r="F291" s="154"/>
      <c r="G291" s="154"/>
    </row>
    <row r="292" spans="1:7" x14ac:dyDescent="0.3">
      <c r="A292" s="172" t="s">
        <v>1623</v>
      </c>
      <c r="B292" s="115" t="s">
        <v>1624</v>
      </c>
      <c r="C292" s="116">
        <v>9112126.25</v>
      </c>
      <c r="E292" s="154"/>
      <c r="F292" s="154"/>
      <c r="G292" s="154"/>
    </row>
    <row r="293" spans="1:7" x14ac:dyDescent="0.3">
      <c r="A293" s="172" t="s">
        <v>1625</v>
      </c>
      <c r="B293" s="115" t="s">
        <v>1626</v>
      </c>
      <c r="C293" s="116">
        <v>0</v>
      </c>
      <c r="E293" s="154"/>
      <c r="F293" s="154"/>
      <c r="G293" s="154"/>
    </row>
    <row r="294" spans="1:7" x14ac:dyDescent="0.3">
      <c r="A294" s="172" t="s">
        <v>1627</v>
      </c>
      <c r="B294" s="115" t="s">
        <v>1628</v>
      </c>
      <c r="C294" s="116">
        <v>117465</v>
      </c>
      <c r="E294" s="154"/>
      <c r="F294" s="154"/>
      <c r="G294" s="154"/>
    </row>
    <row r="295" spans="1:7" x14ac:dyDescent="0.3">
      <c r="A295" s="172" t="s">
        <v>1629</v>
      </c>
      <c r="B295" s="115" t="s">
        <v>1630</v>
      </c>
      <c r="C295" s="116">
        <v>-3528173750</v>
      </c>
      <c r="E295" s="154"/>
      <c r="F295" s="154"/>
      <c r="G295" s="154"/>
    </row>
    <row r="296" spans="1:7" x14ac:dyDescent="0.3">
      <c r="A296" s="172" t="s">
        <v>1631</v>
      </c>
      <c r="B296" s="115" t="s">
        <v>1632</v>
      </c>
      <c r="C296" s="116">
        <v>121267.75</v>
      </c>
      <c r="E296" s="154"/>
      <c r="F296" s="154"/>
      <c r="G296" s="154"/>
    </row>
    <row r="297" spans="1:7" x14ac:dyDescent="0.3">
      <c r="A297" s="172" t="s">
        <v>1633</v>
      </c>
      <c r="B297" s="115" t="s">
        <v>1634</v>
      </c>
      <c r="C297" s="116">
        <v>-2000</v>
      </c>
      <c r="E297" s="154"/>
      <c r="F297" s="154"/>
      <c r="G297" s="154"/>
    </row>
    <row r="298" spans="1:7" x14ac:dyDescent="0.3">
      <c r="A298" s="172" t="s">
        <v>730</v>
      </c>
      <c r="B298" s="115" t="s">
        <v>731</v>
      </c>
      <c r="C298" s="116">
        <v>0</v>
      </c>
      <c r="E298" s="154"/>
      <c r="F298" s="154"/>
      <c r="G298" s="154"/>
    </row>
    <row r="299" spans="1:7" x14ac:dyDescent="0.3">
      <c r="A299" s="172" t="s">
        <v>1635</v>
      </c>
      <c r="B299" s="115" t="s">
        <v>1636</v>
      </c>
      <c r="C299" s="116">
        <v>0</v>
      </c>
      <c r="E299" s="154"/>
      <c r="F299" s="154"/>
      <c r="G299" s="154"/>
    </row>
    <row r="300" spans="1:7" x14ac:dyDescent="0.3">
      <c r="A300" s="172" t="s">
        <v>1637</v>
      </c>
      <c r="B300" s="115" t="s">
        <v>1638</v>
      </c>
      <c r="C300" s="116">
        <v>64000</v>
      </c>
      <c r="E300" s="154"/>
      <c r="F300" s="154"/>
      <c r="G300" s="154"/>
    </row>
    <row r="301" spans="1:7" x14ac:dyDescent="0.3">
      <c r="A301" s="172" t="s">
        <v>1639</v>
      </c>
      <c r="B301" s="115" t="s">
        <v>1640</v>
      </c>
      <c r="C301" s="116">
        <v>8673.01</v>
      </c>
      <c r="E301" s="154"/>
      <c r="F301" s="154"/>
      <c r="G301" s="154"/>
    </row>
    <row r="302" spans="1:7" x14ac:dyDescent="0.3">
      <c r="A302" s="172" t="s">
        <v>1641</v>
      </c>
      <c r="B302" s="115" t="s">
        <v>1642</v>
      </c>
      <c r="C302" s="116">
        <v>17460</v>
      </c>
      <c r="E302" s="154"/>
      <c r="F302" s="154"/>
      <c r="G302" s="154"/>
    </row>
    <row r="303" spans="1:7" x14ac:dyDescent="0.3">
      <c r="A303" s="172" t="s">
        <v>1643</v>
      </c>
      <c r="B303" s="115" t="s">
        <v>1644</v>
      </c>
      <c r="C303" s="116">
        <v>186488.5</v>
      </c>
      <c r="E303" s="154"/>
      <c r="F303" s="154"/>
      <c r="G303" s="154"/>
    </row>
    <row r="304" spans="1:7" x14ac:dyDescent="0.3">
      <c r="A304" s="172" t="s">
        <v>1645</v>
      </c>
      <c r="B304" s="115" t="s">
        <v>1646</v>
      </c>
      <c r="C304" s="116">
        <v>53373</v>
      </c>
      <c r="E304" s="154"/>
      <c r="F304" s="154"/>
      <c r="G304" s="154"/>
    </row>
    <row r="305" spans="1:7" x14ac:dyDescent="0.3">
      <c r="A305" s="172" t="s">
        <v>1647</v>
      </c>
      <c r="B305" s="115" t="s">
        <v>1648</v>
      </c>
      <c r="C305" s="116">
        <v>0</v>
      </c>
      <c r="E305" s="154"/>
      <c r="F305" s="154"/>
      <c r="G305" s="154"/>
    </row>
    <row r="306" spans="1:7" x14ac:dyDescent="0.3">
      <c r="A306" s="172" t="s">
        <v>1649</v>
      </c>
      <c r="B306" s="115" t="s">
        <v>1650</v>
      </c>
      <c r="C306" s="116">
        <v>-984589.8</v>
      </c>
      <c r="E306" s="154"/>
      <c r="F306" s="154"/>
      <c r="G306" s="154"/>
    </row>
    <row r="307" spans="1:7" x14ac:dyDescent="0.3">
      <c r="A307" s="172" t="s">
        <v>1651</v>
      </c>
      <c r="B307" s="115" t="s">
        <v>1652</v>
      </c>
      <c r="C307" s="116">
        <v>35000</v>
      </c>
      <c r="E307" s="154"/>
      <c r="F307" s="154"/>
      <c r="G307" s="154"/>
    </row>
    <row r="308" spans="1:7" x14ac:dyDescent="0.3">
      <c r="A308" s="172" t="s">
        <v>1653</v>
      </c>
      <c r="B308" s="115" t="s">
        <v>1654</v>
      </c>
      <c r="C308" s="116">
        <v>4890</v>
      </c>
      <c r="E308" s="154"/>
      <c r="F308" s="154"/>
      <c r="G308" s="154"/>
    </row>
    <row r="309" spans="1:7" x14ac:dyDescent="0.3">
      <c r="A309" s="172" t="s">
        <v>1655</v>
      </c>
      <c r="B309" s="115" t="s">
        <v>1656</v>
      </c>
      <c r="C309" s="116">
        <v>43900</v>
      </c>
      <c r="E309" s="154"/>
      <c r="F309" s="154"/>
      <c r="G309" s="154"/>
    </row>
    <row r="310" spans="1:7" x14ac:dyDescent="0.3">
      <c r="A310" s="172" t="s">
        <v>1657</v>
      </c>
      <c r="B310" s="115" t="s">
        <v>1658</v>
      </c>
      <c r="C310" s="116">
        <v>0</v>
      </c>
      <c r="E310" s="154"/>
      <c r="F310" s="154"/>
      <c r="G310" s="154"/>
    </row>
    <row r="311" spans="1:7" x14ac:dyDescent="0.3">
      <c r="A311" s="172" t="s">
        <v>600</v>
      </c>
      <c r="B311" s="115" t="s">
        <v>601</v>
      </c>
      <c r="C311" s="116">
        <v>0.04</v>
      </c>
      <c r="E311" s="154"/>
      <c r="F311" s="154"/>
      <c r="G311" s="154"/>
    </row>
    <row r="312" spans="1:7" x14ac:dyDescent="0.3">
      <c r="A312" s="172" t="s">
        <v>1659</v>
      </c>
      <c r="B312" s="115" t="s">
        <v>1660</v>
      </c>
      <c r="C312" s="116">
        <v>0</v>
      </c>
      <c r="E312" s="154"/>
      <c r="F312" s="154"/>
      <c r="G312" s="154"/>
    </row>
    <row r="313" spans="1:7" x14ac:dyDescent="0.3">
      <c r="A313" s="172" t="s">
        <v>1661</v>
      </c>
      <c r="B313" s="115" t="s">
        <v>1662</v>
      </c>
      <c r="C313" s="116">
        <v>13612</v>
      </c>
      <c r="E313" s="154"/>
      <c r="F313" s="154"/>
      <c r="G313" s="154"/>
    </row>
    <row r="314" spans="1:7" x14ac:dyDescent="0.3">
      <c r="A314" s="172" t="s">
        <v>1663</v>
      </c>
      <c r="B314" s="115" t="s">
        <v>1664</v>
      </c>
      <c r="C314" s="116">
        <v>0</v>
      </c>
      <c r="E314" s="154"/>
      <c r="F314" s="154"/>
      <c r="G314" s="154"/>
    </row>
    <row r="315" spans="1:7" x14ac:dyDescent="0.3">
      <c r="A315" s="172" t="s">
        <v>1665</v>
      </c>
      <c r="B315" s="115" t="s">
        <v>1666</v>
      </c>
      <c r="C315" s="116">
        <v>0</v>
      </c>
      <c r="E315" s="154"/>
      <c r="F315" s="154"/>
      <c r="G315" s="154"/>
    </row>
    <row r="316" spans="1:7" x14ac:dyDescent="0.3">
      <c r="A316" s="172" t="s">
        <v>1667</v>
      </c>
      <c r="B316" s="115" t="s">
        <v>1668</v>
      </c>
      <c r="C316" s="116">
        <v>0</v>
      </c>
      <c r="E316" s="154"/>
      <c r="F316" s="154"/>
      <c r="G316" s="154"/>
    </row>
    <row r="317" spans="1:7" x14ac:dyDescent="0.3">
      <c r="A317" s="172" t="s">
        <v>594</v>
      </c>
      <c r="B317" s="115" t="s">
        <v>595</v>
      </c>
      <c r="C317" s="116">
        <v>0</v>
      </c>
      <c r="E317" s="154"/>
      <c r="F317" s="154"/>
      <c r="G317" s="154"/>
    </row>
    <row r="318" spans="1:7" x14ac:dyDescent="0.3">
      <c r="A318" s="172" t="s">
        <v>1669</v>
      </c>
      <c r="B318" s="115" t="s">
        <v>1670</v>
      </c>
      <c r="C318" s="116">
        <v>0</v>
      </c>
      <c r="E318" s="154"/>
      <c r="F318" s="154"/>
      <c r="G318" s="154"/>
    </row>
    <row r="319" spans="1:7" x14ac:dyDescent="0.3">
      <c r="A319" s="172" t="s">
        <v>1671</v>
      </c>
      <c r="B319" s="115" t="s">
        <v>1672</v>
      </c>
      <c r="C319" s="116">
        <v>40502</v>
      </c>
      <c r="E319" s="154"/>
      <c r="F319" s="154"/>
      <c r="G319" s="154"/>
    </row>
    <row r="320" spans="1:7" x14ac:dyDescent="0.3">
      <c r="A320" s="172" t="s">
        <v>1673</v>
      </c>
      <c r="B320" s="115" t="s">
        <v>1674</v>
      </c>
      <c r="C320" s="116">
        <v>0</v>
      </c>
      <c r="E320" s="154"/>
      <c r="F320" s="154"/>
      <c r="G320" s="154"/>
    </row>
    <row r="321" spans="1:7" x14ac:dyDescent="0.3">
      <c r="A321" s="172" t="s">
        <v>1675</v>
      </c>
      <c r="B321" s="115" t="s">
        <v>1676</v>
      </c>
      <c r="C321" s="116">
        <v>0</v>
      </c>
      <c r="E321" s="154"/>
      <c r="F321" s="154"/>
      <c r="G321" s="154"/>
    </row>
    <row r="322" spans="1:7" x14ac:dyDescent="0.3">
      <c r="A322" s="172" t="s">
        <v>570</v>
      </c>
      <c r="B322" s="115" t="s">
        <v>571</v>
      </c>
      <c r="C322" s="116">
        <v>0</v>
      </c>
      <c r="E322" s="154"/>
      <c r="F322" s="154"/>
      <c r="G322" s="154"/>
    </row>
    <row r="323" spans="1:7" x14ac:dyDescent="0.3">
      <c r="A323" s="172" t="s">
        <v>1677</v>
      </c>
      <c r="B323" s="115" t="s">
        <v>1678</v>
      </c>
      <c r="C323" s="116">
        <v>0</v>
      </c>
      <c r="E323" s="154"/>
      <c r="F323" s="154"/>
      <c r="G323" s="154"/>
    </row>
    <row r="324" spans="1:7" x14ac:dyDescent="0.3">
      <c r="A324" s="172" t="s">
        <v>1679</v>
      </c>
      <c r="B324" s="115" t="s">
        <v>1680</v>
      </c>
      <c r="C324" s="116">
        <v>0</v>
      </c>
      <c r="E324" s="154"/>
      <c r="F324" s="154"/>
      <c r="G324" s="154"/>
    </row>
    <row r="325" spans="1:7" x14ac:dyDescent="0.3">
      <c r="A325" s="172" t="s">
        <v>1681</v>
      </c>
      <c r="B325" s="115" t="s">
        <v>1682</v>
      </c>
      <c r="C325" s="116">
        <v>0</v>
      </c>
      <c r="E325" s="154"/>
      <c r="F325" s="154"/>
      <c r="G325" s="154"/>
    </row>
    <row r="326" spans="1:7" x14ac:dyDescent="0.3">
      <c r="A326" s="172" t="s">
        <v>1683</v>
      </c>
      <c r="B326" s="115" t="s">
        <v>1684</v>
      </c>
      <c r="C326" s="116">
        <v>0</v>
      </c>
      <c r="E326" s="154"/>
      <c r="F326" s="154"/>
      <c r="G326" s="154"/>
    </row>
    <row r="327" spans="1:7" x14ac:dyDescent="0.3">
      <c r="A327" s="172" t="s">
        <v>664</v>
      </c>
      <c r="B327" s="115" t="s">
        <v>665</v>
      </c>
      <c r="C327" s="116">
        <v>0</v>
      </c>
      <c r="E327" s="154"/>
      <c r="F327" s="154"/>
      <c r="G327" s="154"/>
    </row>
    <row r="328" spans="1:7" x14ac:dyDescent="0.3">
      <c r="A328" s="172" t="s">
        <v>1685</v>
      </c>
      <c r="B328" s="115" t="s">
        <v>1686</v>
      </c>
      <c r="C328" s="116">
        <v>0</v>
      </c>
      <c r="E328" s="154"/>
      <c r="F328" s="154"/>
      <c r="G328" s="154"/>
    </row>
    <row r="329" spans="1:7" x14ac:dyDescent="0.3">
      <c r="A329" s="172" t="s">
        <v>1687</v>
      </c>
      <c r="B329" s="115" t="s">
        <v>1688</v>
      </c>
      <c r="C329" s="116">
        <v>0</v>
      </c>
      <c r="E329" s="154"/>
      <c r="F329" s="154"/>
      <c r="G329" s="154"/>
    </row>
    <row r="330" spans="1:7" x14ac:dyDescent="0.3">
      <c r="A330" s="172" t="s">
        <v>1689</v>
      </c>
      <c r="B330" s="115" t="s">
        <v>1690</v>
      </c>
      <c r="C330" s="116">
        <v>0</v>
      </c>
      <c r="E330" s="154"/>
      <c r="F330" s="154"/>
      <c r="G330" s="154"/>
    </row>
    <row r="331" spans="1:7" x14ac:dyDescent="0.3">
      <c r="A331" s="172" t="s">
        <v>1691</v>
      </c>
      <c r="B331" s="115" t="s">
        <v>1692</v>
      </c>
      <c r="C331" s="116">
        <v>0</v>
      </c>
      <c r="E331" s="154"/>
      <c r="F331" s="154"/>
      <c r="G331" s="154"/>
    </row>
    <row r="332" spans="1:7" x14ac:dyDescent="0.3">
      <c r="A332" s="172" t="s">
        <v>1693</v>
      </c>
      <c r="B332" s="115" t="s">
        <v>1694</v>
      </c>
      <c r="C332" s="116">
        <v>0</v>
      </c>
      <c r="E332" s="154"/>
      <c r="F332" s="154"/>
      <c r="G332" s="154"/>
    </row>
    <row r="333" spans="1:7" x14ac:dyDescent="0.3">
      <c r="A333" s="172" t="s">
        <v>1695</v>
      </c>
      <c r="B333" s="115" t="s">
        <v>1696</v>
      </c>
      <c r="C333" s="116">
        <v>0</v>
      </c>
      <c r="E333" s="154"/>
      <c r="F333" s="154"/>
      <c r="G333" s="154"/>
    </row>
    <row r="334" spans="1:7" x14ac:dyDescent="0.3">
      <c r="A334" s="172" t="s">
        <v>1697</v>
      </c>
      <c r="B334" s="115" t="s">
        <v>1698</v>
      </c>
      <c r="C334" s="116">
        <v>0</v>
      </c>
      <c r="E334" s="154"/>
      <c r="F334" s="154"/>
      <c r="G334" s="154"/>
    </row>
    <row r="335" spans="1:7" x14ac:dyDescent="0.3">
      <c r="A335" s="172" t="s">
        <v>1699</v>
      </c>
      <c r="B335" s="115" t="s">
        <v>1700</v>
      </c>
      <c r="C335" s="116">
        <v>0</v>
      </c>
      <c r="E335" s="154"/>
      <c r="F335" s="154"/>
      <c r="G335" s="154"/>
    </row>
    <row r="336" spans="1:7" x14ac:dyDescent="0.3">
      <c r="A336" s="172" t="s">
        <v>1701</v>
      </c>
      <c r="B336" s="115" t="s">
        <v>1702</v>
      </c>
      <c r="C336" s="116">
        <v>0</v>
      </c>
      <c r="E336" s="154"/>
      <c r="F336" s="154"/>
      <c r="G336" s="154"/>
    </row>
    <row r="337" spans="1:7" x14ac:dyDescent="0.3">
      <c r="A337" s="172" t="s">
        <v>1703</v>
      </c>
      <c r="B337" s="115" t="s">
        <v>1704</v>
      </c>
      <c r="C337" s="116">
        <v>0</v>
      </c>
      <c r="E337" s="154"/>
      <c r="F337" s="154"/>
      <c r="G337" s="154"/>
    </row>
    <row r="338" spans="1:7" x14ac:dyDescent="0.3">
      <c r="A338" s="172" t="s">
        <v>1705</v>
      </c>
      <c r="B338" s="115" t="s">
        <v>1706</v>
      </c>
      <c r="C338" s="116">
        <v>0</v>
      </c>
      <c r="E338" s="154"/>
      <c r="F338" s="154"/>
      <c r="G338" s="154"/>
    </row>
    <row r="339" spans="1:7" x14ac:dyDescent="0.3">
      <c r="A339" s="172" t="s">
        <v>550</v>
      </c>
      <c r="B339" s="115" t="s">
        <v>551</v>
      </c>
      <c r="C339" s="116">
        <v>0</v>
      </c>
      <c r="E339" s="154"/>
      <c r="F339" s="154"/>
      <c r="G339" s="154"/>
    </row>
    <row r="340" spans="1:7" x14ac:dyDescent="0.3">
      <c r="A340" s="172" t="s">
        <v>1707</v>
      </c>
      <c r="B340" s="115" t="s">
        <v>1708</v>
      </c>
      <c r="C340" s="116">
        <v>0</v>
      </c>
      <c r="E340" s="154"/>
      <c r="F340" s="154"/>
      <c r="G340" s="154"/>
    </row>
    <row r="341" spans="1:7" x14ac:dyDescent="0.3">
      <c r="A341" s="172" t="s">
        <v>1709</v>
      </c>
      <c r="B341" s="115" t="s">
        <v>1710</v>
      </c>
      <c r="C341" s="116">
        <v>0</v>
      </c>
      <c r="E341" s="154"/>
      <c r="F341" s="154"/>
      <c r="G341" s="154"/>
    </row>
    <row r="342" spans="1:7" x14ac:dyDescent="0.3">
      <c r="A342" s="172" t="s">
        <v>1711</v>
      </c>
      <c r="B342" s="115" t="s">
        <v>1712</v>
      </c>
      <c r="C342" s="116">
        <v>0</v>
      </c>
      <c r="E342" s="154"/>
      <c r="F342" s="154"/>
      <c r="G342" s="154"/>
    </row>
    <row r="343" spans="1:7" x14ac:dyDescent="0.3">
      <c r="A343" s="172" t="s">
        <v>1713</v>
      </c>
      <c r="B343" s="115" t="s">
        <v>1714</v>
      </c>
      <c r="C343" s="116">
        <v>0</v>
      </c>
      <c r="E343" s="154"/>
      <c r="F343" s="154"/>
      <c r="G343" s="154"/>
    </row>
    <row r="344" spans="1:7" x14ac:dyDescent="0.3">
      <c r="A344" s="172" t="s">
        <v>1715</v>
      </c>
      <c r="B344" s="115" t="s">
        <v>1716</v>
      </c>
      <c r="C344" s="116">
        <v>0</v>
      </c>
      <c r="E344" s="154"/>
      <c r="F344" s="154"/>
      <c r="G344" s="154"/>
    </row>
    <row r="345" spans="1:7" x14ac:dyDescent="0.3">
      <c r="A345" s="172" t="s">
        <v>1717</v>
      </c>
      <c r="B345" s="115" t="s">
        <v>1718</v>
      </c>
      <c r="C345" s="116">
        <v>0</v>
      </c>
      <c r="E345" s="154"/>
      <c r="F345" s="154"/>
      <c r="G345" s="154"/>
    </row>
    <row r="346" spans="1:7" x14ac:dyDescent="0.3">
      <c r="A346" s="172" t="s">
        <v>1719</v>
      </c>
      <c r="B346" s="115" t="s">
        <v>1720</v>
      </c>
      <c r="C346" s="116">
        <v>0</v>
      </c>
      <c r="E346" s="154"/>
      <c r="F346" s="154"/>
      <c r="G346" s="154"/>
    </row>
    <row r="347" spans="1:7" x14ac:dyDescent="0.3">
      <c r="A347" s="172" t="s">
        <v>1721</v>
      </c>
      <c r="B347" s="115" t="s">
        <v>1722</v>
      </c>
      <c r="C347" s="116">
        <v>0</v>
      </c>
      <c r="E347" s="154"/>
      <c r="F347" s="154"/>
      <c r="G347" s="154"/>
    </row>
    <row r="348" spans="1:7" x14ac:dyDescent="0.3">
      <c r="A348" s="172" t="s">
        <v>1052</v>
      </c>
      <c r="B348" s="115" t="s">
        <v>1053</v>
      </c>
      <c r="C348" s="116">
        <v>-13998639</v>
      </c>
      <c r="E348" s="154"/>
      <c r="F348" s="154"/>
      <c r="G348" s="154"/>
    </row>
    <row r="349" spans="1:7" x14ac:dyDescent="0.3">
      <c r="A349" s="172" t="s">
        <v>1723</v>
      </c>
      <c r="B349" s="115" t="s">
        <v>1724</v>
      </c>
      <c r="C349" s="116">
        <v>5300095.43</v>
      </c>
      <c r="E349" s="154"/>
      <c r="F349" s="154"/>
      <c r="G349" s="154"/>
    </row>
    <row r="350" spans="1:7" x14ac:dyDescent="0.3">
      <c r="A350" s="172" t="s">
        <v>1016</v>
      </c>
      <c r="B350" s="115" t="s">
        <v>1725</v>
      </c>
      <c r="C350" s="116">
        <v>-7199655.6100000003</v>
      </c>
      <c r="E350" s="154"/>
      <c r="F350" s="154"/>
      <c r="G350" s="154"/>
    </row>
    <row r="351" spans="1:7" x14ac:dyDescent="0.3">
      <c r="A351" s="172" t="s">
        <v>1726</v>
      </c>
      <c r="B351" s="115" t="s">
        <v>1727</v>
      </c>
      <c r="C351" s="116">
        <v>249075</v>
      </c>
      <c r="E351" s="154"/>
      <c r="F351" s="154"/>
      <c r="G351" s="154"/>
    </row>
    <row r="352" spans="1:7" x14ac:dyDescent="0.3">
      <c r="A352" s="172" t="s">
        <v>1728</v>
      </c>
      <c r="B352" s="115" t="s">
        <v>1729</v>
      </c>
      <c r="C352" s="116">
        <v>0</v>
      </c>
      <c r="E352" s="154"/>
      <c r="F352" s="154"/>
      <c r="G352" s="154"/>
    </row>
    <row r="353" spans="1:7" x14ac:dyDescent="0.3">
      <c r="A353" s="172" t="s">
        <v>1730</v>
      </c>
      <c r="B353" s="115" t="s">
        <v>1731</v>
      </c>
      <c r="C353" s="116">
        <v>111138.55</v>
      </c>
      <c r="E353" s="154"/>
      <c r="F353" s="154"/>
      <c r="G353" s="154"/>
    </row>
    <row r="354" spans="1:7" x14ac:dyDescent="0.3">
      <c r="A354" s="172" t="s">
        <v>1732</v>
      </c>
      <c r="B354" s="115" t="s">
        <v>1733</v>
      </c>
      <c r="C354" s="116">
        <v>14667476.640000001</v>
      </c>
      <c r="E354" s="154"/>
      <c r="F354" s="154"/>
      <c r="G354" s="154"/>
    </row>
    <row r="355" spans="1:7" x14ac:dyDescent="0.3">
      <c r="A355" s="172" t="s">
        <v>1734</v>
      </c>
      <c r="B355" s="115" t="s">
        <v>1735</v>
      </c>
      <c r="C355" s="116">
        <v>174834</v>
      </c>
      <c r="E355" s="154"/>
      <c r="F355" s="154"/>
      <c r="G355" s="154"/>
    </row>
    <row r="356" spans="1:7" x14ac:dyDescent="0.3">
      <c r="A356" s="172" t="s">
        <v>1736</v>
      </c>
      <c r="B356" s="115" t="s">
        <v>1737</v>
      </c>
      <c r="C356" s="116">
        <v>154759</v>
      </c>
      <c r="E356" s="154"/>
      <c r="F356" s="154"/>
      <c r="G356" s="154"/>
    </row>
    <row r="357" spans="1:7" x14ac:dyDescent="0.3">
      <c r="A357" s="172" t="s">
        <v>1738</v>
      </c>
      <c r="B357" s="115" t="s">
        <v>1739</v>
      </c>
      <c r="C357" s="116">
        <v>707349.8</v>
      </c>
      <c r="E357" s="154"/>
      <c r="F357" s="154"/>
      <c r="G357" s="154"/>
    </row>
    <row r="358" spans="1:7" x14ac:dyDescent="0.3">
      <c r="A358" s="172" t="s">
        <v>728</v>
      </c>
      <c r="B358" s="115" t="s">
        <v>729</v>
      </c>
      <c r="C358" s="116">
        <v>-235.43</v>
      </c>
      <c r="E358" s="154"/>
      <c r="F358" s="154"/>
      <c r="G358" s="154"/>
    </row>
    <row r="359" spans="1:7" x14ac:dyDescent="0.3">
      <c r="A359" s="172" t="s">
        <v>1740</v>
      </c>
      <c r="B359" s="115" t="s">
        <v>1741</v>
      </c>
      <c r="C359" s="116">
        <v>246548</v>
      </c>
      <c r="E359" s="154"/>
      <c r="F359" s="154"/>
      <c r="G359" s="154"/>
    </row>
    <row r="360" spans="1:7" x14ac:dyDescent="0.3">
      <c r="A360" s="172" t="s">
        <v>1742</v>
      </c>
      <c r="B360" s="115" t="s">
        <v>1743</v>
      </c>
      <c r="C360" s="116">
        <v>111138.55</v>
      </c>
      <c r="E360" s="154"/>
      <c r="F360" s="154"/>
      <c r="G360" s="154"/>
    </row>
    <row r="361" spans="1:7" x14ac:dyDescent="0.3">
      <c r="A361" s="172" t="s">
        <v>1744</v>
      </c>
      <c r="B361" s="115" t="s">
        <v>1745</v>
      </c>
      <c r="C361" s="116">
        <v>903788.1</v>
      </c>
      <c r="E361" s="154"/>
      <c r="F361" s="154"/>
      <c r="G361" s="154"/>
    </row>
    <row r="362" spans="1:7" x14ac:dyDescent="0.3">
      <c r="A362" s="172" t="s">
        <v>1746</v>
      </c>
      <c r="B362" s="115" t="s">
        <v>1747</v>
      </c>
      <c r="C362" s="116">
        <v>433381.25</v>
      </c>
      <c r="E362" s="154"/>
      <c r="F362" s="154"/>
      <c r="G362" s="154"/>
    </row>
    <row r="363" spans="1:7" x14ac:dyDescent="0.3">
      <c r="A363" s="172" t="s">
        <v>1748</v>
      </c>
      <c r="B363" s="115" t="s">
        <v>1749</v>
      </c>
      <c r="C363" s="116">
        <v>-0.02</v>
      </c>
      <c r="E363" s="154"/>
      <c r="F363" s="154"/>
      <c r="G363" s="154"/>
    </row>
    <row r="364" spans="1:7" x14ac:dyDescent="0.3">
      <c r="A364" s="172" t="s">
        <v>1750</v>
      </c>
      <c r="B364" s="115" t="s">
        <v>1751</v>
      </c>
      <c r="C364" s="116">
        <v>111138.55</v>
      </c>
      <c r="E364" s="154"/>
      <c r="F364" s="154"/>
      <c r="G364" s="154"/>
    </row>
    <row r="365" spans="1:7" x14ac:dyDescent="0.3">
      <c r="A365" s="172" t="s">
        <v>598</v>
      </c>
      <c r="B365" s="115" t="s">
        <v>599</v>
      </c>
      <c r="C365" s="116">
        <v>5000000</v>
      </c>
      <c r="E365" s="154"/>
      <c r="F365" s="154"/>
      <c r="G365" s="154"/>
    </row>
    <row r="366" spans="1:7" x14ac:dyDescent="0.3">
      <c r="A366" s="172" t="s">
        <v>1752</v>
      </c>
      <c r="B366" s="115" t="s">
        <v>1753</v>
      </c>
      <c r="C366" s="116">
        <v>148500</v>
      </c>
      <c r="E366" s="154"/>
      <c r="F366" s="154"/>
      <c r="G366" s="154"/>
    </row>
    <row r="367" spans="1:7" x14ac:dyDescent="0.3">
      <c r="A367" s="172" t="s">
        <v>1754</v>
      </c>
      <c r="B367" s="115" t="s">
        <v>1755</v>
      </c>
      <c r="C367" s="116">
        <v>99947.75</v>
      </c>
      <c r="E367" s="154"/>
      <c r="F367" s="154"/>
      <c r="G367" s="154"/>
    </row>
    <row r="368" spans="1:7" x14ac:dyDescent="0.3">
      <c r="A368" s="172" t="s">
        <v>1756</v>
      </c>
      <c r="B368" s="115" t="s">
        <v>1757</v>
      </c>
      <c r="C368" s="116">
        <v>1164340.6499999999</v>
      </c>
      <c r="E368" s="154"/>
      <c r="F368" s="154"/>
      <c r="G368" s="154"/>
    </row>
    <row r="369" spans="1:7" x14ac:dyDescent="0.3">
      <c r="A369" s="172" t="s">
        <v>927</v>
      </c>
      <c r="B369" s="115" t="s">
        <v>928</v>
      </c>
      <c r="C369" s="116">
        <v>-243890.9</v>
      </c>
      <c r="E369" s="154"/>
      <c r="F369" s="154"/>
      <c r="G369" s="154"/>
    </row>
    <row r="370" spans="1:7" x14ac:dyDescent="0.3">
      <c r="A370" s="172" t="s">
        <v>1758</v>
      </c>
      <c r="B370" s="115" t="s">
        <v>1759</v>
      </c>
      <c r="C370" s="116">
        <v>684098.5</v>
      </c>
      <c r="E370" s="154"/>
      <c r="F370" s="154"/>
      <c r="G370" s="154"/>
    </row>
    <row r="371" spans="1:7" x14ac:dyDescent="0.3">
      <c r="A371" s="172" t="s">
        <v>1760</v>
      </c>
      <c r="B371" s="115" t="s">
        <v>1761</v>
      </c>
      <c r="C371" s="116">
        <v>1128648.73</v>
      </c>
      <c r="E371" s="154"/>
      <c r="F371" s="154"/>
      <c r="G371" s="154"/>
    </row>
    <row r="372" spans="1:7" x14ac:dyDescent="0.3">
      <c r="A372" s="172" t="s">
        <v>1762</v>
      </c>
      <c r="B372" s="115" t="s">
        <v>1763</v>
      </c>
      <c r="C372" s="116">
        <v>59860547.420000002</v>
      </c>
      <c r="E372" s="154"/>
      <c r="F372" s="154"/>
      <c r="G372" s="154"/>
    </row>
    <row r="373" spans="1:7" x14ac:dyDescent="0.3">
      <c r="A373" s="172" t="s">
        <v>1764</v>
      </c>
      <c r="B373" s="115" t="s">
        <v>1765</v>
      </c>
      <c r="C373" s="116">
        <v>174225</v>
      </c>
      <c r="E373" s="154"/>
      <c r="F373" s="154"/>
      <c r="G373" s="154"/>
    </row>
    <row r="374" spans="1:7" x14ac:dyDescent="0.3">
      <c r="A374" s="172" t="s">
        <v>1766</v>
      </c>
      <c r="B374" s="115" t="s">
        <v>1767</v>
      </c>
      <c r="C374" s="116">
        <v>2579206</v>
      </c>
      <c r="E374" s="154"/>
      <c r="F374" s="154"/>
      <c r="G374" s="154"/>
    </row>
    <row r="375" spans="1:7" x14ac:dyDescent="0.3">
      <c r="A375" s="172" t="s">
        <v>1768</v>
      </c>
      <c r="B375" s="115" t="s">
        <v>1769</v>
      </c>
      <c r="C375" s="116">
        <v>695080</v>
      </c>
      <c r="E375" s="154"/>
      <c r="F375" s="154"/>
      <c r="G375" s="154"/>
    </row>
    <row r="376" spans="1:7" x14ac:dyDescent="0.3">
      <c r="A376" s="172" t="s">
        <v>1770</v>
      </c>
      <c r="B376" s="115" t="s">
        <v>1771</v>
      </c>
      <c r="C376" s="116">
        <v>-49318171</v>
      </c>
      <c r="E376" s="154"/>
      <c r="F376" s="154"/>
      <c r="G376" s="154"/>
    </row>
    <row r="377" spans="1:7" x14ac:dyDescent="0.3">
      <c r="A377" s="172" t="s">
        <v>1772</v>
      </c>
      <c r="B377" s="115" t="s">
        <v>1773</v>
      </c>
      <c r="C377" s="116">
        <v>1153995.8</v>
      </c>
      <c r="E377" s="154"/>
      <c r="F377" s="154"/>
      <c r="G377" s="154"/>
    </row>
    <row r="378" spans="1:7" x14ac:dyDescent="0.3">
      <c r="A378" s="172" t="s">
        <v>1774</v>
      </c>
      <c r="B378" s="115" t="s">
        <v>1775</v>
      </c>
      <c r="C378" s="116">
        <v>120645</v>
      </c>
      <c r="E378" s="154"/>
      <c r="F378" s="154"/>
      <c r="G378" s="154"/>
    </row>
    <row r="379" spans="1:7" x14ac:dyDescent="0.3">
      <c r="A379" s="172" t="s">
        <v>1776</v>
      </c>
      <c r="B379" s="115" t="s">
        <v>1777</v>
      </c>
      <c r="C379" s="116">
        <v>118789.75</v>
      </c>
      <c r="E379" s="154"/>
      <c r="F379" s="154"/>
      <c r="G379" s="154"/>
    </row>
    <row r="380" spans="1:7" x14ac:dyDescent="0.3">
      <c r="A380" s="172" t="s">
        <v>1778</v>
      </c>
      <c r="B380" s="115" t="s">
        <v>1779</v>
      </c>
      <c r="C380" s="116">
        <v>151014.34</v>
      </c>
      <c r="E380" s="154"/>
      <c r="F380" s="154"/>
      <c r="G380" s="154"/>
    </row>
    <row r="381" spans="1:7" x14ac:dyDescent="0.3">
      <c r="A381" s="172" t="s">
        <v>1780</v>
      </c>
      <c r="B381" s="115" t="s">
        <v>1781</v>
      </c>
      <c r="C381" s="116">
        <v>158504.54</v>
      </c>
      <c r="E381" s="154"/>
      <c r="F381" s="154"/>
      <c r="G381" s="154"/>
    </row>
    <row r="382" spans="1:7" x14ac:dyDescent="0.3">
      <c r="A382" s="172" t="s">
        <v>1782</v>
      </c>
      <c r="B382" s="115" t="s">
        <v>1783</v>
      </c>
      <c r="C382" s="116">
        <v>0</v>
      </c>
      <c r="E382" s="154"/>
      <c r="F382" s="154"/>
      <c r="G382" s="154"/>
    </row>
    <row r="383" spans="1:7" x14ac:dyDescent="0.3">
      <c r="A383" s="172" t="s">
        <v>1784</v>
      </c>
      <c r="B383" s="115" t="s">
        <v>1785</v>
      </c>
      <c r="C383" s="116">
        <v>170843.9</v>
      </c>
      <c r="E383" s="154"/>
      <c r="F383" s="154"/>
      <c r="G383" s="154"/>
    </row>
    <row r="384" spans="1:7" x14ac:dyDescent="0.3">
      <c r="A384" s="172" t="s">
        <v>1786</v>
      </c>
      <c r="B384" s="115" t="s">
        <v>1787</v>
      </c>
      <c r="C384" s="116">
        <v>0</v>
      </c>
      <c r="E384" s="154"/>
      <c r="F384" s="154"/>
      <c r="G384" s="154"/>
    </row>
    <row r="385" spans="1:7" x14ac:dyDescent="0.3">
      <c r="A385" s="172" t="s">
        <v>1788</v>
      </c>
      <c r="B385" s="115" t="s">
        <v>1789</v>
      </c>
      <c r="C385" s="116">
        <v>50</v>
      </c>
      <c r="E385" s="154"/>
      <c r="F385" s="154"/>
      <c r="G385" s="154"/>
    </row>
    <row r="386" spans="1:7" x14ac:dyDescent="0.3">
      <c r="A386" s="172" t="s">
        <v>1790</v>
      </c>
      <c r="B386" s="115" t="s">
        <v>1791</v>
      </c>
      <c r="C386" s="116">
        <v>17464</v>
      </c>
      <c r="E386" s="154"/>
      <c r="F386" s="154"/>
      <c r="G386" s="154"/>
    </row>
    <row r="387" spans="1:7" x14ac:dyDescent="0.3">
      <c r="A387" s="172" t="s">
        <v>1792</v>
      </c>
      <c r="B387" s="115" t="s">
        <v>1793</v>
      </c>
      <c r="C387" s="116">
        <v>0</v>
      </c>
      <c r="E387" s="154"/>
      <c r="F387" s="154"/>
      <c r="G387" s="154"/>
    </row>
    <row r="388" spans="1:7" x14ac:dyDescent="0.3">
      <c r="A388" s="172" t="s">
        <v>566</v>
      </c>
      <c r="B388" s="115" t="s">
        <v>567</v>
      </c>
      <c r="C388" s="116">
        <v>6488000</v>
      </c>
      <c r="E388" s="154"/>
      <c r="F388" s="154"/>
      <c r="G388" s="154"/>
    </row>
    <row r="389" spans="1:7" x14ac:dyDescent="0.3">
      <c r="A389" s="172" t="s">
        <v>1794</v>
      </c>
      <c r="B389" s="115" t="s">
        <v>1795</v>
      </c>
      <c r="C389" s="116">
        <v>15510</v>
      </c>
      <c r="E389" s="154"/>
      <c r="F389" s="154"/>
      <c r="G389" s="154"/>
    </row>
    <row r="390" spans="1:7" x14ac:dyDescent="0.3">
      <c r="A390" s="172" t="s">
        <v>1796</v>
      </c>
      <c r="B390" s="115" t="s">
        <v>1797</v>
      </c>
      <c r="C390" s="116">
        <v>47880.5</v>
      </c>
      <c r="E390" s="154"/>
      <c r="F390" s="154"/>
      <c r="G390" s="154"/>
    </row>
    <row r="391" spans="1:7" x14ac:dyDescent="0.3">
      <c r="A391" s="172" t="s">
        <v>1798</v>
      </c>
      <c r="B391" s="115" t="s">
        <v>1799</v>
      </c>
      <c r="C391" s="116">
        <v>101208.5</v>
      </c>
      <c r="E391" s="154"/>
      <c r="F391" s="154"/>
      <c r="G391" s="154"/>
    </row>
    <row r="392" spans="1:7" x14ac:dyDescent="0.3">
      <c r="A392" s="172" t="s">
        <v>1800</v>
      </c>
      <c r="B392" s="115" t="s">
        <v>1801</v>
      </c>
      <c r="C392" s="116">
        <v>136880.21</v>
      </c>
      <c r="E392" s="154"/>
      <c r="F392" s="154"/>
      <c r="G392" s="154"/>
    </row>
    <row r="393" spans="1:7" x14ac:dyDescent="0.3">
      <c r="A393" s="172" t="s">
        <v>1802</v>
      </c>
      <c r="B393" s="115" t="s">
        <v>1803</v>
      </c>
      <c r="C393" s="116">
        <v>0.4</v>
      </c>
      <c r="E393" s="154"/>
      <c r="F393" s="154"/>
      <c r="G393" s="154"/>
    </row>
    <row r="394" spans="1:7" x14ac:dyDescent="0.3">
      <c r="A394" s="172" t="s">
        <v>1804</v>
      </c>
      <c r="B394" s="115" t="s">
        <v>1805</v>
      </c>
      <c r="C394" s="116">
        <v>5310</v>
      </c>
      <c r="E394" s="154"/>
      <c r="F394" s="154"/>
      <c r="G394" s="154"/>
    </row>
    <row r="395" spans="1:7" x14ac:dyDescent="0.3">
      <c r="A395" s="172" t="s">
        <v>1806</v>
      </c>
      <c r="B395" s="115" t="s">
        <v>1807</v>
      </c>
      <c r="C395" s="116">
        <v>41964.5</v>
      </c>
      <c r="E395" s="154"/>
      <c r="F395" s="154"/>
      <c r="G395" s="154"/>
    </row>
    <row r="396" spans="1:7" x14ac:dyDescent="0.3">
      <c r="A396" s="172" t="s">
        <v>1808</v>
      </c>
      <c r="B396" s="115" t="s">
        <v>1809</v>
      </c>
      <c r="C396" s="116">
        <v>112625.47</v>
      </c>
      <c r="E396" s="154"/>
      <c r="F396" s="154"/>
      <c r="G396" s="154"/>
    </row>
    <row r="397" spans="1:7" x14ac:dyDescent="0.3">
      <c r="A397" s="172" t="s">
        <v>1810</v>
      </c>
      <c r="B397" s="115" t="s">
        <v>1811</v>
      </c>
      <c r="C397" s="116">
        <v>0</v>
      </c>
      <c r="E397" s="154"/>
      <c r="F397" s="154"/>
      <c r="G397" s="154"/>
    </row>
    <row r="398" spans="1:7" x14ac:dyDescent="0.3">
      <c r="A398" s="172" t="s">
        <v>1812</v>
      </c>
      <c r="B398" s="115" t="s">
        <v>1813</v>
      </c>
      <c r="C398" s="116">
        <v>232274.01</v>
      </c>
      <c r="E398" s="154"/>
      <c r="F398" s="154"/>
      <c r="G398" s="154"/>
    </row>
    <row r="399" spans="1:7" x14ac:dyDescent="0.3">
      <c r="A399" s="172" t="s">
        <v>1814</v>
      </c>
      <c r="B399" s="115" t="s">
        <v>1815</v>
      </c>
      <c r="C399" s="116">
        <v>0</v>
      </c>
      <c r="E399" s="154"/>
      <c r="F399" s="154"/>
      <c r="G399" s="154"/>
    </row>
    <row r="400" spans="1:7" x14ac:dyDescent="0.3">
      <c r="A400" s="172" t="s">
        <v>1816</v>
      </c>
      <c r="B400" s="115" t="s">
        <v>1817</v>
      </c>
      <c r="C400" s="116">
        <v>0</v>
      </c>
      <c r="E400" s="154"/>
      <c r="F400" s="154"/>
      <c r="G400" s="154"/>
    </row>
    <row r="401" spans="1:7" x14ac:dyDescent="0.3">
      <c r="A401" s="172" t="s">
        <v>1818</v>
      </c>
      <c r="B401" s="115" t="s">
        <v>1819</v>
      </c>
      <c r="C401" s="116">
        <v>0</v>
      </c>
      <c r="E401" s="154"/>
      <c r="F401" s="154"/>
      <c r="G401" s="154"/>
    </row>
    <row r="402" spans="1:7" x14ac:dyDescent="0.3">
      <c r="A402" s="172" t="s">
        <v>1820</v>
      </c>
      <c r="B402" s="115" t="s">
        <v>1821</v>
      </c>
      <c r="C402" s="116">
        <v>0</v>
      </c>
      <c r="E402" s="154"/>
      <c r="F402" s="154"/>
      <c r="G402" s="154"/>
    </row>
    <row r="403" spans="1:7" x14ac:dyDescent="0.3">
      <c r="A403" s="172" t="s">
        <v>1822</v>
      </c>
      <c r="B403" s="115" t="s">
        <v>1823</v>
      </c>
      <c r="C403" s="116">
        <v>0</v>
      </c>
      <c r="E403" s="154"/>
      <c r="F403" s="154"/>
      <c r="G403" s="154"/>
    </row>
    <row r="404" spans="1:7" x14ac:dyDescent="0.3">
      <c r="A404" s="172" t="s">
        <v>1824</v>
      </c>
      <c r="B404" s="115" t="s">
        <v>1825</v>
      </c>
      <c r="C404" s="116">
        <v>0</v>
      </c>
      <c r="E404" s="154"/>
      <c r="F404" s="154"/>
      <c r="G404" s="154"/>
    </row>
    <row r="405" spans="1:7" x14ac:dyDescent="0.3">
      <c r="A405" s="172" t="s">
        <v>558</v>
      </c>
      <c r="B405" s="115" t="s">
        <v>559</v>
      </c>
      <c r="C405" s="116">
        <v>0</v>
      </c>
      <c r="E405" s="154"/>
      <c r="F405" s="154"/>
      <c r="G405" s="154"/>
    </row>
    <row r="406" spans="1:7" x14ac:dyDescent="0.3">
      <c r="A406" s="172" t="s">
        <v>518</v>
      </c>
      <c r="B406" s="115" t="s">
        <v>519</v>
      </c>
      <c r="C406" s="116">
        <v>0</v>
      </c>
      <c r="E406" s="154"/>
      <c r="F406" s="154"/>
      <c r="G406" s="154"/>
    </row>
    <row r="407" spans="1:7" x14ac:dyDescent="0.3">
      <c r="A407" s="172" t="s">
        <v>1826</v>
      </c>
      <c r="B407" s="115" t="s">
        <v>1827</v>
      </c>
      <c r="C407" s="116">
        <v>0</v>
      </c>
      <c r="E407" s="154"/>
      <c r="F407" s="154"/>
      <c r="G407" s="154"/>
    </row>
    <row r="408" spans="1:7" x14ac:dyDescent="0.3">
      <c r="A408" s="172" t="s">
        <v>614</v>
      </c>
      <c r="B408" s="115" t="s">
        <v>615</v>
      </c>
      <c r="C408" s="116">
        <v>0.34</v>
      </c>
      <c r="E408" s="154"/>
      <c r="F408" s="154"/>
      <c r="G408" s="154"/>
    </row>
    <row r="409" spans="1:7" x14ac:dyDescent="0.3">
      <c r="A409" s="172" t="s">
        <v>1828</v>
      </c>
      <c r="B409" s="115" t="s">
        <v>1829</v>
      </c>
      <c r="C409" s="116">
        <v>0</v>
      </c>
      <c r="E409" s="154"/>
      <c r="F409" s="154"/>
      <c r="G409" s="154"/>
    </row>
    <row r="410" spans="1:7" x14ac:dyDescent="0.3">
      <c r="A410" s="172" t="s">
        <v>1830</v>
      </c>
      <c r="B410" s="115" t="s">
        <v>1831</v>
      </c>
      <c r="C410" s="116">
        <v>600</v>
      </c>
      <c r="E410" s="154"/>
      <c r="F410" s="154"/>
      <c r="G410" s="154"/>
    </row>
    <row r="411" spans="1:7" x14ac:dyDescent="0.3">
      <c r="A411" s="172" t="s">
        <v>1832</v>
      </c>
      <c r="B411" s="115" t="s">
        <v>1833</v>
      </c>
      <c r="C411" s="116">
        <v>0</v>
      </c>
      <c r="E411" s="154"/>
      <c r="F411" s="154"/>
      <c r="G411" s="154"/>
    </row>
    <row r="412" spans="1:7" x14ac:dyDescent="0.3">
      <c r="A412" s="172" t="s">
        <v>1834</v>
      </c>
      <c r="B412" s="115" t="s">
        <v>1835</v>
      </c>
      <c r="C412" s="116">
        <v>0</v>
      </c>
      <c r="E412" s="154"/>
      <c r="F412" s="154"/>
      <c r="G412" s="154"/>
    </row>
    <row r="413" spans="1:7" x14ac:dyDescent="0.3">
      <c r="A413" s="172" t="s">
        <v>1836</v>
      </c>
      <c r="B413" s="115" t="s">
        <v>1837</v>
      </c>
      <c r="C413" s="116">
        <v>0</v>
      </c>
      <c r="E413" s="154"/>
      <c r="F413" s="154"/>
      <c r="G413" s="154"/>
    </row>
    <row r="414" spans="1:7" x14ac:dyDescent="0.3">
      <c r="A414" s="172" t="s">
        <v>1838</v>
      </c>
      <c r="B414" s="115" t="s">
        <v>1839</v>
      </c>
      <c r="C414" s="116">
        <v>0</v>
      </c>
      <c r="E414" s="154"/>
      <c r="F414" s="154"/>
      <c r="G414" s="154"/>
    </row>
    <row r="415" spans="1:7" x14ac:dyDescent="0.3">
      <c r="A415" s="172" t="s">
        <v>1840</v>
      </c>
      <c r="B415" s="115" t="s">
        <v>1841</v>
      </c>
      <c r="C415" s="116">
        <v>0</v>
      </c>
      <c r="E415" s="154"/>
      <c r="F415" s="154"/>
      <c r="G415" s="154"/>
    </row>
    <row r="416" spans="1:7" x14ac:dyDescent="0.3">
      <c r="A416" s="172" t="s">
        <v>1842</v>
      </c>
      <c r="B416" s="115" t="s">
        <v>1843</v>
      </c>
      <c r="C416" s="116">
        <v>0</v>
      </c>
      <c r="E416" s="154"/>
      <c r="F416" s="154"/>
      <c r="G416" s="154"/>
    </row>
    <row r="417" spans="1:7" x14ac:dyDescent="0.3">
      <c r="A417" s="172" t="s">
        <v>1844</v>
      </c>
      <c r="B417" s="115" t="s">
        <v>1845</v>
      </c>
      <c r="C417" s="116">
        <v>0</v>
      </c>
      <c r="E417" s="154"/>
      <c r="F417" s="154"/>
      <c r="G417" s="154"/>
    </row>
    <row r="418" spans="1:7" x14ac:dyDescent="0.3">
      <c r="A418" s="172" t="s">
        <v>1846</v>
      </c>
      <c r="B418" s="115" t="s">
        <v>1847</v>
      </c>
      <c r="C418" s="116">
        <v>0</v>
      </c>
      <c r="E418" s="154"/>
      <c r="F418" s="154"/>
      <c r="G418" s="154"/>
    </row>
    <row r="419" spans="1:7" x14ac:dyDescent="0.3">
      <c r="A419" s="172" t="s">
        <v>1848</v>
      </c>
      <c r="B419" s="115" t="s">
        <v>1849</v>
      </c>
      <c r="C419" s="116">
        <v>0</v>
      </c>
      <c r="E419" s="154"/>
      <c r="F419" s="154"/>
      <c r="G419" s="154"/>
    </row>
    <row r="420" spans="1:7" x14ac:dyDescent="0.3">
      <c r="A420" s="172" t="s">
        <v>1850</v>
      </c>
      <c r="B420" s="115" t="s">
        <v>1851</v>
      </c>
      <c r="C420" s="116">
        <v>0</v>
      </c>
      <c r="E420" s="154"/>
      <c r="F420" s="154"/>
      <c r="G420" s="154"/>
    </row>
    <row r="421" spans="1:7" x14ac:dyDescent="0.3">
      <c r="A421" s="172" t="s">
        <v>1852</v>
      </c>
      <c r="B421" s="115" t="s">
        <v>1853</v>
      </c>
      <c r="C421" s="116">
        <v>0</v>
      </c>
      <c r="E421" s="154"/>
      <c r="F421" s="154"/>
      <c r="G421" s="154"/>
    </row>
    <row r="422" spans="1:7" x14ac:dyDescent="0.3">
      <c r="A422" s="172" t="s">
        <v>1854</v>
      </c>
      <c r="B422" s="115" t="s">
        <v>1855</v>
      </c>
      <c r="C422" s="116">
        <v>0</v>
      </c>
      <c r="E422" s="154"/>
      <c r="F422" s="154"/>
      <c r="G422" s="154"/>
    </row>
    <row r="423" spans="1:7" x14ac:dyDescent="0.3">
      <c r="A423" s="172" t="s">
        <v>1856</v>
      </c>
      <c r="B423" s="115" t="s">
        <v>1857</v>
      </c>
      <c r="C423" s="116">
        <v>0</v>
      </c>
      <c r="E423" s="154"/>
      <c r="F423" s="154"/>
      <c r="G423" s="154"/>
    </row>
    <row r="424" spans="1:7" x14ac:dyDescent="0.3">
      <c r="A424" s="172" t="s">
        <v>1858</v>
      </c>
      <c r="B424" s="115" t="s">
        <v>1859</v>
      </c>
      <c r="C424" s="116">
        <v>0</v>
      </c>
      <c r="E424" s="154"/>
      <c r="F424" s="154"/>
      <c r="G424" s="154"/>
    </row>
    <row r="425" spans="1:7" x14ac:dyDescent="0.3">
      <c r="A425" s="172" t="s">
        <v>1860</v>
      </c>
      <c r="B425" s="115" t="s">
        <v>1861</v>
      </c>
      <c r="C425" s="116">
        <v>0</v>
      </c>
      <c r="E425" s="154"/>
      <c r="F425" s="154"/>
      <c r="G425" s="154"/>
    </row>
    <row r="426" spans="1:7" x14ac:dyDescent="0.3">
      <c r="A426" s="172" t="s">
        <v>1022</v>
      </c>
      <c r="B426" s="115" t="s">
        <v>1023</v>
      </c>
      <c r="C426" s="116">
        <v>0</v>
      </c>
      <c r="E426" s="154"/>
      <c r="F426" s="154"/>
      <c r="G426" s="154"/>
    </row>
    <row r="427" spans="1:7" x14ac:dyDescent="0.3">
      <c r="A427" s="172" t="s">
        <v>1862</v>
      </c>
      <c r="B427" s="115" t="s">
        <v>1863</v>
      </c>
      <c r="C427" s="116">
        <v>0</v>
      </c>
      <c r="E427" s="154"/>
      <c r="F427" s="154"/>
      <c r="G427" s="154"/>
    </row>
    <row r="428" spans="1:7" x14ac:dyDescent="0.3">
      <c r="A428" s="172" t="s">
        <v>1864</v>
      </c>
      <c r="B428" s="115" t="s">
        <v>1865</v>
      </c>
      <c r="C428" s="116">
        <v>0</v>
      </c>
      <c r="E428" s="154"/>
      <c r="F428" s="154"/>
      <c r="G428" s="154"/>
    </row>
    <row r="429" spans="1:7" x14ac:dyDescent="0.3">
      <c r="A429" s="172" t="s">
        <v>1866</v>
      </c>
      <c r="B429" s="115" t="s">
        <v>1867</v>
      </c>
      <c r="C429" s="116">
        <v>0</v>
      </c>
      <c r="E429" s="154"/>
      <c r="F429" s="154"/>
      <c r="G429" s="154"/>
    </row>
    <row r="430" spans="1:7" x14ac:dyDescent="0.3">
      <c r="A430" s="172" t="s">
        <v>1868</v>
      </c>
      <c r="B430" s="115" t="s">
        <v>1869</v>
      </c>
      <c r="C430" s="116">
        <v>0</v>
      </c>
      <c r="E430" s="154"/>
      <c r="F430" s="154"/>
      <c r="G430" s="154"/>
    </row>
    <row r="431" spans="1:7" x14ac:dyDescent="0.3">
      <c r="A431" s="172" t="s">
        <v>1870</v>
      </c>
      <c r="B431" s="115" t="s">
        <v>1871</v>
      </c>
      <c r="C431" s="116">
        <v>0</v>
      </c>
      <c r="E431" s="154"/>
      <c r="F431" s="154"/>
      <c r="G431" s="154"/>
    </row>
    <row r="432" spans="1:7" x14ac:dyDescent="0.3">
      <c r="A432" s="172" t="s">
        <v>1872</v>
      </c>
      <c r="B432" s="115" t="s">
        <v>1873</v>
      </c>
      <c r="C432" s="116">
        <v>0</v>
      </c>
      <c r="E432" s="154"/>
      <c r="F432" s="154"/>
      <c r="G432" s="154"/>
    </row>
    <row r="433" spans="1:7" x14ac:dyDescent="0.3">
      <c r="A433" s="172" t="s">
        <v>1874</v>
      </c>
      <c r="B433" s="115" t="s">
        <v>1875</v>
      </c>
      <c r="C433" s="116">
        <v>0</v>
      </c>
      <c r="E433" s="154"/>
      <c r="F433" s="154"/>
      <c r="G433" s="154"/>
    </row>
    <row r="434" spans="1:7" x14ac:dyDescent="0.3">
      <c r="A434" s="172" t="s">
        <v>1876</v>
      </c>
      <c r="B434" s="115" t="s">
        <v>1877</v>
      </c>
      <c r="C434" s="116">
        <v>0</v>
      </c>
      <c r="E434" s="154"/>
      <c r="F434" s="154"/>
      <c r="G434" s="154"/>
    </row>
    <row r="435" spans="1:7" x14ac:dyDescent="0.3">
      <c r="A435" s="172" t="s">
        <v>967</v>
      </c>
      <c r="B435" s="115" t="s">
        <v>968</v>
      </c>
      <c r="C435" s="116">
        <v>-11002.57</v>
      </c>
      <c r="E435" s="154"/>
      <c r="F435" s="154"/>
      <c r="G435" s="154"/>
    </row>
    <row r="436" spans="1:7" x14ac:dyDescent="0.3">
      <c r="A436" s="172" t="s">
        <v>1878</v>
      </c>
      <c r="B436" s="115" t="s">
        <v>1879</v>
      </c>
      <c r="C436" s="116">
        <v>0</v>
      </c>
      <c r="E436" s="154"/>
      <c r="F436" s="154"/>
      <c r="G436" s="154"/>
    </row>
    <row r="437" spans="1:7" x14ac:dyDescent="0.3">
      <c r="A437" s="172" t="s">
        <v>1880</v>
      </c>
      <c r="B437" s="115" t="s">
        <v>1881</v>
      </c>
      <c r="C437" s="116">
        <v>84670</v>
      </c>
      <c r="E437" s="154"/>
      <c r="F437" s="154"/>
      <c r="G437" s="154"/>
    </row>
    <row r="438" spans="1:7" x14ac:dyDescent="0.3">
      <c r="A438" s="172" t="s">
        <v>1882</v>
      </c>
      <c r="B438" s="115" t="s">
        <v>1883</v>
      </c>
      <c r="C438" s="116">
        <v>0</v>
      </c>
      <c r="E438" s="154"/>
      <c r="F438" s="154"/>
      <c r="G438" s="154"/>
    </row>
    <row r="439" spans="1:7" x14ac:dyDescent="0.3">
      <c r="A439" s="172" t="s">
        <v>1884</v>
      </c>
      <c r="B439" s="115" t="s">
        <v>1885</v>
      </c>
      <c r="C439" s="116">
        <v>171784</v>
      </c>
      <c r="E439" s="154"/>
      <c r="F439" s="154"/>
      <c r="G439" s="154"/>
    </row>
    <row r="440" spans="1:7" x14ac:dyDescent="0.3">
      <c r="A440" s="172" t="s">
        <v>1886</v>
      </c>
      <c r="B440" s="115" t="s">
        <v>1887</v>
      </c>
      <c r="C440" s="116">
        <v>443261</v>
      </c>
      <c r="E440" s="154"/>
      <c r="F440" s="154"/>
      <c r="G440" s="154"/>
    </row>
    <row r="441" spans="1:7" x14ac:dyDescent="0.3">
      <c r="A441" s="172" t="s">
        <v>1888</v>
      </c>
      <c r="B441" s="115" t="s">
        <v>1889</v>
      </c>
      <c r="C441" s="116">
        <v>63145468.799999997</v>
      </c>
      <c r="E441" s="154"/>
      <c r="F441" s="154"/>
      <c r="G441" s="154"/>
    </row>
    <row r="442" spans="1:7" x14ac:dyDescent="0.3">
      <c r="A442" s="172" t="s">
        <v>1890</v>
      </c>
      <c r="B442" s="115" t="s">
        <v>1891</v>
      </c>
      <c r="C442" s="116">
        <v>273812</v>
      </c>
      <c r="E442" s="154"/>
      <c r="F442" s="154"/>
      <c r="G442" s="154"/>
    </row>
    <row r="443" spans="1:7" x14ac:dyDescent="0.3">
      <c r="A443" s="172" t="s">
        <v>1892</v>
      </c>
      <c r="B443" s="115" t="s">
        <v>1893</v>
      </c>
      <c r="C443" s="116">
        <v>96298</v>
      </c>
      <c r="E443" s="154"/>
      <c r="F443" s="154"/>
      <c r="G443" s="154"/>
    </row>
    <row r="444" spans="1:7" x14ac:dyDescent="0.3">
      <c r="A444" s="172" t="s">
        <v>1894</v>
      </c>
      <c r="B444" s="115" t="s">
        <v>1895</v>
      </c>
      <c r="C444" s="116">
        <v>545665</v>
      </c>
      <c r="E444" s="154"/>
      <c r="F444" s="154"/>
      <c r="G444" s="154"/>
    </row>
    <row r="445" spans="1:7" x14ac:dyDescent="0.3">
      <c r="A445" s="172" t="s">
        <v>1896</v>
      </c>
      <c r="B445" s="115" t="s">
        <v>1897</v>
      </c>
      <c r="C445" s="116">
        <v>67765</v>
      </c>
      <c r="E445" s="154"/>
      <c r="F445" s="154"/>
      <c r="G445" s="154"/>
    </row>
    <row r="446" spans="1:7" x14ac:dyDescent="0.3">
      <c r="A446" s="172" t="s">
        <v>1898</v>
      </c>
      <c r="B446" s="115" t="s">
        <v>1899</v>
      </c>
      <c r="C446" s="116">
        <v>32070.16</v>
      </c>
      <c r="E446" s="154"/>
      <c r="F446" s="154"/>
      <c r="G446" s="154"/>
    </row>
    <row r="447" spans="1:7" x14ac:dyDescent="0.3">
      <c r="A447" s="172" t="s">
        <v>1900</v>
      </c>
      <c r="B447" s="115" t="s">
        <v>1901</v>
      </c>
      <c r="C447" s="116">
        <v>-335100.07</v>
      </c>
      <c r="E447" s="154"/>
      <c r="F447" s="154"/>
      <c r="G447" s="154"/>
    </row>
    <row r="448" spans="1:7" x14ac:dyDescent="0.3">
      <c r="A448" s="172" t="s">
        <v>901</v>
      </c>
      <c r="B448" s="115" t="s">
        <v>1902</v>
      </c>
      <c r="C448" s="116">
        <v>-85337</v>
      </c>
      <c r="E448" s="154"/>
      <c r="F448" s="154"/>
      <c r="G448" s="154"/>
    </row>
    <row r="449" spans="1:7" x14ac:dyDescent="0.3">
      <c r="A449" s="172" t="s">
        <v>1903</v>
      </c>
      <c r="B449" s="115" t="s">
        <v>1904</v>
      </c>
      <c r="C449" s="116">
        <v>376052.38</v>
      </c>
      <c r="E449" s="154"/>
      <c r="F449" s="154"/>
      <c r="G449" s="154"/>
    </row>
    <row r="450" spans="1:7" x14ac:dyDescent="0.3">
      <c r="A450" s="172" t="s">
        <v>1905</v>
      </c>
      <c r="B450" s="115" t="s">
        <v>1906</v>
      </c>
      <c r="C450" s="116">
        <v>791524.27</v>
      </c>
      <c r="E450" s="154"/>
      <c r="F450" s="154"/>
      <c r="G450" s="154"/>
    </row>
    <row r="451" spans="1:7" x14ac:dyDescent="0.3">
      <c r="A451" s="172" t="s">
        <v>618</v>
      </c>
      <c r="B451" s="115" t="s">
        <v>619</v>
      </c>
      <c r="C451" s="116">
        <v>176731.49</v>
      </c>
      <c r="E451" s="154"/>
      <c r="F451" s="154"/>
      <c r="G451" s="154"/>
    </row>
    <row r="452" spans="1:7" x14ac:dyDescent="0.3">
      <c r="A452" s="172" t="s">
        <v>1907</v>
      </c>
      <c r="B452" s="115" t="s">
        <v>1908</v>
      </c>
      <c r="C452" s="116">
        <v>209276</v>
      </c>
      <c r="E452" s="154"/>
      <c r="F452" s="154"/>
      <c r="G452" s="154"/>
    </row>
    <row r="453" spans="1:7" x14ac:dyDescent="0.3">
      <c r="A453" s="172" t="s">
        <v>1909</v>
      </c>
      <c r="B453" s="115" t="s">
        <v>1910</v>
      </c>
      <c r="C453" s="116">
        <v>216932</v>
      </c>
      <c r="E453" s="154"/>
      <c r="F453" s="154"/>
      <c r="G453" s="154"/>
    </row>
    <row r="454" spans="1:7" x14ac:dyDescent="0.3">
      <c r="A454" s="172" t="s">
        <v>1911</v>
      </c>
      <c r="B454" s="115" t="s">
        <v>1912</v>
      </c>
      <c r="C454" s="116">
        <v>641924</v>
      </c>
      <c r="E454" s="154"/>
      <c r="F454" s="154"/>
      <c r="G454" s="154"/>
    </row>
    <row r="455" spans="1:7" x14ac:dyDescent="0.3">
      <c r="A455" s="172" t="s">
        <v>1913</v>
      </c>
      <c r="B455" s="115" t="s">
        <v>1914</v>
      </c>
      <c r="C455" s="116">
        <v>135847.75</v>
      </c>
      <c r="E455" s="154"/>
      <c r="F455" s="154"/>
      <c r="G455" s="154"/>
    </row>
    <row r="456" spans="1:7" x14ac:dyDescent="0.3">
      <c r="A456" s="172" t="s">
        <v>1915</v>
      </c>
      <c r="B456" s="115" t="s">
        <v>1916</v>
      </c>
      <c r="C456" s="116">
        <v>133512.51</v>
      </c>
      <c r="E456" s="154"/>
      <c r="F456" s="154"/>
      <c r="G456" s="154"/>
    </row>
    <row r="457" spans="1:7" x14ac:dyDescent="0.3">
      <c r="A457" s="172" t="s">
        <v>1917</v>
      </c>
      <c r="B457" s="115" t="s">
        <v>1918</v>
      </c>
      <c r="C457" s="116">
        <v>0</v>
      </c>
      <c r="E457" s="154"/>
      <c r="F457" s="154"/>
      <c r="G457" s="154"/>
    </row>
    <row r="458" spans="1:7" x14ac:dyDescent="0.3">
      <c r="A458" s="172" t="s">
        <v>1919</v>
      </c>
      <c r="B458" s="115" t="s">
        <v>1920</v>
      </c>
      <c r="C458" s="116">
        <v>0</v>
      </c>
      <c r="E458" s="154"/>
      <c r="F458" s="154"/>
      <c r="G458" s="154"/>
    </row>
    <row r="459" spans="1:7" x14ac:dyDescent="0.3">
      <c r="A459" s="172" t="s">
        <v>1921</v>
      </c>
      <c r="B459" s="115" t="s">
        <v>1922</v>
      </c>
      <c r="C459" s="116">
        <v>143056.89000000001</v>
      </c>
      <c r="E459" s="154"/>
      <c r="F459" s="154"/>
      <c r="G459" s="154"/>
    </row>
    <row r="460" spans="1:7" x14ac:dyDescent="0.3">
      <c r="A460" s="172" t="s">
        <v>899</v>
      </c>
      <c r="B460" s="115" t="s">
        <v>900</v>
      </c>
      <c r="C460" s="116">
        <v>-79743783.790000007</v>
      </c>
      <c r="E460" s="154"/>
      <c r="F460" s="154"/>
      <c r="G460" s="154"/>
    </row>
    <row r="461" spans="1:7" x14ac:dyDescent="0.3">
      <c r="A461" s="172" t="s">
        <v>1923</v>
      </c>
      <c r="B461" s="115" t="s">
        <v>1924</v>
      </c>
      <c r="C461" s="116">
        <v>-93086637.400000006</v>
      </c>
      <c r="E461" s="154"/>
      <c r="F461" s="154"/>
      <c r="G461" s="154"/>
    </row>
    <row r="462" spans="1:7" x14ac:dyDescent="0.3">
      <c r="A462" s="172" t="s">
        <v>1925</v>
      </c>
      <c r="B462" s="115" t="s">
        <v>1926</v>
      </c>
      <c r="C462" s="116">
        <v>13800</v>
      </c>
      <c r="E462" s="154"/>
      <c r="F462" s="154"/>
      <c r="G462" s="154"/>
    </row>
    <row r="463" spans="1:7" x14ac:dyDescent="0.3">
      <c r="A463" s="172" t="s">
        <v>1927</v>
      </c>
      <c r="B463" s="115" t="s">
        <v>1928</v>
      </c>
      <c r="C463" s="116">
        <v>76245.66</v>
      </c>
      <c r="E463" s="154"/>
      <c r="F463" s="154"/>
      <c r="G463" s="154"/>
    </row>
    <row r="464" spans="1:7" x14ac:dyDescent="0.3">
      <c r="A464" s="172" t="s">
        <v>1929</v>
      </c>
      <c r="B464" s="115" t="s">
        <v>1930</v>
      </c>
      <c r="C464" s="116">
        <v>922101.85</v>
      </c>
      <c r="E464" s="154"/>
      <c r="F464" s="154"/>
      <c r="G464" s="154"/>
    </row>
    <row r="465" spans="1:7" x14ac:dyDescent="0.3">
      <c r="A465" s="172" t="s">
        <v>1931</v>
      </c>
      <c r="B465" s="115" t="s">
        <v>1932</v>
      </c>
      <c r="C465" s="116">
        <v>101690.25</v>
      </c>
      <c r="E465" s="154"/>
      <c r="F465" s="154"/>
      <c r="G465" s="154"/>
    </row>
    <row r="466" spans="1:7" x14ac:dyDescent="0.3">
      <c r="A466" s="172" t="s">
        <v>1933</v>
      </c>
      <c r="B466" s="115" t="s">
        <v>1934</v>
      </c>
      <c r="C466" s="116">
        <v>0</v>
      </c>
      <c r="E466" s="154"/>
      <c r="F466" s="154"/>
      <c r="G466" s="154"/>
    </row>
    <row r="467" spans="1:7" x14ac:dyDescent="0.3">
      <c r="A467" s="172" t="s">
        <v>722</v>
      </c>
      <c r="B467" s="115" t="s">
        <v>723</v>
      </c>
      <c r="C467" s="116">
        <v>502985.97</v>
      </c>
      <c r="E467" s="154"/>
      <c r="F467" s="154"/>
      <c r="G467" s="154"/>
    </row>
    <row r="468" spans="1:7" x14ac:dyDescent="0.3">
      <c r="A468" s="172" t="s">
        <v>1935</v>
      </c>
      <c r="B468" s="115" t="s">
        <v>1936</v>
      </c>
      <c r="C468" s="116">
        <v>6115</v>
      </c>
      <c r="E468" s="154"/>
      <c r="F468" s="154"/>
      <c r="G468" s="154"/>
    </row>
    <row r="469" spans="1:7" x14ac:dyDescent="0.3">
      <c r="A469" s="172" t="s">
        <v>1937</v>
      </c>
      <c r="B469" s="115" t="s">
        <v>1938</v>
      </c>
      <c r="C469" s="116">
        <v>422155</v>
      </c>
      <c r="E469" s="154"/>
      <c r="F469" s="154"/>
      <c r="G469" s="154"/>
    </row>
    <row r="470" spans="1:7" x14ac:dyDescent="0.3">
      <c r="A470" s="172" t="s">
        <v>1939</v>
      </c>
      <c r="B470" s="115" t="s">
        <v>1940</v>
      </c>
      <c r="C470" s="116">
        <v>465728453.14999998</v>
      </c>
      <c r="E470" s="154"/>
      <c r="F470" s="154"/>
      <c r="G470" s="154"/>
    </row>
    <row r="471" spans="1:7" x14ac:dyDescent="0.3">
      <c r="A471" s="172" t="s">
        <v>1941</v>
      </c>
      <c r="B471" s="115" t="s">
        <v>1942</v>
      </c>
      <c r="C471" s="116">
        <v>1216250</v>
      </c>
      <c r="E471" s="154"/>
      <c r="F471" s="154"/>
      <c r="G471" s="154"/>
    </row>
    <row r="472" spans="1:7" x14ac:dyDescent="0.3">
      <c r="A472" s="172" t="s">
        <v>1943</v>
      </c>
      <c r="B472" s="115" t="s">
        <v>1944</v>
      </c>
      <c r="C472" s="116">
        <v>111138.55</v>
      </c>
      <c r="E472" s="154"/>
      <c r="F472" s="154"/>
      <c r="G472" s="154"/>
    </row>
    <row r="473" spans="1:7" x14ac:dyDescent="0.3">
      <c r="A473" s="172" t="s">
        <v>1945</v>
      </c>
      <c r="B473" s="115" t="s">
        <v>1946</v>
      </c>
      <c r="C473" s="116">
        <v>0</v>
      </c>
      <c r="E473" s="154"/>
      <c r="F473" s="154"/>
      <c r="G473" s="154"/>
    </row>
    <row r="474" spans="1:7" x14ac:dyDescent="0.3">
      <c r="A474" s="172" t="s">
        <v>1056</v>
      </c>
      <c r="B474" s="115" t="s">
        <v>1057</v>
      </c>
      <c r="C474" s="116">
        <v>0</v>
      </c>
      <c r="E474" s="154"/>
      <c r="F474" s="154"/>
      <c r="G474" s="154"/>
    </row>
    <row r="475" spans="1:7" x14ac:dyDescent="0.3">
      <c r="A475" s="172" t="s">
        <v>1947</v>
      </c>
      <c r="B475" s="115" t="s">
        <v>1948</v>
      </c>
      <c r="C475" s="116">
        <v>113481.73</v>
      </c>
      <c r="E475" s="154"/>
      <c r="F475" s="154"/>
      <c r="G475" s="154"/>
    </row>
    <row r="476" spans="1:7" x14ac:dyDescent="0.3">
      <c r="A476" s="172" t="s">
        <v>1949</v>
      </c>
      <c r="B476" s="115" t="s">
        <v>1950</v>
      </c>
      <c r="C476" s="116">
        <v>-263904000</v>
      </c>
      <c r="E476" s="154"/>
      <c r="F476" s="154"/>
      <c r="G476" s="154"/>
    </row>
    <row r="477" spans="1:7" x14ac:dyDescent="0.3">
      <c r="A477" s="172" t="s">
        <v>1951</v>
      </c>
      <c r="B477" s="115" t="s">
        <v>1952</v>
      </c>
      <c r="C477" s="116">
        <v>0</v>
      </c>
      <c r="E477" s="154"/>
      <c r="F477" s="154"/>
      <c r="G477" s="154"/>
    </row>
    <row r="478" spans="1:7" x14ac:dyDescent="0.3">
      <c r="A478" s="172" t="s">
        <v>1953</v>
      </c>
      <c r="B478" s="115" t="s">
        <v>1954</v>
      </c>
      <c r="C478" s="116">
        <v>67922.399999999994</v>
      </c>
      <c r="E478" s="154"/>
      <c r="F478" s="154"/>
      <c r="G478" s="154"/>
    </row>
    <row r="479" spans="1:7" x14ac:dyDescent="0.3">
      <c r="A479" s="172" t="s">
        <v>1955</v>
      </c>
      <c r="B479" s="115" t="s">
        <v>1956</v>
      </c>
      <c r="C479" s="116">
        <v>0</v>
      </c>
      <c r="E479" s="154"/>
      <c r="F479" s="154"/>
      <c r="G479" s="154"/>
    </row>
    <row r="480" spans="1:7" x14ac:dyDescent="0.3">
      <c r="A480" s="172" t="s">
        <v>1957</v>
      </c>
      <c r="B480" s="115" t="s">
        <v>1958</v>
      </c>
      <c r="C480" s="116">
        <v>82910</v>
      </c>
      <c r="E480" s="154"/>
      <c r="F480" s="154"/>
      <c r="G480" s="154"/>
    </row>
    <row r="481" spans="1:7" x14ac:dyDescent="0.3">
      <c r="A481" s="172" t="s">
        <v>1959</v>
      </c>
      <c r="B481" s="115" t="s">
        <v>1960</v>
      </c>
      <c r="C481" s="116">
        <v>0</v>
      </c>
      <c r="E481" s="154"/>
      <c r="F481" s="154"/>
      <c r="G481" s="154"/>
    </row>
    <row r="482" spans="1:7" x14ac:dyDescent="0.3">
      <c r="A482" s="172" t="s">
        <v>1961</v>
      </c>
      <c r="B482" s="115" t="s">
        <v>1962</v>
      </c>
      <c r="C482" s="116">
        <v>0</v>
      </c>
      <c r="E482" s="154"/>
      <c r="F482" s="154"/>
      <c r="G482" s="154"/>
    </row>
    <row r="483" spans="1:7" x14ac:dyDescent="0.3">
      <c r="A483" s="172" t="s">
        <v>1963</v>
      </c>
      <c r="B483" s="115" t="s">
        <v>1964</v>
      </c>
      <c r="C483" s="116">
        <v>0</v>
      </c>
      <c r="E483" s="154"/>
      <c r="F483" s="154"/>
      <c r="G483" s="154"/>
    </row>
    <row r="484" spans="1:7" x14ac:dyDescent="0.3">
      <c r="A484" s="172" t="s">
        <v>1965</v>
      </c>
      <c r="B484" s="115" t="s">
        <v>1966</v>
      </c>
      <c r="C484" s="116">
        <v>0</v>
      </c>
      <c r="E484" s="154"/>
      <c r="F484" s="154"/>
      <c r="G484" s="154"/>
    </row>
    <row r="485" spans="1:7" x14ac:dyDescent="0.3">
      <c r="A485" s="172" t="s">
        <v>676</v>
      </c>
      <c r="B485" s="115" t="s">
        <v>677</v>
      </c>
      <c r="C485" s="116">
        <v>0.41</v>
      </c>
      <c r="E485" s="154"/>
      <c r="F485" s="154"/>
      <c r="G485" s="154"/>
    </row>
    <row r="486" spans="1:7" x14ac:dyDescent="0.3">
      <c r="A486" s="172" t="s">
        <v>947</v>
      </c>
      <c r="B486" s="115" t="s">
        <v>948</v>
      </c>
      <c r="C486" s="116">
        <v>-426717.91</v>
      </c>
      <c r="E486" s="154"/>
      <c r="F486" s="154"/>
      <c r="G486" s="154"/>
    </row>
    <row r="487" spans="1:7" x14ac:dyDescent="0.3">
      <c r="A487" s="172" t="s">
        <v>1967</v>
      </c>
      <c r="B487" s="115" t="s">
        <v>1968</v>
      </c>
      <c r="C487" s="116">
        <v>0</v>
      </c>
      <c r="E487" s="154"/>
      <c r="F487" s="154"/>
      <c r="G487" s="154"/>
    </row>
    <row r="488" spans="1:7" x14ac:dyDescent="0.3">
      <c r="A488" s="172" t="s">
        <v>1969</v>
      </c>
      <c r="B488" s="115" t="s">
        <v>1970</v>
      </c>
      <c r="C488" s="116">
        <v>0</v>
      </c>
      <c r="E488" s="154"/>
      <c r="F488" s="154"/>
      <c r="G488" s="154"/>
    </row>
    <row r="489" spans="1:7" x14ac:dyDescent="0.3">
      <c r="A489" s="172" t="s">
        <v>1971</v>
      </c>
      <c r="B489" s="115" t="s">
        <v>1972</v>
      </c>
      <c r="C489" s="116">
        <v>0</v>
      </c>
      <c r="E489" s="154"/>
      <c r="F489" s="154"/>
      <c r="G489" s="154"/>
    </row>
    <row r="490" spans="1:7" x14ac:dyDescent="0.3">
      <c r="A490" s="172" t="s">
        <v>1973</v>
      </c>
      <c r="B490" s="115" t="s">
        <v>1974</v>
      </c>
      <c r="C490" s="116">
        <v>0</v>
      </c>
      <c r="E490" s="154"/>
      <c r="F490" s="154"/>
      <c r="G490" s="154"/>
    </row>
    <row r="491" spans="1:7" x14ac:dyDescent="0.3">
      <c r="A491" s="172" t="s">
        <v>1975</v>
      </c>
      <c r="B491" s="115" t="s">
        <v>1976</v>
      </c>
      <c r="C491" s="116">
        <v>0</v>
      </c>
      <c r="E491" s="154"/>
      <c r="F491" s="154"/>
      <c r="G491" s="154"/>
    </row>
    <row r="492" spans="1:7" x14ac:dyDescent="0.3">
      <c r="A492" s="172" t="s">
        <v>1977</v>
      </c>
      <c r="B492" s="115" t="s">
        <v>1978</v>
      </c>
      <c r="C492" s="116">
        <v>0</v>
      </c>
      <c r="E492" s="154"/>
      <c r="F492" s="154"/>
      <c r="G492" s="154"/>
    </row>
    <row r="493" spans="1:7" x14ac:dyDescent="0.3">
      <c r="A493" s="172" t="s">
        <v>612</v>
      </c>
      <c r="B493" s="115" t="s">
        <v>613</v>
      </c>
      <c r="C493" s="116">
        <v>0</v>
      </c>
      <c r="E493" s="154"/>
      <c r="F493" s="154"/>
      <c r="G493" s="154"/>
    </row>
    <row r="494" spans="1:7" x14ac:dyDescent="0.3">
      <c r="A494" s="172" t="s">
        <v>1979</v>
      </c>
      <c r="B494" s="115" t="s">
        <v>1980</v>
      </c>
      <c r="C494" s="116">
        <v>0</v>
      </c>
      <c r="E494" s="154"/>
      <c r="F494" s="154"/>
      <c r="G494" s="154"/>
    </row>
    <row r="495" spans="1:7" x14ac:dyDescent="0.3">
      <c r="A495" s="172" t="s">
        <v>1981</v>
      </c>
      <c r="B495" s="115" t="s">
        <v>1982</v>
      </c>
      <c r="C495" s="116">
        <v>0</v>
      </c>
      <c r="E495" s="154"/>
      <c r="F495" s="154"/>
      <c r="G495" s="154"/>
    </row>
    <row r="496" spans="1:7" x14ac:dyDescent="0.3">
      <c r="A496" s="172" t="s">
        <v>542</v>
      </c>
      <c r="B496" s="115" t="s">
        <v>543</v>
      </c>
      <c r="C496" s="116">
        <v>0</v>
      </c>
      <c r="E496" s="154"/>
      <c r="F496" s="154"/>
      <c r="G496" s="154"/>
    </row>
    <row r="497" spans="1:7" x14ac:dyDescent="0.3">
      <c r="A497" s="172" t="s">
        <v>1983</v>
      </c>
      <c r="B497" s="115" t="s">
        <v>1984</v>
      </c>
      <c r="C497" s="116">
        <v>0</v>
      </c>
      <c r="E497" s="154"/>
      <c r="F497" s="154"/>
      <c r="G497" s="154"/>
    </row>
    <row r="498" spans="1:7" x14ac:dyDescent="0.3">
      <c r="A498" s="172" t="s">
        <v>1985</v>
      </c>
      <c r="B498" s="115" t="s">
        <v>1986</v>
      </c>
      <c r="C498" s="116">
        <v>0</v>
      </c>
      <c r="E498" s="154"/>
      <c r="F498" s="154"/>
      <c r="G498" s="154"/>
    </row>
    <row r="499" spans="1:7" x14ac:dyDescent="0.3">
      <c r="A499" s="172" t="s">
        <v>1987</v>
      </c>
      <c r="B499" s="115" t="s">
        <v>1988</v>
      </c>
      <c r="C499" s="116">
        <v>0</v>
      </c>
      <c r="E499" s="154"/>
      <c r="F499" s="154"/>
      <c r="G499" s="154"/>
    </row>
    <row r="500" spans="1:7" x14ac:dyDescent="0.3">
      <c r="A500" s="172" t="s">
        <v>1989</v>
      </c>
      <c r="B500" s="115" t="s">
        <v>1990</v>
      </c>
      <c r="C500" s="116">
        <v>0</v>
      </c>
      <c r="E500" s="154"/>
      <c r="F500" s="154"/>
      <c r="G500" s="154"/>
    </row>
    <row r="501" spans="1:7" x14ac:dyDescent="0.3">
      <c r="A501" s="172" t="s">
        <v>1991</v>
      </c>
      <c r="B501" s="115" t="s">
        <v>1992</v>
      </c>
      <c r="C501" s="116">
        <v>0</v>
      </c>
      <c r="E501" s="154"/>
      <c r="F501" s="154"/>
      <c r="G501" s="154"/>
    </row>
    <row r="502" spans="1:7" x14ac:dyDescent="0.3">
      <c r="A502" s="172" t="s">
        <v>1993</v>
      </c>
      <c r="B502" s="115" t="s">
        <v>1994</v>
      </c>
      <c r="C502" s="116">
        <v>0</v>
      </c>
      <c r="E502" s="154"/>
      <c r="F502" s="154"/>
      <c r="G502" s="154"/>
    </row>
    <row r="503" spans="1:7" x14ac:dyDescent="0.3">
      <c r="A503" s="172" t="s">
        <v>1995</v>
      </c>
      <c r="B503" s="115" t="s">
        <v>1996</v>
      </c>
      <c r="C503" s="116">
        <v>0</v>
      </c>
      <c r="E503" s="154"/>
      <c r="F503" s="154"/>
      <c r="G503" s="154"/>
    </row>
    <row r="504" spans="1:7" x14ac:dyDescent="0.3">
      <c r="A504" s="172" t="s">
        <v>1997</v>
      </c>
      <c r="B504" s="115" t="s">
        <v>1998</v>
      </c>
      <c r="C504" s="116">
        <v>0</v>
      </c>
      <c r="E504" s="154"/>
      <c r="F504" s="154"/>
      <c r="G504" s="154"/>
    </row>
    <row r="505" spans="1:7" x14ac:dyDescent="0.3">
      <c r="A505" s="172" t="s">
        <v>1999</v>
      </c>
      <c r="B505" s="115" t="s">
        <v>2000</v>
      </c>
      <c r="C505" s="116">
        <v>0</v>
      </c>
      <c r="E505" s="154"/>
      <c r="F505" s="154"/>
      <c r="G505" s="154"/>
    </row>
    <row r="506" spans="1:7" x14ac:dyDescent="0.3">
      <c r="A506" s="172" t="s">
        <v>2001</v>
      </c>
      <c r="B506" s="115" t="s">
        <v>2002</v>
      </c>
      <c r="C506" s="116">
        <v>0</v>
      </c>
      <c r="E506" s="154"/>
      <c r="F506" s="154"/>
      <c r="G506" s="154"/>
    </row>
    <row r="507" spans="1:7" x14ac:dyDescent="0.3">
      <c r="A507" s="172" t="s">
        <v>2003</v>
      </c>
      <c r="B507" s="115" t="s">
        <v>2004</v>
      </c>
      <c r="C507" s="116">
        <v>0</v>
      </c>
      <c r="E507" s="154"/>
      <c r="F507" s="154"/>
      <c r="G507" s="154"/>
    </row>
    <row r="508" spans="1:7" x14ac:dyDescent="0.3">
      <c r="A508" s="172" t="s">
        <v>2005</v>
      </c>
      <c r="B508" s="115" t="s">
        <v>2006</v>
      </c>
      <c r="C508" s="116">
        <v>0</v>
      </c>
      <c r="E508" s="154"/>
      <c r="F508" s="154"/>
      <c r="G508" s="154"/>
    </row>
    <row r="509" spans="1:7" x14ac:dyDescent="0.3">
      <c r="A509" s="172" t="s">
        <v>2007</v>
      </c>
      <c r="B509" s="115" t="s">
        <v>2008</v>
      </c>
      <c r="C509" s="116">
        <v>0</v>
      </c>
      <c r="E509" s="154"/>
      <c r="F509" s="154"/>
      <c r="G509" s="154"/>
    </row>
    <row r="510" spans="1:7" x14ac:dyDescent="0.3">
      <c r="A510" s="172" t="s">
        <v>909</v>
      </c>
      <c r="B510" s="115" t="s">
        <v>910</v>
      </c>
      <c r="C510" s="116">
        <v>0</v>
      </c>
      <c r="E510" s="154"/>
      <c r="F510" s="154"/>
      <c r="G510" s="154"/>
    </row>
    <row r="511" spans="1:7" x14ac:dyDescent="0.3">
      <c r="A511" s="172" t="s">
        <v>2009</v>
      </c>
      <c r="B511" s="115" t="s">
        <v>2010</v>
      </c>
      <c r="C511" s="116">
        <v>0</v>
      </c>
      <c r="E511" s="154"/>
      <c r="F511" s="154"/>
      <c r="G511" s="154"/>
    </row>
    <row r="512" spans="1:7" x14ac:dyDescent="0.3">
      <c r="A512" s="172" t="s">
        <v>2011</v>
      </c>
      <c r="B512" s="115" t="s">
        <v>2012</v>
      </c>
      <c r="C512" s="116">
        <v>0</v>
      </c>
      <c r="E512" s="154"/>
      <c r="F512" s="154"/>
      <c r="G512" s="154"/>
    </row>
    <row r="513" spans="1:7" x14ac:dyDescent="0.3">
      <c r="A513" s="172" t="s">
        <v>2013</v>
      </c>
      <c r="B513" s="115" t="s">
        <v>2014</v>
      </c>
      <c r="C513" s="116">
        <v>0</v>
      </c>
      <c r="E513" s="154"/>
      <c r="F513" s="154"/>
      <c r="G513" s="154"/>
    </row>
    <row r="514" spans="1:7" x14ac:dyDescent="0.3">
      <c r="A514" s="172" t="s">
        <v>2015</v>
      </c>
      <c r="B514" s="115" t="s">
        <v>2016</v>
      </c>
      <c r="C514" s="116">
        <v>0</v>
      </c>
      <c r="E514" s="154"/>
      <c r="F514" s="154"/>
      <c r="G514" s="154"/>
    </row>
    <row r="515" spans="1:7" x14ac:dyDescent="0.3">
      <c r="A515" s="172" t="s">
        <v>2017</v>
      </c>
      <c r="B515" s="115" t="s">
        <v>2018</v>
      </c>
      <c r="C515" s="116">
        <v>0</v>
      </c>
      <c r="E515" s="154"/>
      <c r="F515" s="154"/>
      <c r="G515" s="154"/>
    </row>
    <row r="516" spans="1:7" x14ac:dyDescent="0.3">
      <c r="A516" s="172" t="s">
        <v>2019</v>
      </c>
      <c r="B516" s="115" t="s">
        <v>2020</v>
      </c>
      <c r="C516" s="116">
        <v>0</v>
      </c>
      <c r="E516" s="154"/>
      <c r="F516" s="154"/>
      <c r="G516" s="154"/>
    </row>
    <row r="517" spans="1:7" x14ac:dyDescent="0.3">
      <c r="A517" s="172" t="s">
        <v>516</v>
      </c>
      <c r="B517" s="115" t="s">
        <v>517</v>
      </c>
      <c r="C517" s="116">
        <v>0</v>
      </c>
      <c r="E517" s="154"/>
      <c r="F517" s="154"/>
      <c r="G517" s="154"/>
    </row>
    <row r="518" spans="1:7" x14ac:dyDescent="0.3">
      <c r="A518" s="172" t="s">
        <v>2021</v>
      </c>
      <c r="B518" s="115" t="s">
        <v>2022</v>
      </c>
      <c r="C518" s="116">
        <v>0</v>
      </c>
      <c r="E518" s="154"/>
      <c r="F518" s="154"/>
      <c r="G518" s="154"/>
    </row>
    <row r="519" spans="1:7" x14ac:dyDescent="0.3">
      <c r="A519" s="172" t="s">
        <v>2023</v>
      </c>
      <c r="B519" s="115" t="s">
        <v>2024</v>
      </c>
      <c r="C519" s="116">
        <v>0</v>
      </c>
      <c r="E519" s="154"/>
      <c r="F519" s="154"/>
      <c r="G519" s="154"/>
    </row>
    <row r="520" spans="1:7" x14ac:dyDescent="0.3">
      <c r="A520" s="172" t="s">
        <v>2025</v>
      </c>
      <c r="B520" s="115" t="s">
        <v>2026</v>
      </c>
      <c r="C520" s="116">
        <v>0</v>
      </c>
      <c r="E520" s="154"/>
      <c r="F520" s="154"/>
      <c r="G520" s="154"/>
    </row>
    <row r="521" spans="1:7" x14ac:dyDescent="0.3">
      <c r="A521" s="172" t="s">
        <v>2027</v>
      </c>
      <c r="B521" s="115" t="s">
        <v>2028</v>
      </c>
      <c r="C521" s="116">
        <v>0</v>
      </c>
      <c r="E521" s="154"/>
      <c r="F521" s="154"/>
      <c r="G521" s="154"/>
    </row>
    <row r="522" spans="1:7" x14ac:dyDescent="0.3">
      <c r="A522" s="172" t="s">
        <v>2029</v>
      </c>
      <c r="B522" s="115" t="s">
        <v>2030</v>
      </c>
      <c r="C522" s="116">
        <v>0</v>
      </c>
      <c r="E522" s="154"/>
      <c r="F522" s="154"/>
      <c r="G522" s="154"/>
    </row>
    <row r="523" spans="1:7" x14ac:dyDescent="0.3">
      <c r="A523" s="172" t="s">
        <v>2031</v>
      </c>
      <c r="B523" s="115" t="s">
        <v>2032</v>
      </c>
      <c r="C523" s="116">
        <v>0</v>
      </c>
      <c r="E523" s="154"/>
      <c r="F523" s="154"/>
      <c r="G523" s="154"/>
    </row>
    <row r="524" spans="1:7" x14ac:dyDescent="0.3">
      <c r="A524" s="172" t="s">
        <v>2033</v>
      </c>
      <c r="B524" s="115" t="s">
        <v>2034</v>
      </c>
      <c r="C524" s="116">
        <v>0</v>
      </c>
      <c r="E524" s="154"/>
      <c r="F524" s="154"/>
      <c r="G524" s="154"/>
    </row>
    <row r="525" spans="1:7" x14ac:dyDescent="0.3">
      <c r="A525" s="172" t="s">
        <v>2035</v>
      </c>
      <c r="B525" s="115" t="s">
        <v>2036</v>
      </c>
      <c r="C525" s="116">
        <v>0</v>
      </c>
      <c r="E525" s="154"/>
      <c r="F525" s="154"/>
      <c r="G525" s="154"/>
    </row>
    <row r="526" spans="1:7" x14ac:dyDescent="0.3">
      <c r="A526" s="172" t="s">
        <v>2037</v>
      </c>
      <c r="B526" s="115" t="s">
        <v>2038</v>
      </c>
      <c r="C526" s="116">
        <v>0</v>
      </c>
      <c r="E526" s="154"/>
      <c r="F526" s="154"/>
      <c r="G526" s="154"/>
    </row>
    <row r="527" spans="1:7" x14ac:dyDescent="0.3">
      <c r="A527" s="172" t="s">
        <v>2039</v>
      </c>
      <c r="B527" s="115" t="s">
        <v>2040</v>
      </c>
      <c r="C527" s="116">
        <v>0</v>
      </c>
      <c r="E527" s="154"/>
      <c r="F527" s="154"/>
      <c r="G527" s="154"/>
    </row>
    <row r="528" spans="1:7" x14ac:dyDescent="0.3">
      <c r="A528" s="172" t="s">
        <v>2041</v>
      </c>
      <c r="B528" s="115" t="s">
        <v>2042</v>
      </c>
      <c r="C528" s="116">
        <v>0</v>
      </c>
      <c r="E528" s="154"/>
      <c r="F528" s="154"/>
      <c r="G528" s="154"/>
    </row>
    <row r="529" spans="1:7" x14ac:dyDescent="0.3">
      <c r="A529" s="172" t="s">
        <v>2043</v>
      </c>
      <c r="B529" s="115" t="s">
        <v>2044</v>
      </c>
      <c r="C529" s="116">
        <v>0</v>
      </c>
      <c r="E529" s="154"/>
      <c r="F529" s="154"/>
      <c r="G529" s="154"/>
    </row>
    <row r="530" spans="1:7" x14ac:dyDescent="0.3">
      <c r="A530" s="172" t="s">
        <v>2045</v>
      </c>
      <c r="B530" s="115" t="s">
        <v>2046</v>
      </c>
      <c r="C530" s="116">
        <v>0</v>
      </c>
      <c r="E530" s="154"/>
      <c r="F530" s="154"/>
      <c r="G530" s="154"/>
    </row>
    <row r="531" spans="1:7" x14ac:dyDescent="0.3">
      <c r="A531" s="172" t="s">
        <v>2047</v>
      </c>
      <c r="B531" s="115" t="s">
        <v>2048</v>
      </c>
      <c r="C531" s="116">
        <v>0</v>
      </c>
      <c r="E531" s="154"/>
      <c r="F531" s="154"/>
      <c r="G531" s="154"/>
    </row>
    <row r="532" spans="1:7" x14ac:dyDescent="0.3">
      <c r="A532" s="172" t="s">
        <v>2049</v>
      </c>
      <c r="B532" s="115" t="s">
        <v>2050</v>
      </c>
      <c r="C532" s="116">
        <v>0</v>
      </c>
      <c r="E532" s="154"/>
      <c r="F532" s="154"/>
      <c r="G532" s="154"/>
    </row>
    <row r="533" spans="1:7" x14ac:dyDescent="0.3">
      <c r="A533" s="172" t="s">
        <v>2051</v>
      </c>
      <c r="B533" s="115" t="s">
        <v>2052</v>
      </c>
      <c r="C533" s="116">
        <v>0</v>
      </c>
      <c r="E533" s="154"/>
      <c r="F533" s="154"/>
      <c r="G533" s="154"/>
    </row>
    <row r="534" spans="1:7" x14ac:dyDescent="0.3">
      <c r="A534" s="172" t="s">
        <v>610</v>
      </c>
      <c r="B534" s="115" t="s">
        <v>611</v>
      </c>
      <c r="C534" s="116">
        <v>0</v>
      </c>
      <c r="E534" s="154"/>
      <c r="F534" s="154"/>
      <c r="G534" s="154"/>
    </row>
    <row r="535" spans="1:7" x14ac:dyDescent="0.3">
      <c r="A535" s="172" t="s">
        <v>2053</v>
      </c>
      <c r="B535" s="115" t="s">
        <v>2054</v>
      </c>
      <c r="C535" s="116">
        <v>0</v>
      </c>
      <c r="E535" s="154"/>
      <c r="F535" s="154"/>
      <c r="G535" s="154"/>
    </row>
    <row r="536" spans="1:7" x14ac:dyDescent="0.3">
      <c r="A536" s="172" t="s">
        <v>2055</v>
      </c>
      <c r="B536" s="115" t="s">
        <v>2056</v>
      </c>
      <c r="C536" s="116">
        <v>0</v>
      </c>
      <c r="E536" s="154"/>
      <c r="F536" s="154"/>
      <c r="G536" s="154"/>
    </row>
    <row r="537" spans="1:7" x14ac:dyDescent="0.3">
      <c r="A537" s="172" t="s">
        <v>2057</v>
      </c>
      <c r="B537" s="115" t="s">
        <v>2058</v>
      </c>
      <c r="C537" s="116">
        <v>0</v>
      </c>
      <c r="E537" s="154"/>
      <c r="F537" s="154"/>
      <c r="G537" s="154"/>
    </row>
    <row r="538" spans="1:7" x14ac:dyDescent="0.3">
      <c r="A538" s="172" t="s">
        <v>2059</v>
      </c>
      <c r="B538" s="115" t="s">
        <v>2060</v>
      </c>
      <c r="C538" s="116">
        <v>0</v>
      </c>
      <c r="E538" s="154"/>
      <c r="F538" s="154"/>
      <c r="G538" s="154"/>
    </row>
    <row r="539" spans="1:7" x14ac:dyDescent="0.3">
      <c r="A539" s="172" t="s">
        <v>2061</v>
      </c>
      <c r="B539" s="115" t="s">
        <v>2062</v>
      </c>
      <c r="C539" s="116">
        <v>196784.5</v>
      </c>
      <c r="E539" s="154"/>
      <c r="F539" s="154"/>
      <c r="G539" s="154"/>
    </row>
    <row r="540" spans="1:7" x14ac:dyDescent="0.3">
      <c r="A540" s="172" t="s">
        <v>2063</v>
      </c>
      <c r="B540" s="115" t="s">
        <v>2064</v>
      </c>
      <c r="C540" s="116">
        <v>-259744453.18000001</v>
      </c>
      <c r="E540" s="154"/>
      <c r="F540" s="154"/>
      <c r="G540" s="154"/>
    </row>
    <row r="541" spans="1:7" x14ac:dyDescent="0.3">
      <c r="A541" s="172" t="s">
        <v>2065</v>
      </c>
      <c r="B541" s="115" t="s">
        <v>2066</v>
      </c>
      <c r="C541" s="116">
        <v>358152.75</v>
      </c>
      <c r="E541" s="154"/>
      <c r="F541" s="154"/>
      <c r="G541" s="154"/>
    </row>
    <row r="542" spans="1:7" x14ac:dyDescent="0.3">
      <c r="A542" s="172" t="s">
        <v>2067</v>
      </c>
      <c r="B542" s="115" t="s">
        <v>2068</v>
      </c>
      <c r="C542" s="116">
        <v>-54118398.030000001</v>
      </c>
      <c r="E542" s="154"/>
      <c r="F542" s="154"/>
      <c r="G542" s="154"/>
    </row>
    <row r="543" spans="1:7" x14ac:dyDescent="0.3">
      <c r="A543" s="172" t="s">
        <v>2069</v>
      </c>
      <c r="B543" s="115" t="s">
        <v>2070</v>
      </c>
      <c r="C543" s="116">
        <v>156197.23000000001</v>
      </c>
      <c r="E543" s="154"/>
      <c r="F543" s="154"/>
      <c r="G543" s="154"/>
    </row>
    <row r="544" spans="1:7" x14ac:dyDescent="0.3">
      <c r="A544" s="172" t="s">
        <v>2071</v>
      </c>
      <c r="B544" s="115" t="s">
        <v>2072</v>
      </c>
      <c r="C544" s="116">
        <v>-2007478.5</v>
      </c>
      <c r="E544" s="154"/>
      <c r="F544" s="154"/>
      <c r="G544" s="154"/>
    </row>
    <row r="545" spans="1:7" x14ac:dyDescent="0.3">
      <c r="A545" s="172" t="s">
        <v>2073</v>
      </c>
      <c r="B545" s="115" t="s">
        <v>2074</v>
      </c>
      <c r="C545" s="116">
        <v>-16876906.09</v>
      </c>
      <c r="E545" s="154"/>
      <c r="F545" s="154"/>
      <c r="G545" s="154"/>
    </row>
    <row r="546" spans="1:7" x14ac:dyDescent="0.3">
      <c r="A546" s="172" t="s">
        <v>2075</v>
      </c>
      <c r="B546" s="115" t="s">
        <v>2076</v>
      </c>
      <c r="C546" s="116">
        <v>3059942299.21</v>
      </c>
      <c r="E546" s="154"/>
      <c r="F546" s="154"/>
      <c r="G546" s="154"/>
    </row>
    <row r="547" spans="1:7" x14ac:dyDescent="0.3">
      <c r="A547" s="172" t="s">
        <v>2077</v>
      </c>
      <c r="B547" s="115" t="s">
        <v>2078</v>
      </c>
      <c r="C547" s="116">
        <v>448061641.72000003</v>
      </c>
      <c r="E547" s="154"/>
      <c r="F547" s="154"/>
      <c r="G547" s="154"/>
    </row>
    <row r="548" spans="1:7" x14ac:dyDescent="0.3">
      <c r="A548" s="172" t="s">
        <v>2079</v>
      </c>
      <c r="B548" s="115" t="s">
        <v>2080</v>
      </c>
      <c r="C548" s="116">
        <v>93456.57</v>
      </c>
      <c r="E548" s="154"/>
      <c r="F548" s="154"/>
      <c r="G548" s="154"/>
    </row>
    <row r="549" spans="1:7" x14ac:dyDescent="0.3">
      <c r="A549" s="172" t="s">
        <v>2081</v>
      </c>
      <c r="B549" s="115" t="s">
        <v>2082</v>
      </c>
      <c r="C549" s="116">
        <v>199454.5</v>
      </c>
      <c r="E549" s="154"/>
      <c r="F549" s="154"/>
      <c r="G549" s="154"/>
    </row>
    <row r="550" spans="1:7" x14ac:dyDescent="0.3">
      <c r="A550" s="172" t="s">
        <v>2083</v>
      </c>
      <c r="B550" s="115" t="s">
        <v>2084</v>
      </c>
      <c r="C550" s="116">
        <v>50343.1</v>
      </c>
      <c r="E550" s="154"/>
      <c r="F550" s="154"/>
      <c r="G550" s="154"/>
    </row>
    <row r="551" spans="1:7" x14ac:dyDescent="0.3">
      <c r="A551" s="172" t="s">
        <v>2085</v>
      </c>
      <c r="B551" s="115" t="s">
        <v>2086</v>
      </c>
      <c r="C551" s="116">
        <v>244647</v>
      </c>
      <c r="E551" s="154"/>
      <c r="F551" s="154"/>
      <c r="G551" s="154"/>
    </row>
    <row r="552" spans="1:7" x14ac:dyDescent="0.3">
      <c r="A552" s="172" t="s">
        <v>2087</v>
      </c>
      <c r="B552" s="115" t="s">
        <v>2088</v>
      </c>
      <c r="C552" s="116">
        <v>154142</v>
      </c>
      <c r="E552" s="154"/>
      <c r="F552" s="154"/>
      <c r="G552" s="154"/>
    </row>
    <row r="553" spans="1:7" x14ac:dyDescent="0.3">
      <c r="A553" s="172" t="s">
        <v>2089</v>
      </c>
      <c r="B553" s="115" t="s">
        <v>2090</v>
      </c>
      <c r="C553" s="116">
        <v>407565.8</v>
      </c>
      <c r="E553" s="154"/>
      <c r="F553" s="154"/>
      <c r="G553" s="154"/>
    </row>
    <row r="554" spans="1:7" x14ac:dyDescent="0.3">
      <c r="A554" s="172" t="s">
        <v>2091</v>
      </c>
      <c r="B554" s="115" t="s">
        <v>2092</v>
      </c>
      <c r="C554" s="116">
        <v>111138.55</v>
      </c>
      <c r="E554" s="154"/>
      <c r="F554" s="154"/>
      <c r="G554" s="154"/>
    </row>
    <row r="555" spans="1:7" x14ac:dyDescent="0.3">
      <c r="A555" s="172" t="s">
        <v>2093</v>
      </c>
      <c r="B555" s="115" t="s">
        <v>2094</v>
      </c>
      <c r="C555" s="116">
        <v>28503693.059999999</v>
      </c>
      <c r="E555" s="154"/>
      <c r="F555" s="154"/>
      <c r="G555" s="154"/>
    </row>
    <row r="556" spans="1:7" x14ac:dyDescent="0.3">
      <c r="A556" s="172" t="s">
        <v>2095</v>
      </c>
      <c r="B556" s="115" t="s">
        <v>2096</v>
      </c>
      <c r="C556" s="116">
        <v>393820.7</v>
      </c>
      <c r="E556" s="154"/>
      <c r="F556" s="154"/>
      <c r="G556" s="154"/>
    </row>
    <row r="557" spans="1:7" x14ac:dyDescent="0.3">
      <c r="A557" s="172" t="s">
        <v>2097</v>
      </c>
      <c r="B557" s="115" t="s">
        <v>2098</v>
      </c>
      <c r="C557" s="116">
        <v>175865</v>
      </c>
      <c r="E557" s="154"/>
      <c r="F557" s="154"/>
      <c r="G557" s="154"/>
    </row>
    <row r="558" spans="1:7" x14ac:dyDescent="0.3">
      <c r="A558" s="172" t="s">
        <v>2099</v>
      </c>
      <c r="B558" s="115" t="s">
        <v>2100</v>
      </c>
      <c r="C558" s="116">
        <v>129324.8</v>
      </c>
      <c r="E558" s="154"/>
      <c r="F558" s="154"/>
      <c r="G558" s="154"/>
    </row>
    <row r="559" spans="1:7" x14ac:dyDescent="0.3">
      <c r="A559" s="172" t="s">
        <v>2101</v>
      </c>
      <c r="B559" s="115" t="s">
        <v>2102</v>
      </c>
      <c r="C559" s="116">
        <v>379060.5</v>
      </c>
      <c r="E559" s="154"/>
      <c r="F559" s="154"/>
      <c r="G559" s="154"/>
    </row>
    <row r="560" spans="1:7" x14ac:dyDescent="0.3">
      <c r="A560" s="172" t="s">
        <v>2103</v>
      </c>
      <c r="B560" s="115" t="s">
        <v>2104</v>
      </c>
      <c r="C560" s="116">
        <v>151642.79999999999</v>
      </c>
      <c r="E560" s="154"/>
      <c r="F560" s="154"/>
      <c r="G560" s="154"/>
    </row>
    <row r="561" spans="1:7" x14ac:dyDescent="0.3">
      <c r="A561" s="172" t="s">
        <v>2105</v>
      </c>
      <c r="B561" s="115" t="s">
        <v>2106</v>
      </c>
      <c r="C561" s="116">
        <v>99734.63</v>
      </c>
      <c r="E561" s="154"/>
      <c r="F561" s="154"/>
      <c r="G561" s="154"/>
    </row>
    <row r="562" spans="1:7" x14ac:dyDescent="0.3">
      <c r="A562" s="172" t="s">
        <v>2107</v>
      </c>
      <c r="B562" s="115" t="s">
        <v>2108</v>
      </c>
      <c r="C562" s="116">
        <v>125046.98</v>
      </c>
      <c r="E562" s="154"/>
      <c r="F562" s="154"/>
      <c r="G562" s="154"/>
    </row>
    <row r="563" spans="1:7" x14ac:dyDescent="0.3">
      <c r="A563" s="172" t="s">
        <v>2109</v>
      </c>
      <c r="B563" s="115" t="s">
        <v>2110</v>
      </c>
      <c r="C563" s="116">
        <v>320503.51</v>
      </c>
      <c r="E563" s="154"/>
      <c r="F563" s="154"/>
      <c r="G563" s="154"/>
    </row>
    <row r="564" spans="1:7" x14ac:dyDescent="0.3">
      <c r="A564" s="172" t="s">
        <v>2111</v>
      </c>
      <c r="B564" s="115" t="s">
        <v>2112</v>
      </c>
      <c r="C564" s="116">
        <v>418716.91</v>
      </c>
      <c r="E564" s="154"/>
      <c r="F564" s="154"/>
      <c r="G564" s="154"/>
    </row>
    <row r="565" spans="1:7" x14ac:dyDescent="0.3">
      <c r="A565" s="172" t="s">
        <v>2113</v>
      </c>
      <c r="B565" s="115" t="s">
        <v>2114</v>
      </c>
      <c r="C565" s="116">
        <v>83474.8</v>
      </c>
      <c r="E565" s="154"/>
      <c r="F565" s="154"/>
      <c r="G565" s="154"/>
    </row>
    <row r="566" spans="1:7" x14ac:dyDescent="0.3">
      <c r="A566" s="172" t="s">
        <v>2115</v>
      </c>
      <c r="B566" s="115" t="s">
        <v>2116</v>
      </c>
      <c r="C566" s="116">
        <v>497249.61</v>
      </c>
      <c r="E566" s="154"/>
      <c r="F566" s="154"/>
      <c r="G566" s="154"/>
    </row>
    <row r="567" spans="1:7" x14ac:dyDescent="0.3">
      <c r="A567" s="172" t="s">
        <v>2117</v>
      </c>
      <c r="B567" s="115" t="s">
        <v>2118</v>
      </c>
      <c r="C567" s="116">
        <v>97228.33</v>
      </c>
      <c r="E567" s="154"/>
      <c r="F567" s="154"/>
      <c r="G567" s="154"/>
    </row>
    <row r="568" spans="1:7" x14ac:dyDescent="0.3">
      <c r="A568" s="173" t="s">
        <v>2119</v>
      </c>
      <c r="B568" s="20" t="s">
        <v>2120</v>
      </c>
      <c r="C568" s="116">
        <v>186282.53</v>
      </c>
      <c r="E568" s="154"/>
      <c r="F568" s="154"/>
      <c r="G568" s="154"/>
    </row>
    <row r="569" spans="1:7" x14ac:dyDescent="0.3">
      <c r="A569" s="172" t="s">
        <v>2121</v>
      </c>
      <c r="B569" s="115" t="s">
        <v>2122</v>
      </c>
      <c r="C569" s="116">
        <v>450693</v>
      </c>
      <c r="E569" s="154"/>
      <c r="F569" s="154"/>
      <c r="G569" s="154"/>
    </row>
    <row r="570" spans="1:7" x14ac:dyDescent="0.3">
      <c r="A570" s="172" t="s">
        <v>2123</v>
      </c>
      <c r="B570" s="115" t="s">
        <v>2124</v>
      </c>
      <c r="C570" s="116">
        <v>49240</v>
      </c>
      <c r="E570" s="154"/>
      <c r="F570" s="154"/>
      <c r="G570" s="154"/>
    </row>
    <row r="571" spans="1:7" x14ac:dyDescent="0.3">
      <c r="A571" s="172" t="s">
        <v>2125</v>
      </c>
      <c r="B571" s="115" t="s">
        <v>2126</v>
      </c>
      <c r="C571" s="116">
        <v>39027.5</v>
      </c>
      <c r="E571" s="154"/>
      <c r="F571" s="154"/>
      <c r="G571" s="154"/>
    </row>
    <row r="572" spans="1:7" x14ac:dyDescent="0.3">
      <c r="A572" s="172" t="s">
        <v>2127</v>
      </c>
      <c r="B572" s="115" t="s">
        <v>2128</v>
      </c>
      <c r="C572" s="116">
        <v>76661.2</v>
      </c>
      <c r="E572" s="154"/>
      <c r="F572" s="154"/>
      <c r="G572" s="154"/>
    </row>
    <row r="573" spans="1:7" x14ac:dyDescent="0.3">
      <c r="A573" s="172" t="s">
        <v>2129</v>
      </c>
      <c r="B573" s="115" t="s">
        <v>2130</v>
      </c>
      <c r="C573" s="116">
        <v>-2568500000</v>
      </c>
      <c r="E573" s="154"/>
      <c r="F573" s="154"/>
      <c r="G573" s="154"/>
    </row>
    <row r="574" spans="1:7" x14ac:dyDescent="0.3">
      <c r="A574" s="172" t="s">
        <v>2131</v>
      </c>
      <c r="B574" s="115" t="s">
        <v>2132</v>
      </c>
      <c r="C574" s="116">
        <v>45282.75</v>
      </c>
      <c r="E574" s="154"/>
      <c r="F574" s="154"/>
      <c r="G574" s="154"/>
    </row>
    <row r="575" spans="1:7" x14ac:dyDescent="0.3">
      <c r="A575" s="172" t="s">
        <v>2133</v>
      </c>
      <c r="B575" s="115" t="s">
        <v>2134</v>
      </c>
      <c r="C575" s="116">
        <v>-31.27</v>
      </c>
      <c r="E575" s="154"/>
      <c r="F575" s="154"/>
      <c r="G575" s="154"/>
    </row>
    <row r="576" spans="1:7" x14ac:dyDescent="0.3">
      <c r="A576" s="172" t="s">
        <v>2135</v>
      </c>
      <c r="B576" s="115" t="s">
        <v>2136</v>
      </c>
      <c r="C576" s="116">
        <v>-46622420.979999997</v>
      </c>
      <c r="E576" s="154"/>
      <c r="F576" s="154"/>
      <c r="G576" s="154"/>
    </row>
    <row r="577" spans="1:7" x14ac:dyDescent="0.3">
      <c r="A577" s="172" t="s">
        <v>2137</v>
      </c>
      <c r="B577" s="115" t="s">
        <v>2138</v>
      </c>
      <c r="C577" s="116">
        <v>103695.78</v>
      </c>
      <c r="E577" s="154"/>
      <c r="F577" s="154"/>
      <c r="G577" s="154"/>
    </row>
    <row r="578" spans="1:7" x14ac:dyDescent="0.3">
      <c r="A578" s="172" t="s">
        <v>2139</v>
      </c>
      <c r="B578" s="115" t="s">
        <v>2140</v>
      </c>
      <c r="C578" s="116">
        <v>0</v>
      </c>
      <c r="E578" s="154"/>
      <c r="F578" s="154"/>
      <c r="G578" s="154"/>
    </row>
    <row r="579" spans="1:7" x14ac:dyDescent="0.3">
      <c r="A579" s="172" t="s">
        <v>2141</v>
      </c>
      <c r="B579" s="115" t="s">
        <v>2142</v>
      </c>
      <c r="C579" s="116">
        <v>33806</v>
      </c>
      <c r="E579" s="154"/>
      <c r="F579" s="154"/>
      <c r="G579" s="154"/>
    </row>
    <row r="580" spans="1:7" x14ac:dyDescent="0.3">
      <c r="A580" s="172" t="s">
        <v>2143</v>
      </c>
      <c r="B580" s="115" t="s">
        <v>2144</v>
      </c>
      <c r="C580" s="116">
        <v>2000</v>
      </c>
      <c r="E580" s="154"/>
      <c r="F580" s="154"/>
      <c r="G580" s="154"/>
    </row>
    <row r="581" spans="1:7" x14ac:dyDescent="0.3">
      <c r="A581" s="172" t="s">
        <v>2145</v>
      </c>
      <c r="B581" s="115" t="s">
        <v>2146</v>
      </c>
      <c r="C581" s="116">
        <v>174000</v>
      </c>
      <c r="E581" s="154"/>
      <c r="F581" s="154"/>
      <c r="G581" s="154"/>
    </row>
    <row r="582" spans="1:7" x14ac:dyDescent="0.3">
      <c r="A582" s="172" t="s">
        <v>2147</v>
      </c>
      <c r="B582" s="115" t="s">
        <v>2148</v>
      </c>
      <c r="C582" s="116">
        <v>40191</v>
      </c>
      <c r="E582" s="154"/>
      <c r="F582" s="154"/>
      <c r="G582" s="154"/>
    </row>
    <row r="583" spans="1:7" x14ac:dyDescent="0.3">
      <c r="A583" s="172" t="s">
        <v>572</v>
      </c>
      <c r="B583" s="115" t="s">
        <v>573</v>
      </c>
      <c r="C583" s="116">
        <v>9263191.2599999998</v>
      </c>
      <c r="E583" s="154"/>
      <c r="F583" s="154"/>
      <c r="G583" s="154"/>
    </row>
    <row r="584" spans="1:7" x14ac:dyDescent="0.3">
      <c r="A584" s="172" t="s">
        <v>2149</v>
      </c>
      <c r="B584" s="115" t="s">
        <v>2150</v>
      </c>
      <c r="C584" s="116">
        <v>0</v>
      </c>
      <c r="E584" s="154"/>
      <c r="F584" s="154"/>
      <c r="G584" s="154"/>
    </row>
    <row r="585" spans="1:7" x14ac:dyDescent="0.3">
      <c r="A585" s="172" t="s">
        <v>2151</v>
      </c>
      <c r="B585" s="115" t="s">
        <v>2152</v>
      </c>
      <c r="C585" s="116">
        <v>0</v>
      </c>
      <c r="E585" s="154"/>
      <c r="F585" s="154"/>
      <c r="G585" s="154"/>
    </row>
    <row r="586" spans="1:7" x14ac:dyDescent="0.3">
      <c r="A586" s="172" t="s">
        <v>988</v>
      </c>
      <c r="B586" s="115" t="s">
        <v>989</v>
      </c>
      <c r="C586" s="116">
        <v>0</v>
      </c>
      <c r="E586" s="154"/>
      <c r="F586" s="154"/>
      <c r="G586" s="154"/>
    </row>
    <row r="587" spans="1:7" x14ac:dyDescent="0.3">
      <c r="A587" s="172" t="s">
        <v>682</v>
      </c>
      <c r="B587" s="115" t="s">
        <v>683</v>
      </c>
      <c r="C587" s="116">
        <v>605128.19999999995</v>
      </c>
      <c r="E587" s="154"/>
      <c r="F587" s="154"/>
      <c r="G587" s="154"/>
    </row>
    <row r="588" spans="1:7" x14ac:dyDescent="0.3">
      <c r="A588" s="172" t="s">
        <v>2153</v>
      </c>
      <c r="B588" s="115" t="s">
        <v>2154</v>
      </c>
      <c r="C588" s="116">
        <v>51118.2</v>
      </c>
      <c r="E588" s="154"/>
      <c r="F588" s="154"/>
      <c r="G588" s="154"/>
    </row>
    <row r="589" spans="1:7" x14ac:dyDescent="0.3">
      <c r="A589" s="172" t="s">
        <v>2155</v>
      </c>
      <c r="B589" s="115" t="s">
        <v>2156</v>
      </c>
      <c r="C589" s="116">
        <v>0</v>
      </c>
      <c r="E589" s="154"/>
      <c r="F589" s="154"/>
      <c r="G589" s="154"/>
    </row>
    <row r="590" spans="1:7" x14ac:dyDescent="0.3">
      <c r="A590" s="172" t="s">
        <v>2157</v>
      </c>
      <c r="B590" s="115" t="s">
        <v>2158</v>
      </c>
      <c r="C590" s="116">
        <v>0</v>
      </c>
      <c r="E590" s="154"/>
      <c r="F590" s="154"/>
      <c r="G590" s="154"/>
    </row>
    <row r="591" spans="1:7" x14ac:dyDescent="0.3">
      <c r="A591" s="172" t="s">
        <v>2159</v>
      </c>
      <c r="B591" s="115" t="s">
        <v>2160</v>
      </c>
      <c r="C591" s="116">
        <v>0</v>
      </c>
      <c r="E591" s="154"/>
      <c r="F591" s="154"/>
      <c r="G591" s="154"/>
    </row>
    <row r="592" spans="1:7" x14ac:dyDescent="0.3">
      <c r="A592" s="172" t="s">
        <v>2161</v>
      </c>
      <c r="B592" s="115" t="s">
        <v>2162</v>
      </c>
      <c r="C592" s="116">
        <v>0</v>
      </c>
      <c r="E592" s="154"/>
      <c r="F592" s="154"/>
      <c r="G592" s="154"/>
    </row>
    <row r="593" spans="1:7" x14ac:dyDescent="0.3">
      <c r="A593" s="172" t="s">
        <v>2163</v>
      </c>
      <c r="B593" s="115" t="s">
        <v>2164</v>
      </c>
      <c r="C593" s="116">
        <v>0</v>
      </c>
      <c r="E593" s="154"/>
      <c r="F593" s="154"/>
      <c r="G593" s="154"/>
    </row>
    <row r="594" spans="1:7" x14ac:dyDescent="0.3">
      <c r="A594" s="172" t="s">
        <v>2165</v>
      </c>
      <c r="B594" s="115" t="s">
        <v>2166</v>
      </c>
      <c r="C594" s="116">
        <v>48978</v>
      </c>
      <c r="E594" s="154"/>
      <c r="F594" s="154"/>
      <c r="G594" s="154"/>
    </row>
    <row r="595" spans="1:7" x14ac:dyDescent="0.3">
      <c r="A595" s="172" t="s">
        <v>2167</v>
      </c>
      <c r="B595" s="115" t="s">
        <v>2168</v>
      </c>
      <c r="C595" s="116">
        <v>0</v>
      </c>
      <c r="E595" s="154"/>
      <c r="F595" s="154"/>
      <c r="G595" s="154"/>
    </row>
    <row r="596" spans="1:7" x14ac:dyDescent="0.3">
      <c r="A596" s="172" t="s">
        <v>2169</v>
      </c>
      <c r="B596" s="115" t="s">
        <v>2170</v>
      </c>
      <c r="C596" s="116">
        <v>0</v>
      </c>
      <c r="E596" s="154"/>
      <c r="F596" s="154"/>
      <c r="G596" s="154"/>
    </row>
    <row r="597" spans="1:7" x14ac:dyDescent="0.3">
      <c r="A597" s="172" t="s">
        <v>2171</v>
      </c>
      <c r="B597" s="115" t="s">
        <v>2172</v>
      </c>
      <c r="C597" s="116">
        <v>-21200000</v>
      </c>
      <c r="E597" s="154"/>
      <c r="F597" s="154"/>
      <c r="G597" s="154"/>
    </row>
    <row r="598" spans="1:7" x14ac:dyDescent="0.3">
      <c r="A598" s="172" t="s">
        <v>2173</v>
      </c>
      <c r="B598" s="115" t="s">
        <v>2174</v>
      </c>
      <c r="C598" s="116">
        <v>0</v>
      </c>
      <c r="E598" s="154"/>
      <c r="F598" s="154"/>
      <c r="G598" s="154"/>
    </row>
    <row r="599" spans="1:7" x14ac:dyDescent="0.3">
      <c r="A599" s="172" t="s">
        <v>2175</v>
      </c>
      <c r="B599" s="115" t="s">
        <v>2176</v>
      </c>
      <c r="C599" s="116">
        <v>0</v>
      </c>
      <c r="E599" s="154"/>
      <c r="F599" s="154"/>
      <c r="G599" s="154"/>
    </row>
    <row r="600" spans="1:7" x14ac:dyDescent="0.3">
      <c r="A600" s="172" t="s">
        <v>2177</v>
      </c>
      <c r="B600" s="115" t="s">
        <v>2178</v>
      </c>
      <c r="C600" s="116">
        <v>0</v>
      </c>
      <c r="E600" s="154"/>
      <c r="F600" s="154"/>
      <c r="G600" s="154"/>
    </row>
    <row r="601" spans="1:7" x14ac:dyDescent="0.3">
      <c r="A601" s="172" t="s">
        <v>2179</v>
      </c>
      <c r="B601" s="115" t="s">
        <v>2180</v>
      </c>
      <c r="C601" s="116">
        <v>0</v>
      </c>
      <c r="E601" s="154"/>
      <c r="F601" s="154"/>
      <c r="G601" s="154"/>
    </row>
    <row r="602" spans="1:7" x14ac:dyDescent="0.3">
      <c r="A602" s="172" t="s">
        <v>2181</v>
      </c>
      <c r="B602" s="115" t="s">
        <v>2182</v>
      </c>
      <c r="C602" s="116">
        <v>0</v>
      </c>
      <c r="E602" s="154"/>
      <c r="F602" s="154"/>
      <c r="G602" s="154"/>
    </row>
    <row r="603" spans="1:7" x14ac:dyDescent="0.3">
      <c r="A603" s="172" t="s">
        <v>650</v>
      </c>
      <c r="B603" s="115" t="s">
        <v>651</v>
      </c>
      <c r="C603" s="116">
        <v>0</v>
      </c>
      <c r="E603" s="154"/>
      <c r="F603" s="154"/>
      <c r="G603" s="154"/>
    </row>
    <row r="604" spans="1:7" x14ac:dyDescent="0.3">
      <c r="A604" s="172" t="s">
        <v>2183</v>
      </c>
      <c r="B604" s="115" t="s">
        <v>2184</v>
      </c>
      <c r="C604" s="116">
        <v>0</v>
      </c>
      <c r="E604" s="154"/>
      <c r="F604" s="154"/>
      <c r="G604" s="154"/>
    </row>
    <row r="605" spans="1:7" x14ac:dyDescent="0.3">
      <c r="A605" s="172" t="s">
        <v>2185</v>
      </c>
      <c r="B605" s="115" t="s">
        <v>2186</v>
      </c>
      <c r="C605" s="116">
        <v>0</v>
      </c>
      <c r="E605" s="154"/>
      <c r="F605" s="154"/>
      <c r="G605" s="154"/>
    </row>
    <row r="606" spans="1:7" x14ac:dyDescent="0.3">
      <c r="A606" s="172" t="s">
        <v>2187</v>
      </c>
      <c r="B606" s="115" t="s">
        <v>2188</v>
      </c>
      <c r="C606" s="116">
        <v>0</v>
      </c>
      <c r="E606" s="154"/>
      <c r="F606" s="154"/>
      <c r="G606" s="154"/>
    </row>
    <row r="607" spans="1:7" x14ac:dyDescent="0.3">
      <c r="A607" s="172" t="s">
        <v>2189</v>
      </c>
      <c r="B607" s="115" t="s">
        <v>2190</v>
      </c>
      <c r="C607" s="116">
        <v>0</v>
      </c>
      <c r="E607" s="154"/>
      <c r="F607" s="154"/>
      <c r="G607" s="154"/>
    </row>
    <row r="608" spans="1:7" x14ac:dyDescent="0.3">
      <c r="A608" s="172" t="s">
        <v>2191</v>
      </c>
      <c r="B608" s="115" t="s">
        <v>2192</v>
      </c>
      <c r="C608" s="116">
        <v>0</v>
      </c>
      <c r="E608" s="154"/>
      <c r="F608" s="154"/>
      <c r="G608" s="154"/>
    </row>
    <row r="609" spans="1:7" x14ac:dyDescent="0.3">
      <c r="A609" s="172" t="s">
        <v>2193</v>
      </c>
      <c r="B609" s="115" t="s">
        <v>2194</v>
      </c>
      <c r="C609" s="116">
        <v>0</v>
      </c>
      <c r="E609" s="154"/>
      <c r="F609" s="154"/>
      <c r="G609" s="154"/>
    </row>
    <row r="610" spans="1:7" x14ac:dyDescent="0.3">
      <c r="A610" s="172" t="s">
        <v>2195</v>
      </c>
      <c r="B610" s="115" t="s">
        <v>2196</v>
      </c>
      <c r="C610" s="116">
        <v>0</v>
      </c>
      <c r="E610" s="154"/>
      <c r="F610" s="154"/>
      <c r="G610" s="154"/>
    </row>
    <row r="611" spans="1:7" x14ac:dyDescent="0.3">
      <c r="A611" s="172" t="s">
        <v>2197</v>
      </c>
      <c r="B611" s="115" t="s">
        <v>2198</v>
      </c>
      <c r="C611" s="116">
        <v>0</v>
      </c>
      <c r="E611" s="154"/>
      <c r="F611" s="154"/>
      <c r="G611" s="154"/>
    </row>
    <row r="612" spans="1:7" x14ac:dyDescent="0.3">
      <c r="A612" s="172" t="s">
        <v>2199</v>
      </c>
      <c r="B612" s="115" t="s">
        <v>2200</v>
      </c>
      <c r="C612" s="116">
        <v>0</v>
      </c>
      <c r="E612" s="154"/>
      <c r="F612" s="154"/>
      <c r="G612" s="154"/>
    </row>
    <row r="613" spans="1:7" x14ac:dyDescent="0.3">
      <c r="A613" s="172" t="s">
        <v>2201</v>
      </c>
      <c r="B613" s="115" t="s">
        <v>2202</v>
      </c>
      <c r="C613" s="116">
        <v>0</v>
      </c>
      <c r="E613" s="154"/>
      <c r="F613" s="154"/>
      <c r="G613" s="154"/>
    </row>
    <row r="614" spans="1:7" x14ac:dyDescent="0.3">
      <c r="A614" s="172" t="s">
        <v>2203</v>
      </c>
      <c r="B614" s="115" t="s">
        <v>2204</v>
      </c>
      <c r="C614" s="116">
        <v>0</v>
      </c>
      <c r="E614" s="154"/>
      <c r="F614" s="154"/>
      <c r="G614" s="154"/>
    </row>
    <row r="615" spans="1:7" x14ac:dyDescent="0.3">
      <c r="A615" s="172" t="s">
        <v>2205</v>
      </c>
      <c r="B615" s="115" t="s">
        <v>2206</v>
      </c>
      <c r="C615" s="116">
        <v>0</v>
      </c>
      <c r="E615" s="154"/>
      <c r="F615" s="154"/>
      <c r="G615" s="154"/>
    </row>
    <row r="616" spans="1:7" x14ac:dyDescent="0.3">
      <c r="A616" s="172" t="s">
        <v>2207</v>
      </c>
      <c r="B616" s="115" t="s">
        <v>2208</v>
      </c>
      <c r="C616" s="116">
        <v>0</v>
      </c>
      <c r="E616" s="154"/>
      <c r="F616" s="154"/>
      <c r="G616" s="154"/>
    </row>
    <row r="617" spans="1:7" x14ac:dyDescent="0.3">
      <c r="A617" s="172" t="s">
        <v>2209</v>
      </c>
      <c r="B617" s="115" t="s">
        <v>2210</v>
      </c>
      <c r="C617" s="116">
        <v>0</v>
      </c>
      <c r="E617" s="154"/>
      <c r="F617" s="154"/>
      <c r="G617" s="154"/>
    </row>
    <row r="618" spans="1:7" x14ac:dyDescent="0.3">
      <c r="A618" s="172" t="s">
        <v>2211</v>
      </c>
      <c r="B618" s="115" t="s">
        <v>2212</v>
      </c>
      <c r="C618" s="116">
        <v>0</v>
      </c>
      <c r="E618" s="154"/>
      <c r="F618" s="154"/>
      <c r="G618" s="154"/>
    </row>
    <row r="619" spans="1:7" x14ac:dyDescent="0.3">
      <c r="A619" s="172" t="s">
        <v>2213</v>
      </c>
      <c r="B619" s="115" t="s">
        <v>2214</v>
      </c>
      <c r="C619" s="116">
        <v>0</v>
      </c>
      <c r="E619" s="154"/>
      <c r="F619" s="154"/>
      <c r="G619" s="154"/>
    </row>
    <row r="620" spans="1:7" x14ac:dyDescent="0.3">
      <c r="A620" s="172" t="s">
        <v>2215</v>
      </c>
      <c r="B620" s="115" t="s">
        <v>2216</v>
      </c>
      <c r="C620" s="116">
        <v>0</v>
      </c>
      <c r="E620" s="154"/>
      <c r="F620" s="154"/>
      <c r="G620" s="154"/>
    </row>
    <row r="621" spans="1:7" x14ac:dyDescent="0.3">
      <c r="A621" s="172" t="s">
        <v>2217</v>
      </c>
      <c r="B621" s="115" t="s">
        <v>2218</v>
      </c>
      <c r="C621" s="116">
        <v>0</v>
      </c>
      <c r="E621" s="154"/>
      <c r="F621" s="154"/>
      <c r="G621" s="154"/>
    </row>
    <row r="622" spans="1:7" x14ac:dyDescent="0.3">
      <c r="A622" s="172" t="s">
        <v>2219</v>
      </c>
      <c r="B622" s="115" t="s">
        <v>2220</v>
      </c>
      <c r="C622" s="116">
        <v>0</v>
      </c>
      <c r="E622" s="154"/>
      <c r="F622" s="154"/>
      <c r="G622" s="154"/>
    </row>
    <row r="623" spans="1:7" x14ac:dyDescent="0.3">
      <c r="A623" s="172" t="s">
        <v>1026</v>
      </c>
      <c r="B623" s="115" t="s">
        <v>1027</v>
      </c>
      <c r="C623" s="116">
        <v>-16120</v>
      </c>
      <c r="E623" s="154"/>
      <c r="F623" s="154"/>
      <c r="G623" s="154"/>
    </row>
    <row r="624" spans="1:7" x14ac:dyDescent="0.3">
      <c r="A624" s="172" t="s">
        <v>919</v>
      </c>
      <c r="B624" s="115" t="s">
        <v>920</v>
      </c>
      <c r="C624" s="116">
        <v>0</v>
      </c>
      <c r="E624" s="154"/>
      <c r="F624" s="154"/>
      <c r="G624" s="154"/>
    </row>
    <row r="625" spans="1:7" x14ac:dyDescent="0.3">
      <c r="A625" s="172" t="s">
        <v>2221</v>
      </c>
      <c r="B625" s="115" t="s">
        <v>2222</v>
      </c>
      <c r="C625" s="116">
        <v>0</v>
      </c>
      <c r="E625" s="154"/>
      <c r="F625" s="154"/>
      <c r="G625" s="154"/>
    </row>
    <row r="626" spans="1:7" x14ac:dyDescent="0.3">
      <c r="A626" s="172" t="s">
        <v>2223</v>
      </c>
      <c r="B626" s="115" t="s">
        <v>2224</v>
      </c>
      <c r="C626" s="116">
        <v>0</v>
      </c>
      <c r="E626" s="154"/>
      <c r="F626" s="154"/>
      <c r="G626" s="154"/>
    </row>
    <row r="627" spans="1:7" x14ac:dyDescent="0.3">
      <c r="A627" s="172" t="s">
        <v>2225</v>
      </c>
      <c r="B627" s="115" t="s">
        <v>2226</v>
      </c>
      <c r="C627" s="116">
        <v>0</v>
      </c>
      <c r="E627" s="154"/>
      <c r="F627" s="154"/>
      <c r="G627" s="154"/>
    </row>
    <row r="628" spans="1:7" x14ac:dyDescent="0.3">
      <c r="A628" s="172" t="s">
        <v>2227</v>
      </c>
      <c r="B628" s="115" t="s">
        <v>2228</v>
      </c>
      <c r="C628" s="116">
        <v>-0.2</v>
      </c>
      <c r="E628" s="154"/>
      <c r="F628" s="154"/>
      <c r="G628" s="154"/>
    </row>
    <row r="629" spans="1:7" x14ac:dyDescent="0.3">
      <c r="A629" s="172" t="s">
        <v>2229</v>
      </c>
      <c r="B629" s="115" t="s">
        <v>2230</v>
      </c>
      <c r="C629" s="116">
        <v>0</v>
      </c>
      <c r="E629" s="154"/>
      <c r="F629" s="154"/>
      <c r="G629" s="154"/>
    </row>
    <row r="630" spans="1:7" x14ac:dyDescent="0.3">
      <c r="A630" s="172" t="s">
        <v>2231</v>
      </c>
      <c r="B630" s="115" t="s">
        <v>2232</v>
      </c>
      <c r="C630" s="116">
        <v>-8226.08</v>
      </c>
      <c r="E630" s="154"/>
      <c r="F630" s="154"/>
      <c r="G630" s="154"/>
    </row>
    <row r="631" spans="1:7" x14ac:dyDescent="0.3">
      <c r="A631" s="172" t="s">
        <v>2233</v>
      </c>
      <c r="B631" s="115" t="s">
        <v>2234</v>
      </c>
      <c r="C631" s="116">
        <v>0</v>
      </c>
      <c r="E631" s="154"/>
      <c r="F631" s="154"/>
      <c r="G631" s="154"/>
    </row>
    <row r="632" spans="1:7" x14ac:dyDescent="0.3">
      <c r="A632" s="172" t="s">
        <v>2235</v>
      </c>
      <c r="B632" s="115" t="s">
        <v>2236</v>
      </c>
      <c r="C632" s="116">
        <v>0</v>
      </c>
      <c r="E632" s="154"/>
      <c r="F632" s="154"/>
      <c r="G632" s="154"/>
    </row>
    <row r="633" spans="1:7" x14ac:dyDescent="0.3">
      <c r="A633" s="172" t="s">
        <v>893</v>
      </c>
      <c r="B633" s="115" t="s">
        <v>894</v>
      </c>
      <c r="C633" s="116">
        <v>0</v>
      </c>
      <c r="E633" s="154"/>
      <c r="F633" s="154"/>
      <c r="G633" s="154"/>
    </row>
    <row r="634" spans="1:7" x14ac:dyDescent="0.3">
      <c r="A634" s="172" t="s">
        <v>2237</v>
      </c>
      <c r="B634" s="115" t="s">
        <v>2238</v>
      </c>
      <c r="C634" s="116">
        <v>593250</v>
      </c>
      <c r="E634" s="154"/>
      <c r="F634" s="154"/>
      <c r="G634" s="154"/>
    </row>
    <row r="635" spans="1:7" x14ac:dyDescent="0.3">
      <c r="A635" s="172" t="s">
        <v>1042</v>
      </c>
      <c r="B635" s="115" t="s">
        <v>1043</v>
      </c>
      <c r="C635" s="116">
        <v>-230256.05</v>
      </c>
      <c r="E635" s="154"/>
      <c r="F635" s="154"/>
      <c r="G635" s="154"/>
    </row>
    <row r="636" spans="1:7" x14ac:dyDescent="0.3">
      <c r="A636" s="172" t="s">
        <v>2239</v>
      </c>
      <c r="B636" s="115" t="s">
        <v>2240</v>
      </c>
      <c r="C636" s="116">
        <v>500780.5</v>
      </c>
      <c r="E636" s="154"/>
      <c r="F636" s="154"/>
      <c r="G636" s="154"/>
    </row>
    <row r="637" spans="1:7" x14ac:dyDescent="0.3">
      <c r="A637" s="172" t="s">
        <v>863</v>
      </c>
      <c r="B637" s="115" t="s">
        <v>864</v>
      </c>
      <c r="C637" s="116">
        <v>-11383169.73</v>
      </c>
      <c r="E637" s="154"/>
      <c r="F637" s="154"/>
      <c r="G637" s="154"/>
    </row>
    <row r="638" spans="1:7" x14ac:dyDescent="0.3">
      <c r="A638" s="172" t="s">
        <v>2241</v>
      </c>
      <c r="B638" s="115" t="s">
        <v>2242</v>
      </c>
      <c r="C638" s="116">
        <v>7010206.4299999997</v>
      </c>
      <c r="E638" s="154"/>
      <c r="F638" s="154"/>
      <c r="G638" s="154"/>
    </row>
    <row r="639" spans="1:7" x14ac:dyDescent="0.3">
      <c r="A639" s="172" t="s">
        <v>2243</v>
      </c>
      <c r="B639" s="115" t="s">
        <v>2244</v>
      </c>
      <c r="C639" s="116">
        <v>86244.800000000003</v>
      </c>
      <c r="E639" s="154"/>
      <c r="F639" s="154"/>
      <c r="G639" s="154"/>
    </row>
    <row r="640" spans="1:7" x14ac:dyDescent="0.3">
      <c r="A640" s="172" t="s">
        <v>2245</v>
      </c>
      <c r="B640" s="115" t="s">
        <v>2246</v>
      </c>
      <c r="C640" s="116">
        <v>214829</v>
      </c>
      <c r="E640" s="154"/>
      <c r="F640" s="154"/>
      <c r="G640" s="154"/>
    </row>
    <row r="641" spans="1:7" x14ac:dyDescent="0.3">
      <c r="A641" s="172" t="s">
        <v>696</v>
      </c>
      <c r="B641" s="115" t="s">
        <v>697</v>
      </c>
      <c r="C641" s="116">
        <v>-772103.42</v>
      </c>
      <c r="E641" s="154"/>
      <c r="F641" s="154"/>
      <c r="G641" s="154"/>
    </row>
    <row r="642" spans="1:7" x14ac:dyDescent="0.3">
      <c r="A642" s="172" t="s">
        <v>1077</v>
      </c>
      <c r="B642" s="115" t="s">
        <v>1078</v>
      </c>
      <c r="C642" s="116">
        <v>-40651493.890000001</v>
      </c>
      <c r="E642" s="154"/>
      <c r="F642" s="154"/>
      <c r="G642" s="154"/>
    </row>
    <row r="643" spans="1:7" x14ac:dyDescent="0.3">
      <c r="A643" s="172" t="s">
        <v>2247</v>
      </c>
      <c r="B643" s="115" t="s">
        <v>2248</v>
      </c>
      <c r="C643" s="116">
        <v>446255</v>
      </c>
      <c r="E643" s="154"/>
      <c r="F643" s="154"/>
      <c r="G643" s="154"/>
    </row>
    <row r="644" spans="1:7" x14ac:dyDescent="0.3">
      <c r="A644" s="172" t="s">
        <v>2249</v>
      </c>
      <c r="B644" s="115" t="s">
        <v>2250</v>
      </c>
      <c r="C644" s="116">
        <v>19694.419999999998</v>
      </c>
      <c r="E644" s="154"/>
      <c r="F644" s="154"/>
      <c r="G644" s="154"/>
    </row>
    <row r="645" spans="1:7" x14ac:dyDescent="0.3">
      <c r="A645" s="172" t="s">
        <v>2251</v>
      </c>
      <c r="B645" s="115" t="s">
        <v>2252</v>
      </c>
      <c r="C645" s="116">
        <v>233392</v>
      </c>
      <c r="E645" s="154"/>
      <c r="F645" s="154"/>
      <c r="G645" s="154"/>
    </row>
    <row r="646" spans="1:7" x14ac:dyDescent="0.3">
      <c r="A646" s="172" t="s">
        <v>2253</v>
      </c>
      <c r="B646" s="115" t="s">
        <v>2254</v>
      </c>
      <c r="C646" s="116">
        <v>286225</v>
      </c>
      <c r="E646" s="154"/>
      <c r="F646" s="154"/>
      <c r="G646" s="154"/>
    </row>
    <row r="647" spans="1:7" x14ac:dyDescent="0.3">
      <c r="A647" s="172" t="s">
        <v>2255</v>
      </c>
      <c r="B647" s="115" t="s">
        <v>2256</v>
      </c>
      <c r="C647" s="116">
        <v>98789.85</v>
      </c>
      <c r="E647" s="154"/>
      <c r="F647" s="154"/>
      <c r="G647" s="154"/>
    </row>
    <row r="648" spans="1:7" x14ac:dyDescent="0.3">
      <c r="A648" s="172" t="s">
        <v>2257</v>
      </c>
      <c r="B648" s="115" t="s">
        <v>2258</v>
      </c>
      <c r="C648" s="116">
        <v>74655</v>
      </c>
      <c r="E648" s="154"/>
      <c r="F648" s="154"/>
      <c r="G648" s="154"/>
    </row>
    <row r="649" spans="1:7" x14ac:dyDescent="0.3">
      <c r="A649" s="172" t="s">
        <v>2259</v>
      </c>
      <c r="B649" s="115" t="s">
        <v>2260</v>
      </c>
      <c r="C649" s="116">
        <v>340111.8</v>
      </c>
      <c r="E649" s="154"/>
      <c r="F649" s="154"/>
      <c r="G649" s="154"/>
    </row>
    <row r="650" spans="1:7" x14ac:dyDescent="0.3">
      <c r="A650" s="172" t="s">
        <v>2261</v>
      </c>
      <c r="B650" s="115" t="s">
        <v>2262</v>
      </c>
      <c r="C650" s="116">
        <v>0</v>
      </c>
      <c r="E650" s="154"/>
      <c r="F650" s="154"/>
      <c r="G650" s="154"/>
    </row>
    <row r="651" spans="1:7" x14ac:dyDescent="0.3">
      <c r="A651" s="172" t="s">
        <v>2263</v>
      </c>
      <c r="B651" s="115" t="s">
        <v>2264</v>
      </c>
      <c r="C651" s="116">
        <v>489400</v>
      </c>
      <c r="E651" s="154"/>
      <c r="F651" s="154"/>
      <c r="G651" s="154"/>
    </row>
    <row r="652" spans="1:7" x14ac:dyDescent="0.3">
      <c r="A652" s="172" t="s">
        <v>2265</v>
      </c>
      <c r="B652" s="115" t="s">
        <v>2266</v>
      </c>
      <c r="C652" s="116">
        <v>0</v>
      </c>
      <c r="E652" s="154"/>
      <c r="F652" s="154"/>
      <c r="G652" s="154"/>
    </row>
    <row r="653" spans="1:7" x14ac:dyDescent="0.3">
      <c r="A653" s="172" t="s">
        <v>2267</v>
      </c>
      <c r="B653" s="115" t="s">
        <v>2268</v>
      </c>
      <c r="C653" s="116">
        <v>210485.34</v>
      </c>
      <c r="E653" s="154"/>
      <c r="F653" s="154"/>
      <c r="G653" s="154"/>
    </row>
    <row r="654" spans="1:7" x14ac:dyDescent="0.3">
      <c r="A654" s="172" t="s">
        <v>2269</v>
      </c>
      <c r="B654" s="115" t="s">
        <v>2270</v>
      </c>
      <c r="C654" s="116">
        <v>4709244.4000000004</v>
      </c>
      <c r="E654" s="154"/>
      <c r="F654" s="154"/>
      <c r="G654" s="154"/>
    </row>
    <row r="655" spans="1:7" x14ac:dyDescent="0.3">
      <c r="A655" s="172" t="s">
        <v>2271</v>
      </c>
      <c r="B655" s="115" t="s">
        <v>2272</v>
      </c>
      <c r="C655" s="116">
        <v>-33218893.420000002</v>
      </c>
      <c r="E655" s="154"/>
      <c r="F655" s="154"/>
      <c r="G655" s="154"/>
    </row>
    <row r="656" spans="1:7" x14ac:dyDescent="0.3">
      <c r="A656" s="172" t="s">
        <v>2273</v>
      </c>
      <c r="B656" s="115" t="s">
        <v>2274</v>
      </c>
      <c r="C656" s="116">
        <v>109699.52</v>
      </c>
      <c r="E656" s="154"/>
      <c r="F656" s="154"/>
      <c r="G656" s="154"/>
    </row>
    <row r="657" spans="1:7" x14ac:dyDescent="0.3">
      <c r="A657" s="172" t="s">
        <v>2275</v>
      </c>
      <c r="B657" s="115" t="s">
        <v>2276</v>
      </c>
      <c r="C657" s="116">
        <v>434772.64</v>
      </c>
      <c r="E657" s="154"/>
      <c r="F657" s="154"/>
      <c r="G657" s="154"/>
    </row>
    <row r="658" spans="1:7" x14ac:dyDescent="0.3">
      <c r="A658" s="172" t="s">
        <v>2277</v>
      </c>
      <c r="B658" s="115" t="s">
        <v>2278</v>
      </c>
      <c r="C658" s="116">
        <v>2923.78</v>
      </c>
      <c r="E658" s="154"/>
      <c r="F658" s="154"/>
      <c r="G658" s="154"/>
    </row>
    <row r="659" spans="1:7" x14ac:dyDescent="0.3">
      <c r="A659" s="172" t="s">
        <v>2279</v>
      </c>
      <c r="B659" s="115" t="s">
        <v>2280</v>
      </c>
      <c r="C659" s="116">
        <v>93908.77</v>
      </c>
      <c r="E659" s="154"/>
      <c r="F659" s="154"/>
      <c r="G659" s="154"/>
    </row>
    <row r="660" spans="1:7" x14ac:dyDescent="0.3">
      <c r="A660" s="172" t="s">
        <v>2281</v>
      </c>
      <c r="B660" s="115" t="s">
        <v>2282</v>
      </c>
      <c r="C660" s="116">
        <v>149347.32</v>
      </c>
      <c r="E660" s="154"/>
      <c r="F660" s="154"/>
      <c r="G660" s="154"/>
    </row>
    <row r="661" spans="1:7" x14ac:dyDescent="0.3">
      <c r="A661" s="172" t="s">
        <v>2283</v>
      </c>
      <c r="B661" s="115" t="s">
        <v>2284</v>
      </c>
      <c r="C661" s="116">
        <v>54284</v>
      </c>
      <c r="E661" s="154"/>
      <c r="F661" s="154"/>
      <c r="G661" s="154"/>
    </row>
    <row r="662" spans="1:7" x14ac:dyDescent="0.3">
      <c r="A662" s="172" t="s">
        <v>2285</v>
      </c>
      <c r="B662" s="115" t="s">
        <v>2286</v>
      </c>
      <c r="C662" s="116">
        <v>78135</v>
      </c>
      <c r="E662" s="154"/>
      <c r="F662" s="154"/>
      <c r="G662" s="154"/>
    </row>
    <row r="663" spans="1:7" x14ac:dyDescent="0.3">
      <c r="A663" s="172" t="s">
        <v>2287</v>
      </c>
      <c r="B663" s="115" t="s">
        <v>2288</v>
      </c>
      <c r="C663" s="116">
        <v>99107.25</v>
      </c>
      <c r="E663" s="154"/>
      <c r="F663" s="154"/>
      <c r="G663" s="154"/>
    </row>
    <row r="664" spans="1:7" x14ac:dyDescent="0.3">
      <c r="A664" s="172" t="s">
        <v>2289</v>
      </c>
      <c r="B664" s="115" t="s">
        <v>2290</v>
      </c>
      <c r="C664" s="116">
        <v>1037824.5</v>
      </c>
      <c r="E664" s="154"/>
      <c r="F664" s="154"/>
      <c r="G664" s="154"/>
    </row>
    <row r="665" spans="1:7" x14ac:dyDescent="0.3">
      <c r="A665" s="172" t="s">
        <v>2291</v>
      </c>
      <c r="B665" s="115" t="s">
        <v>2292</v>
      </c>
      <c r="C665" s="116">
        <v>17424.8</v>
      </c>
      <c r="E665" s="154"/>
      <c r="F665" s="154"/>
      <c r="G665" s="154"/>
    </row>
    <row r="666" spans="1:7" x14ac:dyDescent="0.3">
      <c r="A666" s="172" t="s">
        <v>2293</v>
      </c>
      <c r="B666" s="115" t="s">
        <v>2294</v>
      </c>
      <c r="C666" s="116">
        <v>356795.36</v>
      </c>
      <c r="E666" s="154"/>
      <c r="F666" s="154"/>
      <c r="G666" s="154"/>
    </row>
    <row r="667" spans="1:7" x14ac:dyDescent="0.3">
      <c r="A667" s="172" t="s">
        <v>2295</v>
      </c>
      <c r="B667" s="115" t="s">
        <v>2296</v>
      </c>
      <c r="C667" s="116">
        <v>101510.5</v>
      </c>
      <c r="E667" s="154"/>
      <c r="F667" s="154"/>
      <c r="G667" s="154"/>
    </row>
    <row r="668" spans="1:7" x14ac:dyDescent="0.3">
      <c r="A668" s="172" t="s">
        <v>2297</v>
      </c>
      <c r="B668" s="115" t="s">
        <v>2298</v>
      </c>
      <c r="C668" s="116">
        <v>27675</v>
      </c>
      <c r="E668" s="154"/>
      <c r="F668" s="154"/>
      <c r="G668" s="154"/>
    </row>
    <row r="669" spans="1:7" x14ac:dyDescent="0.3">
      <c r="A669" s="172" t="s">
        <v>2299</v>
      </c>
      <c r="B669" s="115" t="s">
        <v>2300</v>
      </c>
      <c r="C669" s="116">
        <v>0</v>
      </c>
      <c r="E669" s="154"/>
      <c r="F669" s="154"/>
      <c r="G669" s="154"/>
    </row>
    <row r="670" spans="1:7" x14ac:dyDescent="0.3">
      <c r="A670" s="172" t="s">
        <v>2301</v>
      </c>
      <c r="B670" s="115" t="s">
        <v>2302</v>
      </c>
      <c r="C670" s="116">
        <v>1767894.92</v>
      </c>
      <c r="E670" s="154"/>
      <c r="F670" s="154"/>
      <c r="G670" s="154"/>
    </row>
    <row r="671" spans="1:7" x14ac:dyDescent="0.3">
      <c r="A671" s="172" t="s">
        <v>2303</v>
      </c>
      <c r="B671" s="115" t="s">
        <v>2304</v>
      </c>
      <c r="C671" s="116">
        <v>68008.399999999994</v>
      </c>
      <c r="E671" s="154"/>
      <c r="F671" s="154"/>
      <c r="G671" s="154"/>
    </row>
    <row r="672" spans="1:7" x14ac:dyDescent="0.3">
      <c r="A672" s="172" t="s">
        <v>2305</v>
      </c>
      <c r="B672" s="115" t="s">
        <v>2306</v>
      </c>
      <c r="C672" s="116">
        <v>2447174.89</v>
      </c>
      <c r="E672" s="154"/>
      <c r="F672" s="154"/>
      <c r="G672" s="154"/>
    </row>
    <row r="673" spans="1:7" x14ac:dyDescent="0.3">
      <c r="A673" s="172" t="s">
        <v>2307</v>
      </c>
      <c r="B673" s="115" t="s">
        <v>2308</v>
      </c>
      <c r="C673" s="116">
        <v>1343762.74</v>
      </c>
      <c r="E673" s="154"/>
      <c r="F673" s="154"/>
      <c r="G673" s="154"/>
    </row>
    <row r="674" spans="1:7" x14ac:dyDescent="0.3">
      <c r="A674" s="172" t="s">
        <v>2309</v>
      </c>
      <c r="B674" s="115" t="s">
        <v>2310</v>
      </c>
      <c r="C674" s="116">
        <v>10895.33</v>
      </c>
      <c r="E674" s="154"/>
      <c r="F674" s="154"/>
      <c r="G674" s="154"/>
    </row>
    <row r="675" spans="1:7" x14ac:dyDescent="0.3">
      <c r="A675" s="172" t="s">
        <v>2311</v>
      </c>
      <c r="B675" s="115" t="s">
        <v>2312</v>
      </c>
      <c r="C675" s="116">
        <v>-3737500000.3400002</v>
      </c>
      <c r="E675" s="154"/>
      <c r="F675" s="154"/>
      <c r="G675" s="154"/>
    </row>
    <row r="676" spans="1:7" x14ac:dyDescent="0.3">
      <c r="A676" s="172" t="s">
        <v>2313</v>
      </c>
      <c r="B676" s="115" t="s">
        <v>2314</v>
      </c>
      <c r="C676" s="116">
        <v>0</v>
      </c>
      <c r="E676" s="154"/>
      <c r="F676" s="154"/>
      <c r="G676" s="154"/>
    </row>
    <row r="677" spans="1:7" x14ac:dyDescent="0.3">
      <c r="A677" s="172" t="s">
        <v>2315</v>
      </c>
      <c r="B677" s="115" t="s">
        <v>2316</v>
      </c>
      <c r="C677" s="116">
        <v>112748.43</v>
      </c>
      <c r="E677" s="154"/>
      <c r="F677" s="154"/>
      <c r="G677" s="154"/>
    </row>
    <row r="678" spans="1:7" x14ac:dyDescent="0.3">
      <c r="A678" s="172" t="s">
        <v>2317</v>
      </c>
      <c r="B678" s="115" t="s">
        <v>2318</v>
      </c>
      <c r="C678" s="116">
        <v>119302.56</v>
      </c>
      <c r="E678" s="154"/>
      <c r="F678" s="154"/>
      <c r="G678" s="154"/>
    </row>
    <row r="679" spans="1:7" x14ac:dyDescent="0.3">
      <c r="A679" s="172" t="s">
        <v>2319</v>
      </c>
      <c r="B679" s="115" t="s">
        <v>2320</v>
      </c>
      <c r="C679" s="116">
        <v>0</v>
      </c>
      <c r="E679" s="154"/>
      <c r="F679" s="154"/>
      <c r="G679" s="154"/>
    </row>
    <row r="680" spans="1:7" x14ac:dyDescent="0.3">
      <c r="A680" s="172" t="s">
        <v>2321</v>
      </c>
      <c r="B680" s="115" t="s">
        <v>2322</v>
      </c>
      <c r="C680" s="116">
        <v>5500</v>
      </c>
      <c r="E680" s="154"/>
      <c r="F680" s="154"/>
      <c r="G680" s="154"/>
    </row>
    <row r="681" spans="1:7" x14ac:dyDescent="0.3">
      <c r="A681" s="172" t="s">
        <v>2323</v>
      </c>
      <c r="B681" s="115" t="s">
        <v>2324</v>
      </c>
      <c r="C681" s="116">
        <v>272455.5</v>
      </c>
      <c r="E681" s="154"/>
      <c r="F681" s="154"/>
      <c r="G681" s="154"/>
    </row>
    <row r="682" spans="1:7" x14ac:dyDescent="0.3">
      <c r="A682" s="172" t="s">
        <v>2325</v>
      </c>
      <c r="B682" s="115" t="s">
        <v>2326</v>
      </c>
      <c r="C682" s="116">
        <v>916</v>
      </c>
      <c r="E682" s="154"/>
      <c r="F682" s="154"/>
      <c r="G682" s="154"/>
    </row>
    <row r="683" spans="1:7" x14ac:dyDescent="0.3">
      <c r="A683" s="172" t="s">
        <v>2327</v>
      </c>
      <c r="B683" s="115" t="s">
        <v>2328</v>
      </c>
      <c r="C683" s="116">
        <v>35960.5</v>
      </c>
      <c r="E683" s="154"/>
      <c r="F683" s="154"/>
      <c r="G683" s="154"/>
    </row>
    <row r="684" spans="1:7" x14ac:dyDescent="0.3">
      <c r="A684" s="172" t="s">
        <v>2329</v>
      </c>
      <c r="B684" s="115" t="s">
        <v>2330</v>
      </c>
      <c r="C684" s="116">
        <v>0</v>
      </c>
      <c r="E684" s="154"/>
      <c r="F684" s="154"/>
      <c r="G684" s="154"/>
    </row>
    <row r="685" spans="1:7" x14ac:dyDescent="0.3">
      <c r="A685" s="172" t="s">
        <v>2331</v>
      </c>
      <c r="B685" s="115" t="s">
        <v>2332</v>
      </c>
      <c r="C685" s="116">
        <v>0</v>
      </c>
      <c r="E685" s="154"/>
      <c r="F685" s="154"/>
      <c r="G685" s="154"/>
    </row>
    <row r="686" spans="1:7" x14ac:dyDescent="0.3">
      <c r="A686" s="172" t="s">
        <v>2333</v>
      </c>
      <c r="B686" s="115" t="s">
        <v>2334</v>
      </c>
      <c r="C686" s="116">
        <v>27232.17</v>
      </c>
      <c r="E686" s="154"/>
      <c r="F686" s="154"/>
      <c r="G686" s="154"/>
    </row>
    <row r="687" spans="1:7" x14ac:dyDescent="0.3">
      <c r="A687" s="172" t="s">
        <v>2335</v>
      </c>
      <c r="B687" s="115" t="s">
        <v>2336</v>
      </c>
      <c r="C687" s="116">
        <v>1650</v>
      </c>
      <c r="E687" s="154"/>
      <c r="F687" s="154"/>
      <c r="G687" s="154"/>
    </row>
    <row r="688" spans="1:7" x14ac:dyDescent="0.3">
      <c r="A688" s="172" t="s">
        <v>2337</v>
      </c>
      <c r="B688" s="115" t="s">
        <v>2338</v>
      </c>
      <c r="C688" s="116">
        <v>0</v>
      </c>
      <c r="E688" s="154"/>
      <c r="F688" s="154"/>
      <c r="G688" s="154"/>
    </row>
    <row r="689" spans="1:7" x14ac:dyDescent="0.3">
      <c r="A689" s="172" t="s">
        <v>2339</v>
      </c>
      <c r="B689" s="115" t="s">
        <v>2340</v>
      </c>
      <c r="C689" s="116">
        <v>0</v>
      </c>
      <c r="E689" s="154"/>
      <c r="F689" s="154"/>
      <c r="G689" s="154"/>
    </row>
    <row r="690" spans="1:7" x14ac:dyDescent="0.3">
      <c r="A690" s="172" t="s">
        <v>2341</v>
      </c>
      <c r="B690" s="115" t="s">
        <v>2342</v>
      </c>
      <c r="C690" s="116">
        <v>1100</v>
      </c>
      <c r="E690" s="154"/>
      <c r="F690" s="154"/>
      <c r="G690" s="154"/>
    </row>
    <row r="691" spans="1:7" x14ac:dyDescent="0.3">
      <c r="A691" s="172" t="s">
        <v>2343</v>
      </c>
      <c r="B691" s="115" t="s">
        <v>2344</v>
      </c>
      <c r="C691" s="116">
        <v>0</v>
      </c>
      <c r="E691" s="154"/>
      <c r="F691" s="154"/>
      <c r="G691" s="154"/>
    </row>
    <row r="692" spans="1:7" x14ac:dyDescent="0.3">
      <c r="A692" s="172" t="s">
        <v>2345</v>
      </c>
      <c r="B692" s="115" t="s">
        <v>2346</v>
      </c>
      <c r="C692" s="116">
        <v>0</v>
      </c>
      <c r="E692" s="154"/>
      <c r="F692" s="154"/>
      <c r="G692" s="154"/>
    </row>
    <row r="693" spans="1:7" x14ac:dyDescent="0.3">
      <c r="A693" s="172" t="s">
        <v>2347</v>
      </c>
      <c r="B693" s="115" t="s">
        <v>2348</v>
      </c>
      <c r="C693" s="116">
        <v>36863</v>
      </c>
      <c r="E693" s="154"/>
      <c r="F693" s="154"/>
      <c r="G693" s="154"/>
    </row>
    <row r="694" spans="1:7" x14ac:dyDescent="0.3">
      <c r="A694" s="172" t="s">
        <v>2349</v>
      </c>
      <c r="B694" s="115" t="s">
        <v>2350</v>
      </c>
      <c r="C694" s="116">
        <v>0</v>
      </c>
      <c r="E694" s="154"/>
      <c r="F694" s="154"/>
      <c r="G694" s="154"/>
    </row>
    <row r="695" spans="1:7" x14ac:dyDescent="0.3">
      <c r="A695" s="172" t="s">
        <v>2351</v>
      </c>
      <c r="B695" s="115" t="s">
        <v>2352</v>
      </c>
      <c r="C695" s="116">
        <v>0</v>
      </c>
      <c r="E695" s="154"/>
      <c r="F695" s="154"/>
      <c r="G695" s="154"/>
    </row>
    <row r="696" spans="1:7" x14ac:dyDescent="0.3">
      <c r="A696" s="172" t="s">
        <v>2353</v>
      </c>
      <c r="B696" s="115" t="s">
        <v>2354</v>
      </c>
      <c r="C696" s="116">
        <v>1447366.55</v>
      </c>
      <c r="E696" s="154"/>
      <c r="F696" s="154"/>
      <c r="G696" s="154"/>
    </row>
    <row r="697" spans="1:7" x14ac:dyDescent="0.3">
      <c r="A697" s="172" t="s">
        <v>2355</v>
      </c>
      <c r="B697" s="115" t="s">
        <v>2356</v>
      </c>
      <c r="C697" s="116">
        <v>0</v>
      </c>
      <c r="E697" s="154"/>
      <c r="F697" s="154"/>
      <c r="G697" s="154"/>
    </row>
    <row r="698" spans="1:7" x14ac:dyDescent="0.3">
      <c r="A698" s="172" t="s">
        <v>2357</v>
      </c>
      <c r="B698" s="115" t="s">
        <v>2358</v>
      </c>
      <c r="C698" s="116">
        <v>0</v>
      </c>
      <c r="E698" s="154"/>
      <c r="F698" s="154"/>
      <c r="G698" s="154"/>
    </row>
    <row r="699" spans="1:7" x14ac:dyDescent="0.3">
      <c r="A699" s="172" t="s">
        <v>2359</v>
      </c>
      <c r="B699" s="115" t="s">
        <v>2360</v>
      </c>
      <c r="C699" s="116">
        <v>0</v>
      </c>
      <c r="E699" s="154"/>
      <c r="F699" s="154"/>
      <c r="G699" s="154"/>
    </row>
    <row r="700" spans="1:7" x14ac:dyDescent="0.3">
      <c r="A700" s="172" t="s">
        <v>2361</v>
      </c>
      <c r="B700" s="115" t="s">
        <v>2362</v>
      </c>
      <c r="C700" s="116">
        <v>0</v>
      </c>
      <c r="E700" s="154"/>
      <c r="F700" s="154"/>
      <c r="G700" s="154"/>
    </row>
    <row r="701" spans="1:7" x14ac:dyDescent="0.3">
      <c r="A701" s="172" t="s">
        <v>2363</v>
      </c>
      <c r="B701" s="115" t="s">
        <v>2364</v>
      </c>
      <c r="C701" s="116">
        <v>0</v>
      </c>
      <c r="E701" s="154"/>
      <c r="F701" s="154"/>
      <c r="G701" s="154"/>
    </row>
    <row r="702" spans="1:7" x14ac:dyDescent="0.3">
      <c r="A702" s="172" t="s">
        <v>2365</v>
      </c>
      <c r="B702" s="115" t="s">
        <v>2366</v>
      </c>
      <c r="C702" s="116">
        <v>0</v>
      </c>
      <c r="E702" s="154"/>
      <c r="F702" s="154"/>
      <c r="G702" s="154"/>
    </row>
    <row r="703" spans="1:7" x14ac:dyDescent="0.3">
      <c r="A703" s="172" t="s">
        <v>2367</v>
      </c>
      <c r="B703" s="115" t="s">
        <v>2368</v>
      </c>
      <c r="C703" s="116">
        <v>0</v>
      </c>
      <c r="E703" s="154"/>
      <c r="F703" s="154"/>
      <c r="G703" s="154"/>
    </row>
    <row r="704" spans="1:7" x14ac:dyDescent="0.3">
      <c r="A704" s="172" t="s">
        <v>2369</v>
      </c>
      <c r="B704" s="115" t="s">
        <v>2370</v>
      </c>
      <c r="C704" s="116">
        <v>11203</v>
      </c>
      <c r="E704" s="154"/>
      <c r="F704" s="154"/>
      <c r="G704" s="154"/>
    </row>
    <row r="705" spans="1:7" x14ac:dyDescent="0.3">
      <c r="A705" s="172" t="s">
        <v>2371</v>
      </c>
      <c r="B705" s="115" t="s">
        <v>2372</v>
      </c>
      <c r="C705" s="116">
        <v>0</v>
      </c>
      <c r="E705" s="154"/>
      <c r="F705" s="154"/>
      <c r="G705" s="154"/>
    </row>
    <row r="706" spans="1:7" x14ac:dyDescent="0.3">
      <c r="A706" s="172" t="s">
        <v>2373</v>
      </c>
      <c r="B706" s="115" t="s">
        <v>2374</v>
      </c>
      <c r="C706" s="116">
        <v>0</v>
      </c>
      <c r="E706" s="154"/>
      <c r="F706" s="154"/>
      <c r="G706" s="154"/>
    </row>
    <row r="707" spans="1:7" x14ac:dyDescent="0.3">
      <c r="A707" s="172" t="s">
        <v>2375</v>
      </c>
      <c r="B707" s="115" t="s">
        <v>2376</v>
      </c>
      <c r="C707" s="116">
        <v>0</v>
      </c>
      <c r="E707" s="154"/>
      <c r="F707" s="154"/>
      <c r="G707" s="154"/>
    </row>
    <row r="708" spans="1:7" x14ac:dyDescent="0.3">
      <c r="A708" s="172" t="s">
        <v>2377</v>
      </c>
      <c r="B708" s="115" t="s">
        <v>2378</v>
      </c>
      <c r="C708" s="116">
        <v>0</v>
      </c>
      <c r="E708" s="154"/>
      <c r="F708" s="154"/>
      <c r="G708" s="154"/>
    </row>
    <row r="709" spans="1:7" x14ac:dyDescent="0.3">
      <c r="A709" s="172" t="s">
        <v>2379</v>
      </c>
      <c r="B709" s="115" t="s">
        <v>2380</v>
      </c>
      <c r="C709" s="116">
        <v>0</v>
      </c>
      <c r="E709" s="154"/>
      <c r="F709" s="154"/>
      <c r="G709" s="154"/>
    </row>
    <row r="710" spans="1:7" x14ac:dyDescent="0.3">
      <c r="A710" s="172" t="s">
        <v>2381</v>
      </c>
      <c r="B710" s="115" t="s">
        <v>2382</v>
      </c>
      <c r="C710" s="116">
        <v>0</v>
      </c>
      <c r="E710" s="154"/>
      <c r="F710" s="154"/>
      <c r="G710" s="154"/>
    </row>
    <row r="711" spans="1:7" x14ac:dyDescent="0.3">
      <c r="A711" s="172" t="s">
        <v>2383</v>
      </c>
      <c r="B711" s="115" t="s">
        <v>2384</v>
      </c>
      <c r="C711" s="116">
        <v>0</v>
      </c>
      <c r="E711" s="154"/>
      <c r="F711" s="154"/>
      <c r="G711" s="154"/>
    </row>
    <row r="712" spans="1:7" x14ac:dyDescent="0.3">
      <c r="A712" s="172" t="s">
        <v>2385</v>
      </c>
      <c r="B712" s="115" t="s">
        <v>2386</v>
      </c>
      <c r="C712" s="116">
        <v>0</v>
      </c>
      <c r="E712" s="154"/>
      <c r="F712" s="154"/>
      <c r="G712" s="154"/>
    </row>
    <row r="713" spans="1:7" x14ac:dyDescent="0.3">
      <c r="A713" s="172" t="s">
        <v>2387</v>
      </c>
      <c r="B713" s="115" t="s">
        <v>2388</v>
      </c>
      <c r="C713" s="116">
        <v>0</v>
      </c>
      <c r="E713" s="154"/>
      <c r="F713" s="154"/>
      <c r="G713" s="154"/>
    </row>
    <row r="714" spans="1:7" x14ac:dyDescent="0.3">
      <c r="A714" s="172" t="s">
        <v>2389</v>
      </c>
      <c r="B714" s="115" t="s">
        <v>2390</v>
      </c>
      <c r="C714" s="116">
        <v>0</v>
      </c>
      <c r="E714" s="154"/>
      <c r="F714" s="154"/>
      <c r="G714" s="154"/>
    </row>
    <row r="715" spans="1:7" x14ac:dyDescent="0.3">
      <c r="A715" s="172" t="s">
        <v>2391</v>
      </c>
      <c r="B715" s="115" t="s">
        <v>2392</v>
      </c>
      <c r="C715" s="116">
        <v>0</v>
      </c>
      <c r="E715" s="154"/>
      <c r="F715" s="154"/>
      <c r="G715" s="154"/>
    </row>
    <row r="716" spans="1:7" x14ac:dyDescent="0.3">
      <c r="A716" s="172" t="s">
        <v>2393</v>
      </c>
      <c r="B716" s="115" t="s">
        <v>2394</v>
      </c>
      <c r="C716" s="116">
        <v>-0.01</v>
      </c>
      <c r="E716" s="154"/>
      <c r="F716" s="154"/>
      <c r="G716" s="154"/>
    </row>
    <row r="717" spans="1:7" x14ac:dyDescent="0.3">
      <c r="A717" s="172" t="s">
        <v>2395</v>
      </c>
      <c r="B717" s="115" t="s">
        <v>2396</v>
      </c>
      <c r="C717" s="116">
        <v>0</v>
      </c>
      <c r="E717" s="154"/>
      <c r="F717" s="154"/>
      <c r="G717" s="154"/>
    </row>
    <row r="718" spans="1:7" x14ac:dyDescent="0.3">
      <c r="A718" s="172" t="s">
        <v>604</v>
      </c>
      <c r="B718" s="115" t="s">
        <v>605</v>
      </c>
      <c r="C718" s="116">
        <v>0</v>
      </c>
      <c r="E718" s="154"/>
      <c r="F718" s="154"/>
      <c r="G718" s="154"/>
    </row>
    <row r="719" spans="1:7" x14ac:dyDescent="0.3">
      <c r="A719" s="172" t="s">
        <v>2397</v>
      </c>
      <c r="B719" s="115" t="s">
        <v>2398</v>
      </c>
      <c r="C719" s="116">
        <v>0</v>
      </c>
      <c r="E719" s="154"/>
      <c r="F719" s="154"/>
      <c r="G719" s="154"/>
    </row>
    <row r="720" spans="1:7" x14ac:dyDescent="0.3">
      <c r="A720" s="172" t="s">
        <v>2399</v>
      </c>
      <c r="B720" s="115" t="s">
        <v>2400</v>
      </c>
      <c r="C720" s="116">
        <v>0</v>
      </c>
      <c r="E720" s="154"/>
      <c r="F720" s="154"/>
      <c r="G720" s="154"/>
    </row>
    <row r="721" spans="1:7" x14ac:dyDescent="0.3">
      <c r="A721" s="172" t="s">
        <v>2401</v>
      </c>
      <c r="B721" s="115" t="s">
        <v>2402</v>
      </c>
      <c r="C721" s="116">
        <v>0</v>
      </c>
      <c r="E721" s="154"/>
      <c r="F721" s="154"/>
      <c r="G721" s="154"/>
    </row>
    <row r="722" spans="1:7" x14ac:dyDescent="0.3">
      <c r="A722" s="172" t="s">
        <v>2403</v>
      </c>
      <c r="B722" s="115" t="s">
        <v>2404</v>
      </c>
      <c r="C722" s="116">
        <v>0</v>
      </c>
      <c r="E722" s="154"/>
      <c r="F722" s="154"/>
      <c r="G722" s="154"/>
    </row>
    <row r="723" spans="1:7" x14ac:dyDescent="0.3">
      <c r="A723" s="172" t="s">
        <v>544</v>
      </c>
      <c r="B723" s="115" t="s">
        <v>545</v>
      </c>
      <c r="C723" s="116">
        <v>0</v>
      </c>
      <c r="E723" s="154"/>
      <c r="F723" s="154"/>
      <c r="G723" s="154"/>
    </row>
    <row r="724" spans="1:7" x14ac:dyDescent="0.3">
      <c r="A724" s="172" t="s">
        <v>528</v>
      </c>
      <c r="B724" s="115" t="s">
        <v>529</v>
      </c>
      <c r="C724" s="116">
        <v>0</v>
      </c>
      <c r="E724" s="154"/>
      <c r="F724" s="154"/>
      <c r="G724" s="154"/>
    </row>
    <row r="725" spans="1:7" x14ac:dyDescent="0.3">
      <c r="A725" s="172" t="s">
        <v>2405</v>
      </c>
      <c r="B725" s="115" t="s">
        <v>2406</v>
      </c>
      <c r="C725" s="116">
        <v>-3550000003.3000002</v>
      </c>
      <c r="E725" s="154"/>
      <c r="F725" s="154"/>
      <c r="G725" s="154"/>
    </row>
    <row r="726" spans="1:7" x14ac:dyDescent="0.3">
      <c r="A726" s="172" t="s">
        <v>2407</v>
      </c>
      <c r="B726" s="115" t="s">
        <v>2408</v>
      </c>
      <c r="C726" s="116">
        <v>164100</v>
      </c>
      <c r="E726" s="154"/>
      <c r="F726" s="154"/>
      <c r="G726" s="154"/>
    </row>
    <row r="727" spans="1:7" x14ac:dyDescent="0.3">
      <c r="A727" s="172" t="s">
        <v>2409</v>
      </c>
      <c r="B727" s="115" t="s">
        <v>2410</v>
      </c>
      <c r="C727" s="116">
        <v>107117</v>
      </c>
      <c r="E727" s="154"/>
      <c r="F727" s="154"/>
      <c r="G727" s="154"/>
    </row>
    <row r="728" spans="1:7" x14ac:dyDescent="0.3">
      <c r="A728" s="172" t="s">
        <v>2411</v>
      </c>
      <c r="B728" s="115" t="s">
        <v>2412</v>
      </c>
      <c r="C728" s="116">
        <v>1200536.3600000001</v>
      </c>
      <c r="E728" s="154"/>
      <c r="F728" s="154"/>
      <c r="G728" s="154"/>
    </row>
    <row r="729" spans="1:7" x14ac:dyDescent="0.3">
      <c r="A729" s="172" t="s">
        <v>2413</v>
      </c>
      <c r="B729" s="115" t="s">
        <v>2414</v>
      </c>
      <c r="C729" s="116">
        <v>7680296.1900000004</v>
      </c>
      <c r="E729" s="154"/>
      <c r="F729" s="154"/>
      <c r="G729" s="154"/>
    </row>
    <row r="730" spans="1:7" x14ac:dyDescent="0.3">
      <c r="A730" s="172" t="s">
        <v>2415</v>
      </c>
      <c r="B730" s="115" t="s">
        <v>2416</v>
      </c>
      <c r="C730" s="116">
        <v>-3508640</v>
      </c>
      <c r="E730" s="154"/>
      <c r="F730" s="154"/>
      <c r="G730" s="154"/>
    </row>
    <row r="731" spans="1:7" x14ac:dyDescent="0.3">
      <c r="A731" s="172" t="s">
        <v>2417</v>
      </c>
      <c r="B731" s="115" t="s">
        <v>2418</v>
      </c>
      <c r="C731" s="116">
        <v>44222.05</v>
      </c>
      <c r="E731" s="154"/>
      <c r="F731" s="154"/>
      <c r="G731" s="154"/>
    </row>
    <row r="732" spans="1:7" x14ac:dyDescent="0.3">
      <c r="A732" s="172" t="s">
        <v>2419</v>
      </c>
      <c r="B732" s="115" t="s">
        <v>2420</v>
      </c>
      <c r="C732" s="116">
        <v>9955</v>
      </c>
      <c r="E732" s="154"/>
      <c r="F732" s="154"/>
      <c r="G732" s="154"/>
    </row>
    <row r="733" spans="1:7" x14ac:dyDescent="0.3">
      <c r="A733" s="172" t="s">
        <v>2421</v>
      </c>
      <c r="B733" s="115" t="s">
        <v>2422</v>
      </c>
      <c r="C733" s="116">
        <v>646236.37</v>
      </c>
      <c r="E733" s="154"/>
      <c r="F733" s="154"/>
      <c r="G733" s="154"/>
    </row>
    <row r="734" spans="1:7" x14ac:dyDescent="0.3">
      <c r="A734" s="172" t="s">
        <v>2423</v>
      </c>
      <c r="B734" s="115" t="s">
        <v>2424</v>
      </c>
      <c r="C734" s="116">
        <v>148087.92000000001</v>
      </c>
      <c r="E734" s="154"/>
      <c r="F734" s="154"/>
      <c r="G734" s="154"/>
    </row>
    <row r="735" spans="1:7" x14ac:dyDescent="0.3">
      <c r="A735" s="172" t="s">
        <v>2425</v>
      </c>
      <c r="B735" s="115" t="s">
        <v>2426</v>
      </c>
      <c r="C735" s="116">
        <v>606772.5</v>
      </c>
      <c r="E735" s="154"/>
      <c r="F735" s="154"/>
      <c r="G735" s="154"/>
    </row>
    <row r="736" spans="1:7" x14ac:dyDescent="0.3">
      <c r="A736" s="172" t="s">
        <v>2427</v>
      </c>
      <c r="B736" s="115" t="s">
        <v>2428</v>
      </c>
      <c r="C736" s="116">
        <v>111138.55</v>
      </c>
      <c r="E736" s="154"/>
      <c r="F736" s="154"/>
      <c r="G736" s="154"/>
    </row>
    <row r="737" spans="1:7" x14ac:dyDescent="0.3">
      <c r="A737" s="172" t="s">
        <v>2429</v>
      </c>
      <c r="B737" s="115" t="s">
        <v>2430</v>
      </c>
      <c r="C737" s="116">
        <v>189500</v>
      </c>
      <c r="E737" s="154"/>
      <c r="F737" s="154"/>
      <c r="G737" s="154"/>
    </row>
    <row r="738" spans="1:7" x14ac:dyDescent="0.3">
      <c r="A738" s="172" t="s">
        <v>2431</v>
      </c>
      <c r="B738" s="115" t="s">
        <v>2432</v>
      </c>
      <c r="C738" s="116">
        <v>232564</v>
      </c>
      <c r="E738" s="154"/>
      <c r="F738" s="154"/>
      <c r="G738" s="154"/>
    </row>
    <row r="739" spans="1:7" x14ac:dyDescent="0.3">
      <c r="A739" s="172" t="s">
        <v>2433</v>
      </c>
      <c r="B739" s="115" t="s">
        <v>2434</v>
      </c>
      <c r="C739" s="116">
        <v>56689.11</v>
      </c>
      <c r="E739" s="154"/>
      <c r="F739" s="154"/>
      <c r="G739" s="154"/>
    </row>
    <row r="740" spans="1:7" x14ac:dyDescent="0.3">
      <c r="A740" s="172" t="s">
        <v>2435</v>
      </c>
      <c r="B740" s="115" t="s">
        <v>2436</v>
      </c>
      <c r="C740" s="116">
        <v>865891</v>
      </c>
      <c r="E740" s="154"/>
      <c r="F740" s="154"/>
      <c r="G740" s="154"/>
    </row>
    <row r="741" spans="1:7" x14ac:dyDescent="0.3">
      <c r="A741" s="172" t="s">
        <v>2437</v>
      </c>
      <c r="B741" s="115" t="s">
        <v>2438</v>
      </c>
      <c r="C741" s="116">
        <v>0</v>
      </c>
      <c r="E741" s="154"/>
      <c r="F741" s="154"/>
      <c r="G741" s="154"/>
    </row>
    <row r="742" spans="1:7" x14ac:dyDescent="0.3">
      <c r="A742" s="172" t="s">
        <v>2439</v>
      </c>
      <c r="B742" s="115" t="s">
        <v>2440</v>
      </c>
      <c r="C742" s="116">
        <v>91820</v>
      </c>
      <c r="E742" s="154"/>
      <c r="F742" s="154"/>
      <c r="G742" s="154"/>
    </row>
    <row r="743" spans="1:7" x14ac:dyDescent="0.3">
      <c r="A743" s="172" t="s">
        <v>2441</v>
      </c>
      <c r="B743" s="115" t="s">
        <v>2442</v>
      </c>
      <c r="C743" s="116">
        <v>100583.25</v>
      </c>
      <c r="E743" s="154"/>
      <c r="F743" s="154"/>
      <c r="G743" s="154"/>
    </row>
    <row r="744" spans="1:7" x14ac:dyDescent="0.3">
      <c r="A744" s="172" t="s">
        <v>2443</v>
      </c>
      <c r="B744" s="115" t="s">
        <v>2444</v>
      </c>
      <c r="C744" s="116">
        <v>1179347.92</v>
      </c>
      <c r="E744" s="154"/>
      <c r="F744" s="154"/>
      <c r="G744" s="154"/>
    </row>
    <row r="745" spans="1:7" x14ac:dyDescent="0.3">
      <c r="A745" s="172" t="s">
        <v>2445</v>
      </c>
      <c r="B745" s="115" t="s">
        <v>2446</v>
      </c>
      <c r="C745" s="116">
        <v>194927</v>
      </c>
      <c r="E745" s="154"/>
      <c r="F745" s="154"/>
      <c r="G745" s="154"/>
    </row>
    <row r="746" spans="1:7" x14ac:dyDescent="0.3">
      <c r="A746" s="172" t="s">
        <v>2447</v>
      </c>
      <c r="B746" s="115" t="s">
        <v>2448</v>
      </c>
      <c r="C746" s="116">
        <v>161916</v>
      </c>
      <c r="E746" s="154"/>
      <c r="F746" s="154"/>
      <c r="G746" s="154"/>
    </row>
    <row r="747" spans="1:7" x14ac:dyDescent="0.3">
      <c r="A747" s="172" t="s">
        <v>2449</v>
      </c>
      <c r="B747" s="115" t="s">
        <v>2450</v>
      </c>
      <c r="C747" s="116">
        <v>0</v>
      </c>
      <c r="E747" s="154"/>
      <c r="F747" s="154"/>
      <c r="G747" s="154"/>
    </row>
    <row r="748" spans="1:7" x14ac:dyDescent="0.3">
      <c r="A748" s="172" t="s">
        <v>2451</v>
      </c>
      <c r="B748" s="115" t="s">
        <v>2452</v>
      </c>
      <c r="C748" s="116">
        <v>0</v>
      </c>
      <c r="E748" s="154"/>
      <c r="F748" s="154"/>
      <c r="G748" s="154"/>
    </row>
    <row r="749" spans="1:7" x14ac:dyDescent="0.3">
      <c r="A749" s="172" t="s">
        <v>2453</v>
      </c>
      <c r="B749" s="115" t="s">
        <v>2454</v>
      </c>
      <c r="C749" s="116">
        <v>64581.21</v>
      </c>
      <c r="E749" s="154"/>
      <c r="F749" s="154"/>
      <c r="G749" s="154"/>
    </row>
    <row r="750" spans="1:7" x14ac:dyDescent="0.3">
      <c r="A750" s="172" t="s">
        <v>2455</v>
      </c>
      <c r="B750" s="115" t="s">
        <v>2456</v>
      </c>
      <c r="C750" s="116">
        <v>4250</v>
      </c>
      <c r="E750" s="154"/>
      <c r="F750" s="154"/>
      <c r="G750" s="154"/>
    </row>
    <row r="751" spans="1:7" x14ac:dyDescent="0.3">
      <c r="A751" s="172" t="s">
        <v>2457</v>
      </c>
      <c r="B751" s="115" t="s">
        <v>2458</v>
      </c>
      <c r="C751" s="116">
        <v>109603.25</v>
      </c>
      <c r="E751" s="154"/>
      <c r="F751" s="154"/>
      <c r="G751" s="154"/>
    </row>
    <row r="752" spans="1:7" x14ac:dyDescent="0.3">
      <c r="A752" s="172" t="s">
        <v>1050</v>
      </c>
      <c r="B752" s="115" t="s">
        <v>1051</v>
      </c>
      <c r="C752" s="116">
        <v>-1341587.0900000001</v>
      </c>
      <c r="E752" s="154"/>
      <c r="F752" s="154"/>
      <c r="G752" s="154"/>
    </row>
    <row r="753" spans="1:7" x14ac:dyDescent="0.3">
      <c r="A753" s="172" t="s">
        <v>2459</v>
      </c>
      <c r="B753" s="115" t="s">
        <v>2460</v>
      </c>
      <c r="C753" s="116">
        <v>132388.79999999999</v>
      </c>
      <c r="E753" s="154"/>
      <c r="F753" s="154"/>
      <c r="G753" s="154"/>
    </row>
    <row r="754" spans="1:7" x14ac:dyDescent="0.3">
      <c r="A754" s="172" t="s">
        <v>2461</v>
      </c>
      <c r="B754" s="115" t="s">
        <v>2462</v>
      </c>
      <c r="C754" s="116">
        <v>0</v>
      </c>
      <c r="E754" s="154"/>
      <c r="F754" s="154"/>
      <c r="G754" s="154"/>
    </row>
    <row r="755" spans="1:7" x14ac:dyDescent="0.3">
      <c r="A755" s="172" t="s">
        <v>2463</v>
      </c>
      <c r="B755" s="115" t="s">
        <v>2464</v>
      </c>
      <c r="C755" s="116">
        <v>0</v>
      </c>
      <c r="E755" s="154"/>
      <c r="F755" s="154"/>
      <c r="G755" s="154"/>
    </row>
    <row r="756" spans="1:7" x14ac:dyDescent="0.3">
      <c r="A756" s="172" t="s">
        <v>747</v>
      </c>
      <c r="B756" s="115" t="s">
        <v>748</v>
      </c>
      <c r="C756" s="116">
        <v>-1317297.44</v>
      </c>
      <c r="E756" s="154"/>
      <c r="F756" s="154"/>
      <c r="G756" s="154"/>
    </row>
    <row r="757" spans="1:7" x14ac:dyDescent="0.3">
      <c r="A757" s="172" t="s">
        <v>2465</v>
      </c>
      <c r="B757" s="115" t="s">
        <v>2466</v>
      </c>
      <c r="C757" s="116">
        <v>97180.25</v>
      </c>
      <c r="E757" s="154"/>
      <c r="F757" s="154"/>
      <c r="G757" s="154"/>
    </row>
    <row r="758" spans="1:7" x14ac:dyDescent="0.3">
      <c r="A758" s="172" t="s">
        <v>2467</v>
      </c>
      <c r="B758" s="115" t="s">
        <v>2468</v>
      </c>
      <c r="C758" s="116">
        <v>113413.63</v>
      </c>
      <c r="E758" s="154"/>
      <c r="F758" s="154"/>
      <c r="G758" s="154"/>
    </row>
    <row r="759" spans="1:7" x14ac:dyDescent="0.3">
      <c r="A759" s="172" t="s">
        <v>2469</v>
      </c>
      <c r="B759" s="115" t="s">
        <v>2470</v>
      </c>
      <c r="C759" s="116">
        <v>2709166.98</v>
      </c>
      <c r="E759" s="154"/>
      <c r="F759" s="154"/>
      <c r="G759" s="154"/>
    </row>
    <row r="760" spans="1:7" x14ac:dyDescent="0.3">
      <c r="A760" s="172" t="s">
        <v>2471</v>
      </c>
      <c r="B760" s="115" t="s">
        <v>2472</v>
      </c>
      <c r="C760" s="116">
        <v>54186.27</v>
      </c>
      <c r="E760" s="154"/>
      <c r="F760" s="154"/>
      <c r="G760" s="154"/>
    </row>
    <row r="761" spans="1:7" x14ac:dyDescent="0.3">
      <c r="A761" s="172" t="s">
        <v>2473</v>
      </c>
      <c r="B761" s="115" t="s">
        <v>2474</v>
      </c>
      <c r="C761" s="116">
        <v>225949.09</v>
      </c>
      <c r="E761" s="154"/>
      <c r="F761" s="154"/>
      <c r="G761" s="154"/>
    </row>
    <row r="762" spans="1:7" x14ac:dyDescent="0.3">
      <c r="A762" s="172" t="s">
        <v>2475</v>
      </c>
      <c r="B762" s="115" t="s">
        <v>2476</v>
      </c>
      <c r="C762" s="116">
        <v>57635.75</v>
      </c>
      <c r="E762" s="154"/>
      <c r="F762" s="154"/>
      <c r="G762" s="154"/>
    </row>
    <row r="763" spans="1:7" x14ac:dyDescent="0.3">
      <c r="A763" s="172" t="s">
        <v>2477</v>
      </c>
      <c r="B763" s="115" t="s">
        <v>2478</v>
      </c>
      <c r="C763" s="116">
        <v>0</v>
      </c>
      <c r="E763" s="154"/>
      <c r="F763" s="154"/>
      <c r="G763" s="154"/>
    </row>
    <row r="764" spans="1:7" x14ac:dyDescent="0.3">
      <c r="A764" s="172" t="s">
        <v>1067</v>
      </c>
      <c r="B764" s="115" t="s">
        <v>1068</v>
      </c>
      <c r="C764" s="116">
        <v>0</v>
      </c>
      <c r="E764" s="154"/>
      <c r="F764" s="154"/>
      <c r="G764" s="154"/>
    </row>
    <row r="765" spans="1:7" x14ac:dyDescent="0.3">
      <c r="A765" s="172" t="s">
        <v>2479</v>
      </c>
      <c r="B765" s="115" t="s">
        <v>2480</v>
      </c>
      <c r="C765" s="116">
        <v>0</v>
      </c>
      <c r="E765" s="154"/>
      <c r="F765" s="154"/>
      <c r="G765" s="154"/>
    </row>
    <row r="766" spans="1:7" x14ac:dyDescent="0.3">
      <c r="A766" s="172" t="s">
        <v>2481</v>
      </c>
      <c r="B766" s="115" t="s">
        <v>2482</v>
      </c>
      <c r="C766" s="116">
        <v>0</v>
      </c>
      <c r="E766" s="154"/>
      <c r="F766" s="154"/>
      <c r="G766" s="154"/>
    </row>
    <row r="767" spans="1:7" x14ac:dyDescent="0.3">
      <c r="A767" s="172" t="s">
        <v>2483</v>
      </c>
      <c r="B767" s="115" t="s">
        <v>2484</v>
      </c>
      <c r="C767" s="116">
        <v>-343076.9</v>
      </c>
      <c r="E767" s="154"/>
      <c r="F767" s="154"/>
      <c r="G767" s="154"/>
    </row>
    <row r="768" spans="1:7" x14ac:dyDescent="0.3">
      <c r="A768" s="172" t="s">
        <v>2485</v>
      </c>
      <c r="B768" s="115" t="s">
        <v>2486</v>
      </c>
      <c r="C768" s="116">
        <v>0</v>
      </c>
      <c r="E768" s="154"/>
      <c r="F768" s="154"/>
      <c r="G768" s="154"/>
    </row>
    <row r="769" spans="1:7" x14ac:dyDescent="0.3">
      <c r="A769" s="172" t="s">
        <v>708</v>
      </c>
      <c r="B769" s="115" t="s">
        <v>2487</v>
      </c>
      <c r="C769" s="116">
        <v>73278.460000000006</v>
      </c>
      <c r="E769" s="154"/>
      <c r="F769" s="154"/>
      <c r="G769" s="154"/>
    </row>
    <row r="770" spans="1:7" x14ac:dyDescent="0.3">
      <c r="A770" s="173" t="s">
        <v>2488</v>
      </c>
      <c r="B770" s="117" t="s">
        <v>2489</v>
      </c>
      <c r="C770" s="116">
        <v>11974.05</v>
      </c>
      <c r="E770" s="154"/>
      <c r="F770" s="154"/>
      <c r="G770" s="154"/>
    </row>
    <row r="771" spans="1:7" x14ac:dyDescent="0.3">
      <c r="A771" s="172" t="s">
        <v>2490</v>
      </c>
      <c r="B771" s="115" t="s">
        <v>2491</v>
      </c>
      <c r="C771" s="116">
        <v>0</v>
      </c>
      <c r="E771" s="154"/>
      <c r="F771" s="154"/>
      <c r="G771" s="154"/>
    </row>
    <row r="772" spans="1:7" x14ac:dyDescent="0.3">
      <c r="A772" s="172" t="s">
        <v>2492</v>
      </c>
      <c r="B772" s="115" t="s">
        <v>2493</v>
      </c>
      <c r="C772" s="116">
        <v>0</v>
      </c>
      <c r="E772" s="154"/>
      <c r="F772" s="154"/>
      <c r="G772" s="154"/>
    </row>
    <row r="773" spans="1:7" x14ac:dyDescent="0.3">
      <c r="A773" s="172" t="s">
        <v>2494</v>
      </c>
      <c r="B773" s="115" t="s">
        <v>2495</v>
      </c>
      <c r="C773" s="116">
        <v>0</v>
      </c>
      <c r="E773" s="154"/>
      <c r="F773" s="154"/>
      <c r="G773" s="154"/>
    </row>
    <row r="774" spans="1:7" x14ac:dyDescent="0.3">
      <c r="A774" s="172" t="s">
        <v>2496</v>
      </c>
      <c r="B774" s="115" t="s">
        <v>2497</v>
      </c>
      <c r="C774" s="116">
        <v>0</v>
      </c>
      <c r="E774" s="154"/>
      <c r="F774" s="154"/>
      <c r="G774" s="154"/>
    </row>
    <row r="775" spans="1:7" x14ac:dyDescent="0.3">
      <c r="A775" s="172" t="s">
        <v>2498</v>
      </c>
      <c r="B775" s="115" t="s">
        <v>2499</v>
      </c>
      <c r="C775" s="116">
        <v>0</v>
      </c>
      <c r="E775" s="154"/>
      <c r="F775" s="154"/>
      <c r="G775" s="154"/>
    </row>
    <row r="776" spans="1:7" x14ac:dyDescent="0.3">
      <c r="A776" s="172" t="s">
        <v>2500</v>
      </c>
      <c r="B776" s="115" t="s">
        <v>2501</v>
      </c>
      <c r="C776" s="116">
        <v>0</v>
      </c>
      <c r="E776" s="154"/>
      <c r="F776" s="154"/>
      <c r="G776" s="154"/>
    </row>
    <row r="777" spans="1:7" x14ac:dyDescent="0.3">
      <c r="A777" s="172" t="s">
        <v>2502</v>
      </c>
      <c r="B777" s="115" t="s">
        <v>2503</v>
      </c>
      <c r="C777" s="116">
        <v>0</v>
      </c>
      <c r="E777" s="154"/>
      <c r="F777" s="154"/>
      <c r="G777" s="154"/>
    </row>
    <row r="778" spans="1:7" x14ac:dyDescent="0.3">
      <c r="A778" s="172" t="s">
        <v>560</v>
      </c>
      <c r="B778" s="115" t="s">
        <v>561</v>
      </c>
      <c r="C778" s="116">
        <v>0</v>
      </c>
      <c r="E778" s="154"/>
      <c r="F778" s="154"/>
      <c r="G778" s="154"/>
    </row>
    <row r="779" spans="1:7" x14ac:dyDescent="0.3">
      <c r="A779" s="172" t="s">
        <v>2504</v>
      </c>
      <c r="B779" s="115" t="s">
        <v>2505</v>
      </c>
      <c r="C779" s="116">
        <v>0</v>
      </c>
      <c r="E779" s="154"/>
      <c r="F779" s="154"/>
      <c r="G779" s="154"/>
    </row>
    <row r="780" spans="1:7" x14ac:dyDescent="0.3">
      <c r="A780" s="172" t="s">
        <v>2506</v>
      </c>
      <c r="B780" s="115" t="s">
        <v>2507</v>
      </c>
      <c r="C780" s="116">
        <v>0</v>
      </c>
      <c r="E780" s="154"/>
      <c r="F780" s="154"/>
      <c r="G780" s="154"/>
    </row>
    <row r="781" spans="1:7" x14ac:dyDescent="0.3">
      <c r="A781" s="172" t="s">
        <v>2508</v>
      </c>
      <c r="B781" s="115" t="s">
        <v>2509</v>
      </c>
      <c r="C781" s="116">
        <v>0</v>
      </c>
      <c r="E781" s="154"/>
      <c r="F781" s="154"/>
      <c r="G781" s="154"/>
    </row>
    <row r="782" spans="1:7" x14ac:dyDescent="0.3">
      <c r="A782" s="172" t="s">
        <v>2510</v>
      </c>
      <c r="B782" s="115" t="s">
        <v>2511</v>
      </c>
      <c r="C782" s="116">
        <v>0</v>
      </c>
      <c r="E782" s="154"/>
      <c r="F782" s="154"/>
      <c r="G782" s="154"/>
    </row>
    <row r="783" spans="1:7" x14ac:dyDescent="0.3">
      <c r="A783" s="172" t="s">
        <v>2512</v>
      </c>
      <c r="B783" s="115" t="s">
        <v>2513</v>
      </c>
      <c r="C783" s="116">
        <v>0</v>
      </c>
      <c r="E783" s="154"/>
      <c r="F783" s="154"/>
      <c r="G783" s="154"/>
    </row>
    <row r="784" spans="1:7" x14ac:dyDescent="0.3">
      <c r="A784" s="172" t="s">
        <v>2514</v>
      </c>
      <c r="B784" s="115" t="s">
        <v>2515</v>
      </c>
      <c r="C784" s="116">
        <v>0</v>
      </c>
      <c r="E784" s="154"/>
      <c r="F784" s="154"/>
      <c r="G784" s="154"/>
    </row>
    <row r="785" spans="1:7" x14ac:dyDescent="0.3">
      <c r="A785" s="172" t="s">
        <v>2516</v>
      </c>
      <c r="B785" s="115" t="s">
        <v>2517</v>
      </c>
      <c r="C785" s="116">
        <v>0</v>
      </c>
      <c r="E785" s="154"/>
      <c r="F785" s="154"/>
      <c r="G785" s="154"/>
    </row>
    <row r="786" spans="1:7" x14ac:dyDescent="0.3">
      <c r="A786" s="172" t="s">
        <v>2518</v>
      </c>
      <c r="B786" s="115" t="s">
        <v>2519</v>
      </c>
      <c r="C786" s="116">
        <v>0</v>
      </c>
      <c r="E786" s="154"/>
      <c r="F786" s="154"/>
      <c r="G786" s="154"/>
    </row>
    <row r="787" spans="1:7" x14ac:dyDescent="0.3">
      <c r="A787" s="172" t="s">
        <v>2520</v>
      </c>
      <c r="B787" s="115" t="s">
        <v>2521</v>
      </c>
      <c r="C787" s="116">
        <v>0</v>
      </c>
      <c r="E787" s="154"/>
      <c r="F787" s="154"/>
      <c r="G787" s="154"/>
    </row>
    <row r="788" spans="1:7" x14ac:dyDescent="0.3">
      <c r="A788" s="172" t="s">
        <v>2522</v>
      </c>
      <c r="B788" s="115" t="s">
        <v>2523</v>
      </c>
      <c r="C788" s="116">
        <v>0</v>
      </c>
      <c r="E788" s="154"/>
      <c r="F788" s="154"/>
      <c r="G788" s="154"/>
    </row>
    <row r="789" spans="1:7" x14ac:dyDescent="0.3">
      <c r="A789" s="172" t="s">
        <v>2524</v>
      </c>
      <c r="B789" s="115" t="s">
        <v>2525</v>
      </c>
      <c r="C789" s="116">
        <v>0</v>
      </c>
      <c r="E789" s="154"/>
      <c r="F789" s="154"/>
      <c r="G789" s="154"/>
    </row>
    <row r="790" spans="1:7" x14ac:dyDescent="0.3">
      <c r="A790" s="172" t="s">
        <v>2526</v>
      </c>
      <c r="B790" s="115" t="s">
        <v>2527</v>
      </c>
      <c r="C790" s="116">
        <v>0</v>
      </c>
      <c r="E790" s="154"/>
      <c r="F790" s="154"/>
      <c r="G790" s="154"/>
    </row>
    <row r="791" spans="1:7" x14ac:dyDescent="0.3">
      <c r="A791" s="172" t="s">
        <v>2528</v>
      </c>
      <c r="B791" s="115" t="s">
        <v>2529</v>
      </c>
      <c r="C791" s="116">
        <v>0</v>
      </c>
      <c r="E791" s="154"/>
      <c r="F791" s="154"/>
      <c r="G791" s="154"/>
    </row>
    <row r="792" spans="1:7" x14ac:dyDescent="0.3">
      <c r="A792" s="172" t="s">
        <v>2530</v>
      </c>
      <c r="B792" s="115" t="s">
        <v>2531</v>
      </c>
      <c r="C792" s="116">
        <v>0</v>
      </c>
      <c r="E792" s="154"/>
      <c r="F792" s="154"/>
      <c r="G792" s="154"/>
    </row>
    <row r="793" spans="1:7" x14ac:dyDescent="0.3">
      <c r="A793" s="172" t="s">
        <v>2532</v>
      </c>
      <c r="B793" s="115" t="s">
        <v>2533</v>
      </c>
      <c r="C793" s="116">
        <v>0</v>
      </c>
      <c r="E793" s="154"/>
      <c r="F793" s="154"/>
      <c r="G793" s="154"/>
    </row>
    <row r="794" spans="1:7" x14ac:dyDescent="0.3">
      <c r="A794" s="172" t="s">
        <v>2534</v>
      </c>
      <c r="B794" s="115" t="s">
        <v>2535</v>
      </c>
      <c r="C794" s="116">
        <v>0</v>
      </c>
      <c r="E794" s="154"/>
      <c r="F794" s="154"/>
      <c r="G794" s="154"/>
    </row>
    <row r="795" spans="1:7" x14ac:dyDescent="0.3">
      <c r="A795" s="172" t="s">
        <v>2536</v>
      </c>
      <c r="B795" s="115" t="s">
        <v>2537</v>
      </c>
      <c r="C795" s="116">
        <v>0</v>
      </c>
      <c r="E795" s="154"/>
      <c r="F795" s="154"/>
      <c r="G795" s="154"/>
    </row>
    <row r="796" spans="1:7" x14ac:dyDescent="0.3">
      <c r="A796" s="172" t="s">
        <v>853</v>
      </c>
      <c r="B796" s="115" t="s">
        <v>2538</v>
      </c>
      <c r="C796" s="116">
        <v>0</v>
      </c>
      <c r="E796" s="154"/>
      <c r="F796" s="154"/>
      <c r="G796" s="154"/>
    </row>
    <row r="797" spans="1:7" x14ac:dyDescent="0.3">
      <c r="A797" s="172" t="s">
        <v>2539</v>
      </c>
      <c r="B797" s="115" t="s">
        <v>2540</v>
      </c>
      <c r="C797" s="116">
        <v>0</v>
      </c>
      <c r="E797" s="154"/>
      <c r="F797" s="154"/>
      <c r="G797" s="154"/>
    </row>
    <row r="798" spans="1:7" x14ac:dyDescent="0.3">
      <c r="A798" s="172" t="s">
        <v>2541</v>
      </c>
      <c r="B798" s="115" t="s">
        <v>2542</v>
      </c>
      <c r="C798" s="116">
        <v>0</v>
      </c>
      <c r="E798" s="154"/>
      <c r="F798" s="154"/>
      <c r="G798" s="154"/>
    </row>
    <row r="799" spans="1:7" x14ac:dyDescent="0.3">
      <c r="A799" s="172" t="s">
        <v>1064</v>
      </c>
      <c r="B799" s="115" t="s">
        <v>1065</v>
      </c>
      <c r="C799" s="116">
        <v>0</v>
      </c>
      <c r="E799" s="154"/>
      <c r="F799" s="154"/>
      <c r="G799" s="154"/>
    </row>
    <row r="800" spans="1:7" x14ac:dyDescent="0.3">
      <c r="A800" s="172" t="s">
        <v>2543</v>
      </c>
      <c r="B800" s="115" t="s">
        <v>2544</v>
      </c>
      <c r="C800" s="116">
        <v>0</v>
      </c>
      <c r="E800" s="154"/>
      <c r="F800" s="154"/>
      <c r="G800" s="154"/>
    </row>
    <row r="801" spans="1:7" x14ac:dyDescent="0.3">
      <c r="A801" s="172" t="s">
        <v>2545</v>
      </c>
      <c r="B801" s="115" t="s">
        <v>2546</v>
      </c>
      <c r="C801" s="116">
        <v>227786.97</v>
      </c>
      <c r="E801" s="154"/>
      <c r="F801" s="154"/>
      <c r="G801" s="154"/>
    </row>
    <row r="802" spans="1:7" x14ac:dyDescent="0.3">
      <c r="A802" s="172" t="s">
        <v>632</v>
      </c>
      <c r="B802" s="115" t="s">
        <v>633</v>
      </c>
      <c r="C802" s="116">
        <v>0.78</v>
      </c>
      <c r="E802" s="154"/>
      <c r="F802" s="154"/>
      <c r="G802" s="154"/>
    </row>
    <row r="803" spans="1:7" x14ac:dyDescent="0.3">
      <c r="A803" s="172" t="s">
        <v>2547</v>
      </c>
      <c r="B803" s="115" t="s">
        <v>2548</v>
      </c>
      <c r="C803" s="116">
        <v>224165.91</v>
      </c>
      <c r="E803" s="154"/>
      <c r="F803" s="154"/>
      <c r="G803" s="154"/>
    </row>
    <row r="804" spans="1:7" x14ac:dyDescent="0.3">
      <c r="A804" s="172" t="s">
        <v>2549</v>
      </c>
      <c r="B804" s="115" t="s">
        <v>2550</v>
      </c>
      <c r="C804" s="116">
        <v>237355.75</v>
      </c>
      <c r="E804" s="154"/>
      <c r="F804" s="154"/>
      <c r="G804" s="154"/>
    </row>
    <row r="805" spans="1:7" x14ac:dyDescent="0.3">
      <c r="A805" s="172" t="s">
        <v>2551</v>
      </c>
      <c r="B805" s="115" t="s">
        <v>2552</v>
      </c>
      <c r="C805" s="116">
        <v>0</v>
      </c>
      <c r="E805" s="154"/>
      <c r="F805" s="154"/>
      <c r="G805" s="154"/>
    </row>
    <row r="806" spans="1:7" x14ac:dyDescent="0.3">
      <c r="A806" s="172" t="s">
        <v>867</v>
      </c>
      <c r="B806" s="115" t="s">
        <v>868</v>
      </c>
      <c r="C806" s="116">
        <v>-3400000</v>
      </c>
      <c r="E806" s="154"/>
      <c r="F806" s="154"/>
      <c r="G806" s="154"/>
    </row>
    <row r="807" spans="1:7" x14ac:dyDescent="0.3">
      <c r="A807" s="172" t="s">
        <v>2553</v>
      </c>
      <c r="B807" s="115" t="s">
        <v>2554</v>
      </c>
      <c r="C807" s="116">
        <v>0</v>
      </c>
      <c r="E807" s="154"/>
      <c r="F807" s="154"/>
      <c r="G807" s="154"/>
    </row>
    <row r="808" spans="1:7" x14ac:dyDescent="0.3">
      <c r="A808" s="172" t="s">
        <v>2555</v>
      </c>
      <c r="B808" s="115" t="s">
        <v>2556</v>
      </c>
      <c r="C808" s="116">
        <v>3529983.44</v>
      </c>
      <c r="E808" s="154"/>
      <c r="F808" s="154"/>
      <c r="G808" s="154"/>
    </row>
    <row r="809" spans="1:7" x14ac:dyDescent="0.3">
      <c r="A809" s="172" t="s">
        <v>2557</v>
      </c>
      <c r="B809" s="115" t="s">
        <v>2558</v>
      </c>
      <c r="C809" s="116">
        <v>400305278.44999999</v>
      </c>
      <c r="E809" s="154"/>
      <c r="F809" s="154"/>
      <c r="G809" s="154"/>
    </row>
    <row r="810" spans="1:7" x14ac:dyDescent="0.3">
      <c r="A810" s="172" t="s">
        <v>2559</v>
      </c>
      <c r="B810" s="115" t="s">
        <v>2560</v>
      </c>
      <c r="C810" s="116">
        <v>-11249548.609999999</v>
      </c>
      <c r="E810" s="154"/>
      <c r="F810" s="154"/>
      <c r="G810" s="154"/>
    </row>
    <row r="811" spans="1:7" x14ac:dyDescent="0.3">
      <c r="A811" s="172" t="s">
        <v>2561</v>
      </c>
      <c r="B811" s="115" t="s">
        <v>2562</v>
      </c>
      <c r="C811" s="116">
        <v>119375.97</v>
      </c>
      <c r="E811" s="154"/>
      <c r="F811" s="154"/>
      <c r="G811" s="154"/>
    </row>
    <row r="812" spans="1:7" x14ac:dyDescent="0.3">
      <c r="A812" s="172" t="s">
        <v>2563</v>
      </c>
      <c r="B812" s="115" t="s">
        <v>2564</v>
      </c>
      <c r="C812" s="116">
        <v>271169.3</v>
      </c>
      <c r="E812" s="154"/>
      <c r="F812" s="154"/>
      <c r="G812" s="154"/>
    </row>
    <row r="813" spans="1:7" x14ac:dyDescent="0.3">
      <c r="A813" s="172" t="s">
        <v>2565</v>
      </c>
      <c r="B813" s="115" t="s">
        <v>2566</v>
      </c>
      <c r="C813" s="116">
        <v>253458.58</v>
      </c>
      <c r="E813" s="154"/>
      <c r="F813" s="154"/>
      <c r="G813" s="154"/>
    </row>
    <row r="814" spans="1:7" x14ac:dyDescent="0.3">
      <c r="A814" s="172" t="s">
        <v>2567</v>
      </c>
      <c r="B814" s="115" t="s">
        <v>2568</v>
      </c>
      <c r="C814" s="116">
        <v>-52754.26</v>
      </c>
      <c r="E814" s="154"/>
      <c r="F814" s="154"/>
      <c r="G814" s="154"/>
    </row>
    <row r="815" spans="1:7" x14ac:dyDescent="0.3">
      <c r="A815" s="172" t="s">
        <v>2569</v>
      </c>
      <c r="B815" s="115" t="s">
        <v>2570</v>
      </c>
      <c r="C815" s="116">
        <v>1098049.05</v>
      </c>
      <c r="E815" s="154"/>
      <c r="F815" s="154"/>
      <c r="G815" s="154"/>
    </row>
    <row r="816" spans="1:7" x14ac:dyDescent="0.3">
      <c r="A816" s="172" t="s">
        <v>2571</v>
      </c>
      <c r="B816" s="115" t="s">
        <v>2572</v>
      </c>
      <c r="C816" s="116">
        <v>147654.15</v>
      </c>
      <c r="E816" s="154"/>
      <c r="F816" s="154"/>
      <c r="G816" s="154"/>
    </row>
    <row r="817" spans="1:7" x14ac:dyDescent="0.3">
      <c r="A817" s="172" t="s">
        <v>2573</v>
      </c>
      <c r="B817" s="115" t="s">
        <v>2574</v>
      </c>
      <c r="C817" s="116">
        <v>147500</v>
      </c>
      <c r="E817" s="154"/>
      <c r="F817" s="154"/>
      <c r="G817" s="154"/>
    </row>
    <row r="818" spans="1:7" x14ac:dyDescent="0.3">
      <c r="A818" s="172" t="s">
        <v>2575</v>
      </c>
      <c r="B818" s="115" t="s">
        <v>2576</v>
      </c>
      <c r="C818" s="116">
        <v>-293362.28000000003</v>
      </c>
      <c r="E818" s="154"/>
      <c r="F818" s="154"/>
      <c r="G818" s="154"/>
    </row>
    <row r="819" spans="1:7" x14ac:dyDescent="0.3">
      <c r="A819" s="172" t="s">
        <v>2577</v>
      </c>
      <c r="B819" s="115" t="s">
        <v>2578</v>
      </c>
      <c r="C819" s="116">
        <v>111138.55</v>
      </c>
      <c r="E819" s="154"/>
      <c r="F819" s="154"/>
      <c r="G819" s="154"/>
    </row>
    <row r="820" spans="1:7" x14ac:dyDescent="0.3">
      <c r="A820" s="172" t="s">
        <v>2579</v>
      </c>
      <c r="B820" s="115" t="s">
        <v>2580</v>
      </c>
      <c r="C820" s="116">
        <v>0</v>
      </c>
      <c r="E820" s="154"/>
      <c r="F820" s="154"/>
      <c r="G820" s="154"/>
    </row>
    <row r="821" spans="1:7" x14ac:dyDescent="0.3">
      <c r="A821" s="172" t="s">
        <v>2581</v>
      </c>
      <c r="B821" s="115" t="s">
        <v>2582</v>
      </c>
      <c r="C821" s="116">
        <v>212370.77</v>
      </c>
      <c r="E821" s="154"/>
      <c r="F821" s="154"/>
      <c r="G821" s="154"/>
    </row>
    <row r="822" spans="1:7" x14ac:dyDescent="0.3">
      <c r="A822" s="172" t="s">
        <v>2583</v>
      </c>
      <c r="B822" s="115" t="s">
        <v>2584</v>
      </c>
      <c r="C822" s="116">
        <v>78781.83</v>
      </c>
      <c r="E822" s="154"/>
      <c r="F822" s="154"/>
      <c r="G822" s="154"/>
    </row>
    <row r="823" spans="1:7" x14ac:dyDescent="0.3">
      <c r="A823" s="172" t="s">
        <v>2585</v>
      </c>
      <c r="B823" s="115" t="s">
        <v>2586</v>
      </c>
      <c r="C823" s="116">
        <v>80503.5</v>
      </c>
      <c r="E823" s="154"/>
      <c r="F823" s="154"/>
      <c r="G823" s="154"/>
    </row>
    <row r="824" spans="1:7" x14ac:dyDescent="0.3">
      <c r="A824" s="172" t="s">
        <v>2587</v>
      </c>
      <c r="B824" s="115" t="s">
        <v>2588</v>
      </c>
      <c r="C824" s="116">
        <v>191917.26</v>
      </c>
      <c r="E824" s="154"/>
      <c r="F824" s="154"/>
      <c r="G824" s="154"/>
    </row>
    <row r="825" spans="1:7" x14ac:dyDescent="0.3">
      <c r="A825" s="172" t="s">
        <v>2589</v>
      </c>
      <c r="B825" s="115" t="s">
        <v>2590</v>
      </c>
      <c r="C825" s="116">
        <v>16500</v>
      </c>
      <c r="E825" s="154"/>
      <c r="F825" s="154"/>
      <c r="G825" s="154"/>
    </row>
    <row r="826" spans="1:7" x14ac:dyDescent="0.3">
      <c r="A826" s="172" t="s">
        <v>2591</v>
      </c>
      <c r="B826" s="115" t="s">
        <v>2592</v>
      </c>
      <c r="C826" s="116">
        <v>55569.3</v>
      </c>
      <c r="E826" s="154"/>
      <c r="F826" s="154"/>
      <c r="G826" s="154"/>
    </row>
    <row r="827" spans="1:7" x14ac:dyDescent="0.3">
      <c r="A827" s="172" t="s">
        <v>2593</v>
      </c>
      <c r="B827" s="115" t="s">
        <v>2594</v>
      </c>
      <c r="C827" s="116">
        <v>144240</v>
      </c>
      <c r="E827" s="154"/>
      <c r="F827" s="154"/>
      <c r="G827" s="154"/>
    </row>
    <row r="828" spans="1:7" x14ac:dyDescent="0.3">
      <c r="A828" s="172" t="s">
        <v>2595</v>
      </c>
      <c r="B828" s="115" t="s">
        <v>2596</v>
      </c>
      <c r="C828" s="116">
        <v>836970</v>
      </c>
      <c r="E828" s="154"/>
      <c r="F828" s="154"/>
      <c r="G828" s="154"/>
    </row>
    <row r="829" spans="1:7" x14ac:dyDescent="0.3">
      <c r="A829" s="172" t="s">
        <v>2597</v>
      </c>
      <c r="B829" s="115" t="s">
        <v>2598</v>
      </c>
      <c r="C829" s="116">
        <v>12370.43</v>
      </c>
      <c r="E829" s="154"/>
      <c r="F829" s="154"/>
      <c r="G829" s="154"/>
    </row>
    <row r="830" spans="1:7" x14ac:dyDescent="0.3">
      <c r="A830" s="172" t="s">
        <v>2599</v>
      </c>
      <c r="B830" s="115" t="s">
        <v>2600</v>
      </c>
      <c r="C830" s="116">
        <v>1558.65</v>
      </c>
      <c r="E830" s="154"/>
      <c r="F830" s="154"/>
      <c r="G830" s="154"/>
    </row>
    <row r="831" spans="1:7" x14ac:dyDescent="0.3">
      <c r="A831" s="172" t="s">
        <v>2601</v>
      </c>
      <c r="B831" s="115" t="s">
        <v>2602</v>
      </c>
      <c r="C831" s="116">
        <v>0</v>
      </c>
      <c r="E831" s="154"/>
      <c r="F831" s="154"/>
      <c r="G831" s="154"/>
    </row>
    <row r="832" spans="1:7" x14ac:dyDescent="0.3">
      <c r="A832" s="172" t="s">
        <v>2603</v>
      </c>
      <c r="B832" s="115" t="s">
        <v>2604</v>
      </c>
      <c r="C832" s="116">
        <v>0</v>
      </c>
      <c r="E832" s="154"/>
      <c r="F832" s="154"/>
      <c r="G832" s="154"/>
    </row>
    <row r="833" spans="1:7" x14ac:dyDescent="0.3">
      <c r="A833" s="172" t="s">
        <v>2605</v>
      </c>
      <c r="B833" s="115" t="s">
        <v>2606</v>
      </c>
      <c r="C833" s="116">
        <v>189289.97</v>
      </c>
      <c r="E833" s="154"/>
      <c r="F833" s="154"/>
      <c r="G833" s="154"/>
    </row>
    <row r="834" spans="1:7" x14ac:dyDescent="0.3">
      <c r="A834" s="172" t="s">
        <v>2607</v>
      </c>
      <c r="B834" s="115" t="s">
        <v>2608</v>
      </c>
      <c r="C834" s="116">
        <v>92491.69</v>
      </c>
      <c r="E834" s="154"/>
      <c r="F834" s="154"/>
      <c r="G834" s="154"/>
    </row>
    <row r="835" spans="1:7" x14ac:dyDescent="0.3">
      <c r="A835" s="172" t="s">
        <v>2609</v>
      </c>
      <c r="B835" s="115" t="s">
        <v>2610</v>
      </c>
      <c r="C835" s="116">
        <v>107961.5</v>
      </c>
      <c r="E835" s="154"/>
      <c r="F835" s="154"/>
      <c r="G835" s="154"/>
    </row>
    <row r="836" spans="1:7" x14ac:dyDescent="0.3">
      <c r="A836" s="172" t="s">
        <v>2611</v>
      </c>
      <c r="B836" s="115" t="s">
        <v>2612</v>
      </c>
      <c r="C836" s="116">
        <v>0</v>
      </c>
      <c r="E836" s="154"/>
      <c r="F836" s="154"/>
      <c r="G836" s="154"/>
    </row>
    <row r="837" spans="1:7" x14ac:dyDescent="0.3">
      <c r="A837" s="172" t="s">
        <v>2613</v>
      </c>
      <c r="B837" s="115" t="s">
        <v>2614</v>
      </c>
      <c r="C837" s="116">
        <v>194700</v>
      </c>
      <c r="E837" s="154"/>
      <c r="F837" s="154"/>
      <c r="G837" s="154"/>
    </row>
    <row r="838" spans="1:7" x14ac:dyDescent="0.3">
      <c r="A838" s="172" t="s">
        <v>2615</v>
      </c>
      <c r="B838" s="115" t="s">
        <v>2616</v>
      </c>
      <c r="C838" s="116">
        <v>0</v>
      </c>
      <c r="E838" s="154"/>
      <c r="F838" s="154"/>
      <c r="G838" s="154"/>
    </row>
    <row r="839" spans="1:7" x14ac:dyDescent="0.3">
      <c r="A839" s="172" t="s">
        <v>2617</v>
      </c>
      <c r="B839" s="115" t="s">
        <v>2618</v>
      </c>
      <c r="C839" s="116">
        <v>46173.18</v>
      </c>
      <c r="E839" s="154"/>
      <c r="F839" s="154"/>
      <c r="G839" s="154"/>
    </row>
    <row r="840" spans="1:7" x14ac:dyDescent="0.3">
      <c r="A840" s="172" t="s">
        <v>2619</v>
      </c>
      <c r="B840" s="115" t="s">
        <v>2620</v>
      </c>
      <c r="C840" s="116">
        <v>102025</v>
      </c>
      <c r="E840" s="154"/>
      <c r="F840" s="154"/>
      <c r="G840" s="154"/>
    </row>
    <row r="841" spans="1:7" x14ac:dyDescent="0.3">
      <c r="A841" s="172" t="s">
        <v>2621</v>
      </c>
      <c r="B841" s="115" t="s">
        <v>2622</v>
      </c>
      <c r="C841" s="116">
        <v>0</v>
      </c>
      <c r="E841" s="154"/>
      <c r="F841" s="154"/>
      <c r="G841" s="154"/>
    </row>
    <row r="842" spans="1:7" x14ac:dyDescent="0.3">
      <c r="A842" s="172" t="s">
        <v>2623</v>
      </c>
      <c r="B842" s="115" t="s">
        <v>2624</v>
      </c>
      <c r="C842" s="116">
        <v>0</v>
      </c>
      <c r="E842" s="154"/>
      <c r="F842" s="154"/>
      <c r="G842" s="154"/>
    </row>
    <row r="843" spans="1:7" x14ac:dyDescent="0.3">
      <c r="A843" s="172" t="s">
        <v>2625</v>
      </c>
      <c r="B843" s="115" t="s">
        <v>2626</v>
      </c>
      <c r="C843" s="116">
        <v>990</v>
      </c>
      <c r="E843" s="154"/>
      <c r="F843" s="154"/>
      <c r="G843" s="154"/>
    </row>
    <row r="844" spans="1:7" x14ac:dyDescent="0.3">
      <c r="A844" s="172" t="s">
        <v>2627</v>
      </c>
      <c r="B844" s="115" t="s">
        <v>2628</v>
      </c>
      <c r="C844" s="116">
        <v>0</v>
      </c>
      <c r="E844" s="154"/>
      <c r="F844" s="154"/>
      <c r="G844" s="154"/>
    </row>
    <row r="845" spans="1:7" x14ac:dyDescent="0.3">
      <c r="A845" s="172" t="s">
        <v>720</v>
      </c>
      <c r="B845" s="115" t="s">
        <v>721</v>
      </c>
      <c r="C845" s="116">
        <v>22000</v>
      </c>
      <c r="E845" s="154"/>
      <c r="F845" s="154"/>
      <c r="G845" s="154"/>
    </row>
    <row r="846" spans="1:7" x14ac:dyDescent="0.3">
      <c r="A846" s="172" t="s">
        <v>2629</v>
      </c>
      <c r="B846" s="115" t="s">
        <v>2630</v>
      </c>
      <c r="C846" s="116">
        <v>0</v>
      </c>
      <c r="E846" s="154"/>
      <c r="F846" s="154"/>
      <c r="G846" s="154"/>
    </row>
    <row r="847" spans="1:7" x14ac:dyDescent="0.3">
      <c r="A847" s="172" t="s">
        <v>2631</v>
      </c>
      <c r="B847" s="115" t="s">
        <v>2632</v>
      </c>
      <c r="C847" s="116">
        <v>91994066.640000001</v>
      </c>
      <c r="E847" s="154"/>
      <c r="F847" s="154"/>
      <c r="G847" s="154"/>
    </row>
    <row r="848" spans="1:7" x14ac:dyDescent="0.3">
      <c r="A848" s="172" t="s">
        <v>891</v>
      </c>
      <c r="B848" s="115" t="s">
        <v>892</v>
      </c>
      <c r="C848" s="116">
        <v>0</v>
      </c>
      <c r="E848" s="154"/>
      <c r="F848" s="154"/>
      <c r="G848" s="154"/>
    </row>
    <row r="849" spans="1:7" x14ac:dyDescent="0.3">
      <c r="A849" s="172" t="s">
        <v>2633</v>
      </c>
      <c r="B849" s="115" t="s">
        <v>2634</v>
      </c>
      <c r="C849" s="116">
        <v>-61950</v>
      </c>
      <c r="E849" s="154"/>
      <c r="F849" s="154"/>
      <c r="G849" s="154"/>
    </row>
    <row r="850" spans="1:7" x14ac:dyDescent="0.3">
      <c r="A850" s="172" t="s">
        <v>2635</v>
      </c>
      <c r="B850" s="115" t="s">
        <v>2636</v>
      </c>
      <c r="C850" s="116">
        <v>0</v>
      </c>
      <c r="E850" s="154"/>
      <c r="F850" s="154"/>
      <c r="G850" s="154"/>
    </row>
    <row r="851" spans="1:7" x14ac:dyDescent="0.3">
      <c r="A851" s="172" t="s">
        <v>2637</v>
      </c>
      <c r="B851" s="115" t="s">
        <v>2638</v>
      </c>
      <c r="C851" s="116">
        <v>0</v>
      </c>
      <c r="E851" s="154"/>
      <c r="F851" s="154"/>
      <c r="G851" s="154"/>
    </row>
    <row r="852" spans="1:7" x14ac:dyDescent="0.3">
      <c r="A852" s="172" t="s">
        <v>2639</v>
      </c>
      <c r="B852" s="115" t="s">
        <v>2640</v>
      </c>
      <c r="C852" s="116">
        <v>0</v>
      </c>
      <c r="E852" s="154"/>
      <c r="F852" s="154"/>
      <c r="G852" s="154"/>
    </row>
    <row r="853" spans="1:7" x14ac:dyDescent="0.3">
      <c r="A853" s="172" t="s">
        <v>2641</v>
      </c>
      <c r="B853" s="115" t="s">
        <v>2642</v>
      </c>
      <c r="C853" s="116">
        <v>0</v>
      </c>
      <c r="E853" s="154"/>
      <c r="F853" s="154"/>
      <c r="G853" s="154"/>
    </row>
    <row r="854" spans="1:7" x14ac:dyDescent="0.3">
      <c r="A854" s="172" t="s">
        <v>2643</v>
      </c>
      <c r="B854" s="115" t="s">
        <v>2644</v>
      </c>
      <c r="C854" s="116">
        <v>1987</v>
      </c>
      <c r="E854" s="154"/>
      <c r="F854" s="154"/>
      <c r="G854" s="154"/>
    </row>
    <row r="855" spans="1:7" x14ac:dyDescent="0.3">
      <c r="A855" s="172" t="s">
        <v>2645</v>
      </c>
      <c r="B855" s="115" t="s">
        <v>2646</v>
      </c>
      <c r="C855" s="116">
        <v>0</v>
      </c>
      <c r="E855" s="154"/>
      <c r="F855" s="154"/>
      <c r="G855" s="154"/>
    </row>
    <row r="856" spans="1:7" x14ac:dyDescent="0.3">
      <c r="A856" s="172" t="s">
        <v>2647</v>
      </c>
      <c r="B856" s="115" t="s">
        <v>2648</v>
      </c>
      <c r="C856" s="116">
        <v>0</v>
      </c>
      <c r="E856" s="154"/>
      <c r="F856" s="154"/>
      <c r="G856" s="154"/>
    </row>
    <row r="857" spans="1:7" x14ac:dyDescent="0.3">
      <c r="A857" s="172" t="s">
        <v>2649</v>
      </c>
      <c r="B857" s="115" t="s">
        <v>2650</v>
      </c>
      <c r="C857" s="116">
        <v>0</v>
      </c>
      <c r="E857" s="154"/>
      <c r="F857" s="154"/>
      <c r="G857" s="154"/>
    </row>
    <row r="858" spans="1:7" x14ac:dyDescent="0.3">
      <c r="A858" s="172" t="s">
        <v>2651</v>
      </c>
      <c r="B858" s="115" t="s">
        <v>2652</v>
      </c>
      <c r="C858" s="116">
        <v>0</v>
      </c>
      <c r="E858" s="154"/>
      <c r="F858" s="154"/>
      <c r="G858" s="154"/>
    </row>
    <row r="859" spans="1:7" x14ac:dyDescent="0.3">
      <c r="A859" s="172" t="s">
        <v>2653</v>
      </c>
      <c r="B859" s="115" t="s">
        <v>2654</v>
      </c>
      <c r="C859" s="116">
        <v>0</v>
      </c>
      <c r="E859" s="154"/>
      <c r="F859" s="154"/>
      <c r="G859" s="154"/>
    </row>
    <row r="860" spans="1:7" x14ac:dyDescent="0.3">
      <c r="A860" s="172" t="s">
        <v>2655</v>
      </c>
      <c r="B860" s="115" t="s">
        <v>2656</v>
      </c>
      <c r="C860" s="116">
        <v>0</v>
      </c>
      <c r="E860" s="154"/>
      <c r="F860" s="154"/>
      <c r="G860" s="154"/>
    </row>
    <row r="861" spans="1:7" x14ac:dyDescent="0.3">
      <c r="A861" s="172" t="s">
        <v>2657</v>
      </c>
      <c r="B861" s="115" t="s">
        <v>2658</v>
      </c>
      <c r="C861" s="116">
        <v>0</v>
      </c>
      <c r="E861" s="154"/>
      <c r="F861" s="154"/>
      <c r="G861" s="154"/>
    </row>
    <row r="862" spans="1:7" x14ac:dyDescent="0.3">
      <c r="A862" s="172" t="s">
        <v>2659</v>
      </c>
      <c r="B862" s="115" t="s">
        <v>2660</v>
      </c>
      <c r="C862" s="116">
        <v>0</v>
      </c>
      <c r="E862" s="154"/>
      <c r="F862" s="154"/>
      <c r="G862" s="154"/>
    </row>
    <row r="863" spans="1:7" x14ac:dyDescent="0.3">
      <c r="A863" s="172" t="s">
        <v>2661</v>
      </c>
      <c r="B863" s="115" t="s">
        <v>2662</v>
      </c>
      <c r="C863" s="116">
        <v>0</v>
      </c>
      <c r="E863" s="154"/>
      <c r="F863" s="154"/>
      <c r="G863" s="154"/>
    </row>
    <row r="864" spans="1:7" x14ac:dyDescent="0.3">
      <c r="A864" s="172" t="s">
        <v>2663</v>
      </c>
      <c r="B864" s="115" t="s">
        <v>2664</v>
      </c>
      <c r="C864" s="116">
        <v>0</v>
      </c>
      <c r="E864" s="154"/>
      <c r="F864" s="154"/>
      <c r="G864" s="154"/>
    </row>
    <row r="865" spans="1:7" x14ac:dyDescent="0.3">
      <c r="A865" s="172" t="s">
        <v>2665</v>
      </c>
      <c r="B865" s="115" t="s">
        <v>2666</v>
      </c>
      <c r="C865" s="116">
        <v>0</v>
      </c>
      <c r="E865" s="154"/>
      <c r="F865" s="154"/>
      <c r="G865" s="154"/>
    </row>
    <row r="866" spans="1:7" x14ac:dyDescent="0.3">
      <c r="A866" s="172" t="s">
        <v>2667</v>
      </c>
      <c r="B866" s="115" t="s">
        <v>2668</v>
      </c>
      <c r="C866" s="116">
        <v>0</v>
      </c>
      <c r="E866" s="154"/>
      <c r="F866" s="154"/>
      <c r="G866" s="154"/>
    </row>
    <row r="867" spans="1:7" x14ac:dyDescent="0.3">
      <c r="A867" s="172" t="s">
        <v>2669</v>
      </c>
      <c r="B867" s="115" t="s">
        <v>2670</v>
      </c>
      <c r="C867" s="116">
        <v>0</v>
      </c>
      <c r="E867" s="154"/>
      <c r="F867" s="154"/>
      <c r="G867" s="154"/>
    </row>
    <row r="868" spans="1:7" x14ac:dyDescent="0.3">
      <c r="A868" s="172" t="s">
        <v>911</v>
      </c>
      <c r="B868" s="115" t="s">
        <v>2671</v>
      </c>
      <c r="C868" s="116">
        <v>0</v>
      </c>
      <c r="E868" s="154"/>
      <c r="F868" s="154"/>
      <c r="G868" s="154"/>
    </row>
    <row r="869" spans="1:7" x14ac:dyDescent="0.3">
      <c r="A869" s="172" t="s">
        <v>2672</v>
      </c>
      <c r="B869" s="115" t="s">
        <v>2673</v>
      </c>
      <c r="C869" s="116">
        <v>0</v>
      </c>
      <c r="E869" s="154"/>
      <c r="F869" s="154"/>
      <c r="G869" s="154"/>
    </row>
    <row r="870" spans="1:7" x14ac:dyDescent="0.3">
      <c r="A870" s="172" t="s">
        <v>2674</v>
      </c>
      <c r="B870" s="115" t="s">
        <v>2675</v>
      </c>
      <c r="C870" s="116">
        <v>0</v>
      </c>
      <c r="E870" s="154"/>
      <c r="F870" s="154"/>
      <c r="G870" s="154"/>
    </row>
    <row r="871" spans="1:7" x14ac:dyDescent="0.3">
      <c r="A871" s="172" t="s">
        <v>2676</v>
      </c>
      <c r="B871" s="115" t="s">
        <v>2677</v>
      </c>
      <c r="C871" s="116">
        <v>0</v>
      </c>
      <c r="E871" s="154"/>
      <c r="F871" s="154"/>
      <c r="G871" s="154"/>
    </row>
    <row r="872" spans="1:7" x14ac:dyDescent="0.3">
      <c r="A872" s="172" t="s">
        <v>2678</v>
      </c>
      <c r="B872" s="115" t="s">
        <v>2679</v>
      </c>
      <c r="C872" s="116">
        <v>0</v>
      </c>
      <c r="E872" s="154"/>
      <c r="F872" s="154"/>
      <c r="G872" s="154"/>
    </row>
    <row r="873" spans="1:7" x14ac:dyDescent="0.3">
      <c r="A873" s="172" t="s">
        <v>2680</v>
      </c>
      <c r="B873" s="115" t="s">
        <v>2681</v>
      </c>
      <c r="C873" s="116">
        <v>0</v>
      </c>
      <c r="E873" s="154"/>
      <c r="F873" s="154"/>
      <c r="G873" s="154"/>
    </row>
    <row r="874" spans="1:7" x14ac:dyDescent="0.3">
      <c r="A874" s="172" t="s">
        <v>2682</v>
      </c>
      <c r="B874" s="115" t="s">
        <v>2683</v>
      </c>
      <c r="C874" s="116">
        <v>0</v>
      </c>
      <c r="E874" s="154"/>
      <c r="F874" s="154"/>
      <c r="G874" s="154"/>
    </row>
    <row r="875" spans="1:7" x14ac:dyDescent="0.3">
      <c r="A875" s="172" t="s">
        <v>2684</v>
      </c>
      <c r="B875" s="115" t="s">
        <v>2685</v>
      </c>
      <c r="C875" s="116">
        <v>13896.09</v>
      </c>
      <c r="E875" s="154"/>
      <c r="F875" s="154"/>
      <c r="G875" s="154"/>
    </row>
    <row r="876" spans="1:7" x14ac:dyDescent="0.3">
      <c r="A876" s="172" t="s">
        <v>2686</v>
      </c>
      <c r="B876" s="115" t="s">
        <v>2687</v>
      </c>
      <c r="C876" s="116">
        <v>0</v>
      </c>
      <c r="E876" s="154"/>
      <c r="F876" s="154"/>
      <c r="G876" s="154"/>
    </row>
    <row r="877" spans="1:7" x14ac:dyDescent="0.3">
      <c r="A877" s="172" t="s">
        <v>2688</v>
      </c>
      <c r="B877" s="115" t="s">
        <v>2689</v>
      </c>
      <c r="C877" s="116">
        <v>50060</v>
      </c>
      <c r="E877" s="154"/>
      <c r="F877" s="154"/>
      <c r="G877" s="154"/>
    </row>
    <row r="878" spans="1:7" x14ac:dyDescent="0.3">
      <c r="A878" s="172" t="s">
        <v>2690</v>
      </c>
      <c r="B878" s="115" t="s">
        <v>2691</v>
      </c>
      <c r="C878" s="116">
        <v>0</v>
      </c>
      <c r="E878" s="154"/>
      <c r="F878" s="154"/>
      <c r="G878" s="154"/>
    </row>
    <row r="879" spans="1:7" x14ac:dyDescent="0.3">
      <c r="A879" s="172" t="s">
        <v>2692</v>
      </c>
      <c r="B879" s="115" t="s">
        <v>2693</v>
      </c>
      <c r="C879" s="116">
        <v>9500</v>
      </c>
      <c r="E879" s="154"/>
      <c r="F879" s="154"/>
      <c r="G879" s="154"/>
    </row>
    <row r="880" spans="1:7" x14ac:dyDescent="0.3">
      <c r="A880" s="172" t="s">
        <v>881</v>
      </c>
      <c r="B880" s="115" t="s">
        <v>882</v>
      </c>
      <c r="C880" s="116">
        <v>-9131443.9000000004</v>
      </c>
      <c r="E880" s="154"/>
      <c r="F880" s="154"/>
      <c r="G880" s="154"/>
    </row>
    <row r="881" spans="1:7" x14ac:dyDescent="0.3">
      <c r="A881" s="172" t="s">
        <v>2694</v>
      </c>
      <c r="B881" s="115" t="s">
        <v>2695</v>
      </c>
      <c r="C881" s="116">
        <v>-26580036.600000001</v>
      </c>
      <c r="E881" s="154"/>
      <c r="F881" s="154"/>
      <c r="G881" s="154"/>
    </row>
    <row r="882" spans="1:7" x14ac:dyDescent="0.3">
      <c r="A882" s="172" t="s">
        <v>2696</v>
      </c>
      <c r="B882" s="115" t="s">
        <v>2697</v>
      </c>
      <c r="C882" s="116">
        <v>341529</v>
      </c>
      <c r="E882" s="154"/>
      <c r="F882" s="154"/>
      <c r="G882" s="154"/>
    </row>
    <row r="883" spans="1:7" x14ac:dyDescent="0.3">
      <c r="A883" s="172" t="s">
        <v>2698</v>
      </c>
      <c r="B883" s="115" t="s">
        <v>2699</v>
      </c>
      <c r="C883" s="116">
        <v>0</v>
      </c>
      <c r="E883" s="154"/>
      <c r="F883" s="154"/>
      <c r="G883" s="154"/>
    </row>
    <row r="884" spans="1:7" x14ac:dyDescent="0.3">
      <c r="A884" s="172" t="s">
        <v>2700</v>
      </c>
      <c r="B884" s="115" t="s">
        <v>2701</v>
      </c>
      <c r="C884" s="116">
        <v>209565.7</v>
      </c>
      <c r="E884" s="154"/>
      <c r="F884" s="154"/>
      <c r="G884" s="154"/>
    </row>
    <row r="885" spans="1:7" x14ac:dyDescent="0.3">
      <c r="A885" s="172" t="s">
        <v>2702</v>
      </c>
      <c r="B885" s="115" t="s">
        <v>2703</v>
      </c>
      <c r="C885" s="116">
        <v>168880</v>
      </c>
      <c r="E885" s="154"/>
      <c r="F885" s="154"/>
      <c r="G885" s="154"/>
    </row>
    <row r="886" spans="1:7" x14ac:dyDescent="0.3">
      <c r="A886" s="172" t="s">
        <v>2704</v>
      </c>
      <c r="B886" s="115" t="s">
        <v>2705</v>
      </c>
      <c r="C886" s="116">
        <v>52300</v>
      </c>
      <c r="E886" s="154"/>
      <c r="F886" s="154"/>
      <c r="G886" s="154"/>
    </row>
    <row r="887" spans="1:7" x14ac:dyDescent="0.3">
      <c r="A887" s="172" t="s">
        <v>2706</v>
      </c>
      <c r="B887" s="115" t="s">
        <v>2707</v>
      </c>
      <c r="C887" s="116">
        <v>12421310.67</v>
      </c>
      <c r="E887" s="154"/>
      <c r="F887" s="154"/>
      <c r="G887" s="154"/>
    </row>
    <row r="888" spans="1:7" x14ac:dyDescent="0.3">
      <c r="A888" s="172" t="s">
        <v>706</v>
      </c>
      <c r="B888" s="115" t="s">
        <v>707</v>
      </c>
      <c r="C888" s="116">
        <v>-45401561.640000001</v>
      </c>
      <c r="E888" s="154"/>
      <c r="F888" s="154"/>
      <c r="G888" s="154"/>
    </row>
    <row r="889" spans="1:7" x14ac:dyDescent="0.3">
      <c r="A889" s="172" t="s">
        <v>2708</v>
      </c>
      <c r="B889" s="115" t="s">
        <v>2709</v>
      </c>
      <c r="C889" s="116">
        <v>774898.87</v>
      </c>
      <c r="E889" s="154"/>
      <c r="F889" s="154"/>
      <c r="G889" s="154"/>
    </row>
    <row r="890" spans="1:7" x14ac:dyDescent="0.3">
      <c r="A890" s="172" t="s">
        <v>2710</v>
      </c>
      <c r="B890" s="115" t="s">
        <v>2711</v>
      </c>
      <c r="C890" s="116">
        <v>111138.55</v>
      </c>
      <c r="E890" s="154"/>
      <c r="F890" s="154"/>
      <c r="G890" s="154"/>
    </row>
    <row r="891" spans="1:7" x14ac:dyDescent="0.3">
      <c r="A891" s="172" t="s">
        <v>2712</v>
      </c>
      <c r="B891" s="115" t="s">
        <v>2713</v>
      </c>
      <c r="C891" s="116">
        <v>434850</v>
      </c>
      <c r="E891" s="154"/>
      <c r="F891" s="154"/>
      <c r="G891" s="154"/>
    </row>
    <row r="892" spans="1:7" x14ac:dyDescent="0.3">
      <c r="A892" s="172" t="s">
        <v>2714</v>
      </c>
      <c r="B892" s="115" t="s">
        <v>2715</v>
      </c>
      <c r="C892" s="116">
        <v>97541.23</v>
      </c>
      <c r="E892" s="154"/>
      <c r="F892" s="154"/>
      <c r="G892" s="154"/>
    </row>
    <row r="893" spans="1:7" x14ac:dyDescent="0.3">
      <c r="A893" s="172" t="s">
        <v>2716</v>
      </c>
      <c r="B893" s="115" t="s">
        <v>2717</v>
      </c>
      <c r="C893" s="116">
        <v>187630</v>
      </c>
      <c r="E893" s="154"/>
      <c r="F893" s="154"/>
      <c r="G893" s="154"/>
    </row>
    <row r="894" spans="1:7" x14ac:dyDescent="0.3">
      <c r="A894" s="172" t="s">
        <v>2718</v>
      </c>
      <c r="B894" s="115" t="s">
        <v>2719</v>
      </c>
      <c r="C894" s="116">
        <v>40400</v>
      </c>
      <c r="E894" s="154"/>
      <c r="F894" s="154"/>
      <c r="G894" s="154"/>
    </row>
    <row r="895" spans="1:7" x14ac:dyDescent="0.3">
      <c r="A895" s="172" t="s">
        <v>2720</v>
      </c>
      <c r="B895" s="115" t="s">
        <v>2721</v>
      </c>
      <c r="C895" s="116">
        <v>15833333.35</v>
      </c>
      <c r="E895" s="154"/>
      <c r="F895" s="154"/>
      <c r="G895" s="154"/>
    </row>
    <row r="896" spans="1:7" x14ac:dyDescent="0.3">
      <c r="A896" s="172" t="s">
        <v>2722</v>
      </c>
      <c r="B896" s="115" t="s">
        <v>2723</v>
      </c>
      <c r="C896" s="116">
        <v>128635</v>
      </c>
      <c r="E896" s="154"/>
      <c r="F896" s="154"/>
      <c r="G896" s="154"/>
    </row>
    <row r="897" spans="1:7" x14ac:dyDescent="0.3">
      <c r="A897" s="172" t="s">
        <v>2724</v>
      </c>
      <c r="B897" s="115" t="s">
        <v>2725</v>
      </c>
      <c r="C897" s="116">
        <v>62821886.799999997</v>
      </c>
      <c r="E897" s="154"/>
      <c r="F897" s="154"/>
      <c r="G897" s="154"/>
    </row>
    <row r="898" spans="1:7" x14ac:dyDescent="0.3">
      <c r="A898" s="172" t="s">
        <v>2726</v>
      </c>
      <c r="B898" s="115" t="s">
        <v>2727</v>
      </c>
      <c r="C898" s="116">
        <v>929394.5</v>
      </c>
      <c r="E898" s="154"/>
      <c r="F898" s="154"/>
      <c r="G898" s="154"/>
    </row>
    <row r="899" spans="1:7" x14ac:dyDescent="0.3">
      <c r="A899" s="172" t="s">
        <v>1058</v>
      </c>
      <c r="B899" s="115" t="s">
        <v>1059</v>
      </c>
      <c r="C899" s="116">
        <v>-1247375.1200000001</v>
      </c>
      <c r="E899" s="154"/>
      <c r="F899" s="154"/>
      <c r="G899" s="154"/>
    </row>
    <row r="900" spans="1:7" x14ac:dyDescent="0.3">
      <c r="A900" s="172" t="s">
        <v>2728</v>
      </c>
      <c r="B900" s="115" t="s">
        <v>2729</v>
      </c>
      <c r="C900" s="116">
        <v>269685.93</v>
      </c>
      <c r="E900" s="154"/>
      <c r="F900" s="154"/>
      <c r="G900" s="154"/>
    </row>
    <row r="901" spans="1:7" x14ac:dyDescent="0.3">
      <c r="A901" s="172" t="s">
        <v>1036</v>
      </c>
      <c r="B901" s="115" t="s">
        <v>1037</v>
      </c>
      <c r="C901" s="116">
        <v>-66667238.509999998</v>
      </c>
      <c r="E901" s="154"/>
      <c r="F901" s="154"/>
      <c r="G901" s="154"/>
    </row>
    <row r="902" spans="1:7" x14ac:dyDescent="0.3">
      <c r="A902" s="172" t="s">
        <v>2730</v>
      </c>
      <c r="B902" s="115" t="s">
        <v>2731</v>
      </c>
      <c r="C902" s="116">
        <v>87389.71</v>
      </c>
      <c r="E902" s="154"/>
      <c r="F902" s="154"/>
      <c r="G902" s="154"/>
    </row>
    <row r="903" spans="1:7" x14ac:dyDescent="0.3">
      <c r="A903" s="172" t="s">
        <v>1034</v>
      </c>
      <c r="B903" s="115" t="s">
        <v>1035</v>
      </c>
      <c r="C903" s="116">
        <v>-6040225.2400000002</v>
      </c>
      <c r="E903" s="154"/>
      <c r="F903" s="154"/>
      <c r="G903" s="154"/>
    </row>
    <row r="904" spans="1:7" x14ac:dyDescent="0.3">
      <c r="A904" s="172" t="s">
        <v>2732</v>
      </c>
      <c r="B904" s="115" t="s">
        <v>2733</v>
      </c>
      <c r="C904" s="116">
        <v>716074.9</v>
      </c>
      <c r="E904" s="154"/>
      <c r="F904" s="154"/>
      <c r="G904" s="154"/>
    </row>
    <row r="905" spans="1:7" x14ac:dyDescent="0.3">
      <c r="A905" s="172" t="s">
        <v>2734</v>
      </c>
      <c r="B905" s="115" t="s">
        <v>2735</v>
      </c>
      <c r="C905" s="116">
        <v>111138.55</v>
      </c>
      <c r="E905" s="154"/>
      <c r="F905" s="154"/>
      <c r="G905" s="154"/>
    </row>
    <row r="906" spans="1:7" x14ac:dyDescent="0.3">
      <c r="A906" s="172" t="s">
        <v>2736</v>
      </c>
      <c r="B906" s="115" t="s">
        <v>2737</v>
      </c>
      <c r="C906" s="116">
        <v>60170</v>
      </c>
      <c r="E906" s="154"/>
      <c r="F906" s="154"/>
      <c r="G906" s="154"/>
    </row>
    <row r="907" spans="1:7" x14ac:dyDescent="0.3">
      <c r="A907" s="172" t="s">
        <v>2738</v>
      </c>
      <c r="B907" s="115" t="s">
        <v>2739</v>
      </c>
      <c r="C907" s="116">
        <v>520335.69</v>
      </c>
      <c r="E907" s="154"/>
      <c r="F907" s="154"/>
      <c r="G907" s="154"/>
    </row>
    <row r="908" spans="1:7" x14ac:dyDescent="0.3">
      <c r="A908" s="172" t="s">
        <v>2740</v>
      </c>
      <c r="B908" s="115" t="s">
        <v>2741</v>
      </c>
      <c r="C908" s="116">
        <v>207381.89</v>
      </c>
      <c r="E908" s="154"/>
      <c r="F908" s="154"/>
      <c r="G908" s="154"/>
    </row>
    <row r="909" spans="1:7" x14ac:dyDescent="0.3">
      <c r="A909" s="172" t="s">
        <v>2742</v>
      </c>
      <c r="B909" s="115" t="s">
        <v>2743</v>
      </c>
      <c r="C909" s="116">
        <v>216490</v>
      </c>
      <c r="E909" s="154"/>
      <c r="F909" s="154"/>
      <c r="G909" s="154"/>
    </row>
    <row r="910" spans="1:7" x14ac:dyDescent="0.3">
      <c r="A910" s="172" t="s">
        <v>2744</v>
      </c>
      <c r="B910" s="115" t="s">
        <v>2745</v>
      </c>
      <c r="C910" s="116">
        <v>-16931</v>
      </c>
      <c r="E910" s="154"/>
      <c r="F910" s="154"/>
      <c r="G910" s="154"/>
    </row>
    <row r="911" spans="1:7" x14ac:dyDescent="0.3">
      <c r="A911" s="172" t="s">
        <v>2746</v>
      </c>
      <c r="B911" s="115" t="s">
        <v>2747</v>
      </c>
      <c r="C911" s="116">
        <v>84962.25</v>
      </c>
      <c r="E911" s="154"/>
      <c r="F911" s="154"/>
      <c r="G911" s="154"/>
    </row>
    <row r="912" spans="1:7" x14ac:dyDescent="0.3">
      <c r="A912" s="172" t="s">
        <v>2748</v>
      </c>
      <c r="B912" s="115" t="s">
        <v>2749</v>
      </c>
      <c r="C912" s="116">
        <v>16474.8</v>
      </c>
      <c r="E912" s="154"/>
      <c r="F912" s="154"/>
      <c r="G912" s="154"/>
    </row>
    <row r="913" spans="1:7" x14ac:dyDescent="0.3">
      <c r="A913" s="172" t="s">
        <v>2750</v>
      </c>
      <c r="B913" s="115" t="s">
        <v>2751</v>
      </c>
      <c r="C913" s="116">
        <v>69480</v>
      </c>
      <c r="E913" s="154"/>
      <c r="F913" s="154"/>
      <c r="G913" s="154"/>
    </row>
    <row r="914" spans="1:7" x14ac:dyDescent="0.3">
      <c r="A914" s="172" t="s">
        <v>2752</v>
      </c>
      <c r="B914" s="115" t="s">
        <v>2753</v>
      </c>
      <c r="C914" s="116">
        <v>9000</v>
      </c>
      <c r="E914" s="154"/>
      <c r="F914" s="154"/>
      <c r="G914" s="154"/>
    </row>
    <row r="915" spans="1:7" x14ac:dyDescent="0.3">
      <c r="A915" s="172" t="s">
        <v>2754</v>
      </c>
      <c r="B915" s="115" t="s">
        <v>2755</v>
      </c>
      <c r="C915" s="116">
        <v>0</v>
      </c>
      <c r="E915" s="154"/>
      <c r="F915" s="154"/>
      <c r="G915" s="154"/>
    </row>
    <row r="916" spans="1:7" x14ac:dyDescent="0.3">
      <c r="A916" s="172" t="s">
        <v>2756</v>
      </c>
      <c r="B916" s="115" t="s">
        <v>2757</v>
      </c>
      <c r="C916" s="116">
        <v>0</v>
      </c>
      <c r="E916" s="154"/>
      <c r="F916" s="154"/>
      <c r="G916" s="154"/>
    </row>
    <row r="917" spans="1:7" x14ac:dyDescent="0.3">
      <c r="A917" s="172" t="s">
        <v>2758</v>
      </c>
      <c r="B917" s="115" t="s">
        <v>2759</v>
      </c>
      <c r="C917" s="116">
        <v>0</v>
      </c>
      <c r="E917" s="154"/>
      <c r="F917" s="154"/>
      <c r="G917" s="154"/>
    </row>
    <row r="918" spans="1:7" x14ac:dyDescent="0.3">
      <c r="A918" s="172" t="s">
        <v>2760</v>
      </c>
      <c r="B918" s="115" t="s">
        <v>2761</v>
      </c>
      <c r="C918" s="116">
        <v>93909.89</v>
      </c>
      <c r="E918" s="154"/>
      <c r="F918" s="154"/>
      <c r="G918" s="154"/>
    </row>
    <row r="919" spans="1:7" x14ac:dyDescent="0.3">
      <c r="A919" s="172" t="s">
        <v>2762</v>
      </c>
      <c r="B919" s="115" t="s">
        <v>2763</v>
      </c>
      <c r="C919" s="116">
        <v>0</v>
      </c>
      <c r="E919" s="154"/>
      <c r="F919" s="154"/>
      <c r="G919" s="154"/>
    </row>
    <row r="920" spans="1:7" x14ac:dyDescent="0.3">
      <c r="A920" s="172" t="s">
        <v>2764</v>
      </c>
      <c r="B920" s="115" t="s">
        <v>2765</v>
      </c>
      <c r="C920" s="116">
        <v>225000.2</v>
      </c>
      <c r="E920" s="154"/>
      <c r="F920" s="154"/>
      <c r="G920" s="154"/>
    </row>
    <row r="921" spans="1:7" x14ac:dyDescent="0.3">
      <c r="A921" s="172" t="s">
        <v>2766</v>
      </c>
      <c r="B921" s="115" t="s">
        <v>2767</v>
      </c>
      <c r="C921" s="116">
        <v>-654266972.27999997</v>
      </c>
      <c r="E921" s="154"/>
      <c r="F921" s="154"/>
      <c r="G921" s="154"/>
    </row>
    <row r="922" spans="1:7" x14ac:dyDescent="0.3">
      <c r="A922" s="172" t="s">
        <v>2768</v>
      </c>
      <c r="B922" s="115" t="s">
        <v>2769</v>
      </c>
      <c r="C922" s="116">
        <v>113337.78</v>
      </c>
      <c r="E922" s="154"/>
      <c r="F922" s="154"/>
      <c r="G922" s="154"/>
    </row>
    <row r="923" spans="1:7" x14ac:dyDescent="0.3">
      <c r="A923" s="172" t="s">
        <v>2770</v>
      </c>
      <c r="B923" s="115" t="s">
        <v>2771</v>
      </c>
      <c r="C923" s="116">
        <v>0</v>
      </c>
      <c r="E923" s="154"/>
      <c r="F923" s="154"/>
      <c r="G923" s="154"/>
    </row>
    <row r="924" spans="1:7" x14ac:dyDescent="0.3">
      <c r="A924" s="172" t="s">
        <v>2772</v>
      </c>
      <c r="B924" s="115" t="s">
        <v>2773</v>
      </c>
      <c r="C924" s="116">
        <v>0</v>
      </c>
      <c r="E924" s="154"/>
      <c r="F924" s="154"/>
      <c r="G924" s="154"/>
    </row>
    <row r="925" spans="1:7" x14ac:dyDescent="0.3">
      <c r="A925" s="172" t="s">
        <v>2774</v>
      </c>
      <c r="B925" s="115" t="s">
        <v>2775</v>
      </c>
      <c r="C925" s="116">
        <v>0</v>
      </c>
      <c r="E925" s="154"/>
      <c r="F925" s="154"/>
      <c r="G925" s="154"/>
    </row>
    <row r="926" spans="1:7" x14ac:dyDescent="0.3">
      <c r="A926" s="172" t="s">
        <v>2776</v>
      </c>
      <c r="B926" s="115" t="s">
        <v>2777</v>
      </c>
      <c r="C926" s="116">
        <v>0</v>
      </c>
      <c r="E926" s="154"/>
      <c r="F926" s="154"/>
      <c r="G926" s="154"/>
    </row>
    <row r="927" spans="1:7" x14ac:dyDescent="0.3">
      <c r="A927" s="172" t="s">
        <v>2778</v>
      </c>
      <c r="B927" s="115" t="s">
        <v>2779</v>
      </c>
      <c r="C927" s="116">
        <v>0</v>
      </c>
      <c r="E927" s="154"/>
      <c r="F927" s="154"/>
      <c r="G927" s="154"/>
    </row>
    <row r="928" spans="1:7" x14ac:dyDescent="0.3">
      <c r="A928" s="172" t="s">
        <v>2780</v>
      </c>
      <c r="B928" s="115" t="s">
        <v>2781</v>
      </c>
      <c r="C928" s="116">
        <v>6400</v>
      </c>
      <c r="E928" s="154"/>
      <c r="F928" s="154"/>
      <c r="G928" s="154"/>
    </row>
    <row r="929" spans="1:7" x14ac:dyDescent="0.3">
      <c r="A929" s="172" t="s">
        <v>2782</v>
      </c>
      <c r="B929" s="115" t="s">
        <v>2783</v>
      </c>
      <c r="C929" s="116">
        <v>8525</v>
      </c>
      <c r="E929" s="154"/>
      <c r="F929" s="154"/>
      <c r="G929" s="154"/>
    </row>
    <row r="930" spans="1:7" x14ac:dyDescent="0.3">
      <c r="A930" s="172" t="s">
        <v>2784</v>
      </c>
      <c r="B930" s="115" t="s">
        <v>2785</v>
      </c>
      <c r="C930" s="116">
        <v>-2740250.23</v>
      </c>
      <c r="E930" s="154"/>
      <c r="F930" s="154"/>
      <c r="G930" s="154"/>
    </row>
    <row r="931" spans="1:7" x14ac:dyDescent="0.3">
      <c r="A931" s="172" t="s">
        <v>2786</v>
      </c>
      <c r="B931" s="115" t="s">
        <v>2787</v>
      </c>
      <c r="C931" s="116">
        <v>57155</v>
      </c>
      <c r="E931" s="154"/>
      <c r="F931" s="154"/>
      <c r="G931" s="154"/>
    </row>
    <row r="932" spans="1:7" x14ac:dyDescent="0.3">
      <c r="A932" s="172" t="s">
        <v>680</v>
      </c>
      <c r="B932" s="115" t="s">
        <v>681</v>
      </c>
      <c r="C932" s="116">
        <v>0.04</v>
      </c>
      <c r="E932" s="154"/>
      <c r="F932" s="154"/>
      <c r="G932" s="154"/>
    </row>
    <row r="933" spans="1:7" x14ac:dyDescent="0.3">
      <c r="A933" s="172" t="s">
        <v>2788</v>
      </c>
      <c r="B933" s="115" t="s">
        <v>2789</v>
      </c>
      <c r="C933" s="116">
        <v>77877</v>
      </c>
      <c r="E933" s="154"/>
      <c r="F933" s="154"/>
      <c r="G933" s="154"/>
    </row>
    <row r="934" spans="1:7" x14ac:dyDescent="0.3">
      <c r="A934" s="172" t="s">
        <v>2790</v>
      </c>
      <c r="B934" s="115" t="s">
        <v>2791</v>
      </c>
      <c r="C934" s="116">
        <v>3430</v>
      </c>
      <c r="E934" s="154"/>
      <c r="F934" s="154"/>
      <c r="G934" s="154"/>
    </row>
    <row r="935" spans="1:7" x14ac:dyDescent="0.3">
      <c r="A935" s="172" t="s">
        <v>2792</v>
      </c>
      <c r="B935" s="115" t="s">
        <v>2793</v>
      </c>
      <c r="C935" s="116">
        <v>0</v>
      </c>
      <c r="E935" s="154"/>
      <c r="F935" s="154"/>
      <c r="G935" s="154"/>
    </row>
    <row r="936" spans="1:7" x14ac:dyDescent="0.3">
      <c r="A936" s="172" t="s">
        <v>743</v>
      </c>
      <c r="B936" s="115" t="s">
        <v>744</v>
      </c>
      <c r="C936" s="116">
        <v>0</v>
      </c>
      <c r="E936" s="154"/>
      <c r="F936" s="154"/>
      <c r="G936" s="154"/>
    </row>
    <row r="937" spans="1:7" x14ac:dyDescent="0.3">
      <c r="A937" s="172" t="s">
        <v>2794</v>
      </c>
      <c r="B937" s="115" t="s">
        <v>2795</v>
      </c>
      <c r="C937" s="116">
        <v>0</v>
      </c>
      <c r="E937" s="154"/>
      <c r="F937" s="154"/>
      <c r="G937" s="154"/>
    </row>
    <row r="938" spans="1:7" x14ac:dyDescent="0.3">
      <c r="A938" s="172" t="s">
        <v>2796</v>
      </c>
      <c r="B938" s="115" t="s">
        <v>2797</v>
      </c>
      <c r="C938" s="116">
        <v>0</v>
      </c>
      <c r="E938" s="154"/>
      <c r="F938" s="154"/>
      <c r="G938" s="154"/>
    </row>
    <row r="939" spans="1:7" x14ac:dyDescent="0.3">
      <c r="A939" s="172" t="s">
        <v>2798</v>
      </c>
      <c r="B939" s="115" t="s">
        <v>2799</v>
      </c>
      <c r="C939" s="116">
        <v>0</v>
      </c>
      <c r="E939" s="154"/>
      <c r="F939" s="154"/>
      <c r="G939" s="154"/>
    </row>
    <row r="940" spans="1:7" x14ac:dyDescent="0.3">
      <c r="A940" s="172" t="s">
        <v>2800</v>
      </c>
      <c r="B940" s="115" t="s">
        <v>2801</v>
      </c>
      <c r="C940" s="116">
        <v>0</v>
      </c>
      <c r="E940" s="154"/>
      <c r="F940" s="154"/>
      <c r="G940" s="154"/>
    </row>
    <row r="941" spans="1:7" x14ac:dyDescent="0.3">
      <c r="A941" s="172" t="s">
        <v>2802</v>
      </c>
      <c r="B941" s="115" t="s">
        <v>2803</v>
      </c>
      <c r="C941" s="116">
        <v>0</v>
      </c>
      <c r="E941" s="154"/>
      <c r="F941" s="154"/>
      <c r="G941" s="154"/>
    </row>
    <row r="942" spans="1:7" x14ac:dyDescent="0.3">
      <c r="A942" s="172" t="s">
        <v>2804</v>
      </c>
      <c r="B942" s="115" t="s">
        <v>2805</v>
      </c>
      <c r="C942" s="116">
        <v>0</v>
      </c>
      <c r="E942" s="154"/>
      <c r="F942" s="154"/>
      <c r="G942" s="154"/>
    </row>
    <row r="943" spans="1:7" x14ac:dyDescent="0.3">
      <c r="A943" s="172" t="s">
        <v>2806</v>
      </c>
      <c r="B943" s="115" t="s">
        <v>2807</v>
      </c>
      <c r="C943" s="116">
        <v>0</v>
      </c>
      <c r="E943" s="154"/>
      <c r="F943" s="154"/>
      <c r="G943" s="154"/>
    </row>
    <row r="944" spans="1:7" x14ac:dyDescent="0.3">
      <c r="A944" s="172" t="s">
        <v>2808</v>
      </c>
      <c r="B944" s="115" t="s">
        <v>2809</v>
      </c>
      <c r="C944" s="116">
        <v>0</v>
      </c>
      <c r="E944" s="154"/>
      <c r="F944" s="154"/>
      <c r="G944" s="154"/>
    </row>
    <row r="945" spans="1:7" x14ac:dyDescent="0.3">
      <c r="A945" s="172" t="s">
        <v>2810</v>
      </c>
      <c r="B945" s="115" t="s">
        <v>2811</v>
      </c>
      <c r="C945" s="116">
        <v>0</v>
      </c>
      <c r="E945" s="154"/>
      <c r="F945" s="154"/>
      <c r="G945" s="154"/>
    </row>
    <row r="946" spans="1:7" x14ac:dyDescent="0.3">
      <c r="A946" s="172" t="s">
        <v>2812</v>
      </c>
      <c r="B946" s="115" t="s">
        <v>2813</v>
      </c>
      <c r="C946" s="116">
        <v>0</v>
      </c>
      <c r="E946" s="154"/>
      <c r="F946" s="154"/>
      <c r="G946" s="154"/>
    </row>
    <row r="947" spans="1:7" x14ac:dyDescent="0.3">
      <c r="A947" s="172" t="s">
        <v>2814</v>
      </c>
      <c r="B947" s="115" t="s">
        <v>2815</v>
      </c>
      <c r="C947" s="116">
        <v>0</v>
      </c>
      <c r="E947" s="154"/>
      <c r="F947" s="154"/>
      <c r="G947" s="154"/>
    </row>
    <row r="948" spans="1:7" x14ac:dyDescent="0.3">
      <c r="A948" s="172" t="s">
        <v>2816</v>
      </c>
      <c r="B948" s="115" t="s">
        <v>2817</v>
      </c>
      <c r="C948" s="116">
        <v>0</v>
      </c>
      <c r="E948" s="154"/>
      <c r="F948" s="154"/>
      <c r="G948" s="154"/>
    </row>
    <row r="949" spans="1:7" x14ac:dyDescent="0.3">
      <c r="A949" s="172" t="s">
        <v>2818</v>
      </c>
      <c r="B949" s="115" t="s">
        <v>2819</v>
      </c>
      <c r="C949" s="116">
        <v>0</v>
      </c>
      <c r="E949" s="154"/>
      <c r="F949" s="154"/>
      <c r="G949" s="154"/>
    </row>
    <row r="950" spans="1:7" x14ac:dyDescent="0.3">
      <c r="A950" s="172" t="s">
        <v>2820</v>
      </c>
      <c r="B950" s="115" t="s">
        <v>2821</v>
      </c>
      <c r="C950" s="116">
        <v>0</v>
      </c>
      <c r="E950" s="154"/>
      <c r="F950" s="154"/>
      <c r="G950" s="154"/>
    </row>
    <row r="951" spans="1:7" x14ac:dyDescent="0.3">
      <c r="A951" s="172" t="s">
        <v>2822</v>
      </c>
      <c r="B951" s="115" t="s">
        <v>2823</v>
      </c>
      <c r="C951" s="116">
        <v>0</v>
      </c>
      <c r="E951" s="154"/>
      <c r="F951" s="154"/>
      <c r="G951" s="154"/>
    </row>
    <row r="952" spans="1:7" x14ac:dyDescent="0.3">
      <c r="A952" s="172" t="s">
        <v>2824</v>
      </c>
      <c r="B952" s="115" t="s">
        <v>2825</v>
      </c>
      <c r="C952" s="116">
        <v>0</v>
      </c>
      <c r="E952" s="154"/>
      <c r="F952" s="154"/>
      <c r="G952" s="154"/>
    </row>
    <row r="953" spans="1:7" x14ac:dyDescent="0.3">
      <c r="A953" s="172" t="s">
        <v>522</v>
      </c>
      <c r="B953" s="115" t="s">
        <v>523</v>
      </c>
      <c r="C953" s="116">
        <v>0</v>
      </c>
      <c r="E953" s="154"/>
      <c r="F953" s="154"/>
      <c r="G953" s="154"/>
    </row>
    <row r="954" spans="1:7" x14ac:dyDescent="0.3">
      <c r="A954" s="172" t="s">
        <v>2826</v>
      </c>
      <c r="B954" s="115" t="s">
        <v>2827</v>
      </c>
      <c r="C954" s="116">
        <v>0</v>
      </c>
      <c r="E954" s="154"/>
      <c r="F954" s="154"/>
      <c r="G954" s="154"/>
    </row>
    <row r="955" spans="1:7" x14ac:dyDescent="0.3">
      <c r="A955" s="172" t="s">
        <v>2828</v>
      </c>
      <c r="B955" s="115" t="s">
        <v>2829</v>
      </c>
      <c r="C955" s="116">
        <v>0</v>
      </c>
      <c r="E955" s="154"/>
      <c r="F955" s="154"/>
      <c r="G955" s="154"/>
    </row>
    <row r="956" spans="1:7" x14ac:dyDescent="0.3">
      <c r="A956" s="172" t="s">
        <v>1024</v>
      </c>
      <c r="B956" s="115" t="s">
        <v>1025</v>
      </c>
      <c r="C956" s="116">
        <v>0</v>
      </c>
      <c r="E956" s="154"/>
      <c r="F956" s="154"/>
      <c r="G956" s="154"/>
    </row>
    <row r="957" spans="1:7" x14ac:dyDescent="0.3">
      <c r="A957" s="172" t="s">
        <v>2830</v>
      </c>
      <c r="B957" s="115" t="s">
        <v>2831</v>
      </c>
      <c r="C957" s="116">
        <v>0</v>
      </c>
      <c r="E957" s="154"/>
      <c r="F957" s="154"/>
      <c r="G957" s="154"/>
    </row>
    <row r="958" spans="1:7" x14ac:dyDescent="0.3">
      <c r="A958" s="172" t="s">
        <v>2832</v>
      </c>
      <c r="B958" s="115" t="s">
        <v>2833</v>
      </c>
      <c r="C958" s="116">
        <v>0</v>
      </c>
      <c r="E958" s="154"/>
      <c r="F958" s="154"/>
      <c r="G958" s="154"/>
    </row>
    <row r="959" spans="1:7" x14ac:dyDescent="0.3">
      <c r="A959" s="172" t="s">
        <v>2834</v>
      </c>
      <c r="B959" s="115" t="s">
        <v>2835</v>
      </c>
      <c r="C959" s="116">
        <v>0</v>
      </c>
      <c r="E959" s="154"/>
      <c r="F959" s="154"/>
      <c r="G959" s="154"/>
    </row>
    <row r="960" spans="1:7" x14ac:dyDescent="0.3">
      <c r="A960" s="172" t="s">
        <v>2836</v>
      </c>
      <c r="B960" s="115" t="s">
        <v>2837</v>
      </c>
      <c r="C960" s="116">
        <v>0</v>
      </c>
      <c r="E960" s="154"/>
      <c r="F960" s="154"/>
      <c r="G960" s="154"/>
    </row>
    <row r="961" spans="1:7" x14ac:dyDescent="0.3">
      <c r="A961" s="172" t="s">
        <v>2838</v>
      </c>
      <c r="B961" s="115" t="s">
        <v>2839</v>
      </c>
      <c r="C961" s="116">
        <v>0</v>
      </c>
      <c r="E961" s="154"/>
      <c r="F961" s="154"/>
      <c r="G961" s="154"/>
    </row>
    <row r="962" spans="1:7" x14ac:dyDescent="0.3">
      <c r="A962" s="172" t="s">
        <v>2840</v>
      </c>
      <c r="B962" s="115" t="s">
        <v>2841</v>
      </c>
      <c r="C962" s="116">
        <v>0</v>
      </c>
      <c r="E962" s="154"/>
      <c r="F962" s="154"/>
      <c r="G962" s="154"/>
    </row>
    <row r="963" spans="1:7" x14ac:dyDescent="0.3">
      <c r="A963" s="172" t="s">
        <v>2842</v>
      </c>
      <c r="B963" s="115" t="s">
        <v>2843</v>
      </c>
      <c r="C963" s="116">
        <v>0</v>
      </c>
      <c r="E963" s="154"/>
      <c r="F963" s="154"/>
      <c r="G963" s="154"/>
    </row>
    <row r="964" spans="1:7" x14ac:dyDescent="0.3">
      <c r="A964" s="172" t="s">
        <v>2844</v>
      </c>
      <c r="B964" s="115" t="s">
        <v>2845</v>
      </c>
      <c r="C964" s="116">
        <v>0</v>
      </c>
      <c r="E964" s="154"/>
      <c r="F964" s="154"/>
      <c r="G964" s="154"/>
    </row>
    <row r="965" spans="1:7" x14ac:dyDescent="0.3">
      <c r="A965" s="172" t="s">
        <v>2846</v>
      </c>
      <c r="B965" s="115" t="s">
        <v>2847</v>
      </c>
      <c r="C965" s="116">
        <v>0</v>
      </c>
      <c r="E965" s="154"/>
      <c r="F965" s="154"/>
      <c r="G965" s="154"/>
    </row>
    <row r="966" spans="1:7" x14ac:dyDescent="0.3">
      <c r="A966" s="172" t="s">
        <v>2848</v>
      </c>
      <c r="B966" s="115" t="s">
        <v>2849</v>
      </c>
      <c r="C966" s="116">
        <v>0.02</v>
      </c>
      <c r="E966" s="154"/>
      <c r="F966" s="154"/>
      <c r="G966" s="154"/>
    </row>
    <row r="967" spans="1:7" x14ac:dyDescent="0.3">
      <c r="A967" s="172" t="s">
        <v>2850</v>
      </c>
      <c r="B967" s="115" t="s">
        <v>2851</v>
      </c>
      <c r="C967" s="116">
        <v>0</v>
      </c>
      <c r="E967" s="154"/>
      <c r="F967" s="154"/>
      <c r="G967" s="154"/>
    </row>
    <row r="968" spans="1:7" x14ac:dyDescent="0.3">
      <c r="A968" s="172" t="s">
        <v>2852</v>
      </c>
      <c r="B968" s="115" t="s">
        <v>2853</v>
      </c>
      <c r="C968" s="116">
        <v>0</v>
      </c>
      <c r="E968" s="154"/>
      <c r="F968" s="154"/>
      <c r="G968" s="154"/>
    </row>
    <row r="969" spans="1:7" x14ac:dyDescent="0.3">
      <c r="A969" s="172" t="s">
        <v>2854</v>
      </c>
      <c r="B969" s="115" t="s">
        <v>2855</v>
      </c>
      <c r="C969" s="116">
        <v>0</v>
      </c>
      <c r="E969" s="154"/>
      <c r="F969" s="154"/>
      <c r="G969" s="154"/>
    </row>
    <row r="970" spans="1:7" x14ac:dyDescent="0.3">
      <c r="A970" s="172" t="s">
        <v>963</v>
      </c>
      <c r="B970" s="115" t="s">
        <v>964</v>
      </c>
      <c r="C970" s="116">
        <v>0</v>
      </c>
      <c r="E970" s="154"/>
      <c r="F970" s="154"/>
      <c r="G970" s="154"/>
    </row>
    <row r="971" spans="1:7" x14ac:dyDescent="0.3">
      <c r="A971" s="172" t="s">
        <v>2856</v>
      </c>
      <c r="B971" s="115" t="s">
        <v>2857</v>
      </c>
      <c r="C971" s="116">
        <v>0</v>
      </c>
      <c r="E971" s="154"/>
      <c r="F971" s="154"/>
      <c r="G971" s="154"/>
    </row>
    <row r="972" spans="1:7" x14ac:dyDescent="0.3">
      <c r="A972" s="172" t="s">
        <v>2858</v>
      </c>
      <c r="B972" s="115" t="s">
        <v>2859</v>
      </c>
      <c r="C972" s="116">
        <v>187958.18</v>
      </c>
      <c r="E972" s="154"/>
      <c r="F972" s="154"/>
      <c r="G972" s="154"/>
    </row>
    <row r="973" spans="1:7" x14ac:dyDescent="0.3">
      <c r="A973" s="172" t="s">
        <v>568</v>
      </c>
      <c r="B973" s="115" t="s">
        <v>569</v>
      </c>
      <c r="C973" s="116">
        <v>21760102.140000001</v>
      </c>
      <c r="E973" s="154"/>
      <c r="F973" s="154"/>
      <c r="G973" s="154"/>
    </row>
    <row r="974" spans="1:7" x14ac:dyDescent="0.3">
      <c r="A974" s="172" t="s">
        <v>2860</v>
      </c>
      <c r="B974" s="115" t="s">
        <v>2861</v>
      </c>
      <c r="C974" s="116">
        <v>53813085.460000001</v>
      </c>
      <c r="E974" s="154"/>
      <c r="F974" s="154"/>
      <c r="G974" s="154"/>
    </row>
    <row r="975" spans="1:7" x14ac:dyDescent="0.3">
      <c r="A975" s="172" t="s">
        <v>1079</v>
      </c>
      <c r="B975" s="115" t="s">
        <v>1080</v>
      </c>
      <c r="C975" s="116">
        <v>-18236008.780000001</v>
      </c>
      <c r="E975" s="154"/>
      <c r="F975" s="154"/>
      <c r="G975" s="154"/>
    </row>
    <row r="976" spans="1:7" x14ac:dyDescent="0.3">
      <c r="A976" s="172" t="s">
        <v>2862</v>
      </c>
      <c r="B976" s="115" t="s">
        <v>2863</v>
      </c>
      <c r="C976" s="116">
        <v>-429998412.31999999</v>
      </c>
      <c r="E976" s="154"/>
      <c r="F976" s="154"/>
      <c r="G976" s="154"/>
    </row>
    <row r="977" spans="1:7" x14ac:dyDescent="0.3">
      <c r="A977" s="172" t="s">
        <v>2864</v>
      </c>
      <c r="B977" s="115" t="s">
        <v>2865</v>
      </c>
      <c r="C977" s="116">
        <v>357916.5</v>
      </c>
      <c r="E977" s="154"/>
      <c r="F977" s="154"/>
      <c r="G977" s="154"/>
    </row>
    <row r="978" spans="1:7" x14ac:dyDescent="0.3">
      <c r="A978" s="172" t="s">
        <v>2866</v>
      </c>
      <c r="B978" s="115" t="s">
        <v>2867</v>
      </c>
      <c r="C978" s="116">
        <v>151090</v>
      </c>
      <c r="E978" s="154"/>
      <c r="F978" s="154"/>
      <c r="G978" s="154"/>
    </row>
    <row r="979" spans="1:7" x14ac:dyDescent="0.3">
      <c r="A979" s="172" t="s">
        <v>2868</v>
      </c>
      <c r="B979" s="115" t="s">
        <v>2869</v>
      </c>
      <c r="C979" s="116">
        <v>243082.04</v>
      </c>
      <c r="E979" s="154"/>
      <c r="F979" s="154"/>
      <c r="G979" s="154"/>
    </row>
    <row r="980" spans="1:7" x14ac:dyDescent="0.3">
      <c r="A980" s="172" t="s">
        <v>2870</v>
      </c>
      <c r="B980" s="115" t="s">
        <v>2871</v>
      </c>
      <c r="C980" s="116">
        <v>31000</v>
      </c>
      <c r="E980" s="154"/>
      <c r="F980" s="154"/>
      <c r="G980" s="154"/>
    </row>
    <row r="981" spans="1:7" x14ac:dyDescent="0.3">
      <c r="A981" s="172" t="s">
        <v>2872</v>
      </c>
      <c r="B981" s="115" t="s">
        <v>2873</v>
      </c>
      <c r="C981" s="116">
        <v>0</v>
      </c>
      <c r="E981" s="154"/>
      <c r="F981" s="154"/>
      <c r="G981" s="154"/>
    </row>
    <row r="982" spans="1:7" x14ac:dyDescent="0.3">
      <c r="A982" s="172" t="s">
        <v>2874</v>
      </c>
      <c r="B982" s="115" t="s">
        <v>2875</v>
      </c>
      <c r="C982" s="116">
        <v>160311.84</v>
      </c>
      <c r="E982" s="154"/>
      <c r="F982" s="154"/>
      <c r="G982" s="154"/>
    </row>
    <row r="983" spans="1:7" x14ac:dyDescent="0.3">
      <c r="A983" s="172" t="s">
        <v>2876</v>
      </c>
      <c r="B983" s="115" t="s">
        <v>2877</v>
      </c>
      <c r="C983" s="116">
        <v>221345</v>
      </c>
      <c r="E983" s="154"/>
      <c r="F983" s="154"/>
      <c r="G983" s="154"/>
    </row>
    <row r="984" spans="1:7" x14ac:dyDescent="0.3">
      <c r="A984" s="172" t="s">
        <v>2878</v>
      </c>
      <c r="B984" s="115" t="s">
        <v>2879</v>
      </c>
      <c r="C984" s="116">
        <v>111138.55</v>
      </c>
      <c r="E984" s="154"/>
      <c r="F984" s="154"/>
      <c r="G984" s="154"/>
    </row>
    <row r="985" spans="1:7" x14ac:dyDescent="0.3">
      <c r="A985" s="172" t="s">
        <v>2880</v>
      </c>
      <c r="B985" s="115" t="s">
        <v>2881</v>
      </c>
      <c r="C985" s="116">
        <v>48071.5</v>
      </c>
      <c r="E985" s="154"/>
      <c r="F985" s="154"/>
      <c r="G985" s="154"/>
    </row>
    <row r="986" spans="1:7" x14ac:dyDescent="0.3">
      <c r="A986" s="172" t="s">
        <v>2882</v>
      </c>
      <c r="B986" s="115" t="s">
        <v>2883</v>
      </c>
      <c r="C986" s="116">
        <v>0</v>
      </c>
      <c r="E986" s="154"/>
      <c r="F986" s="154"/>
      <c r="G986" s="154"/>
    </row>
    <row r="987" spans="1:7" x14ac:dyDescent="0.3">
      <c r="A987" s="172" t="s">
        <v>2884</v>
      </c>
      <c r="B987" s="115" t="s">
        <v>2885</v>
      </c>
      <c r="C987" s="116">
        <v>69868.22</v>
      </c>
      <c r="E987" s="154"/>
      <c r="F987" s="154"/>
      <c r="G987" s="154"/>
    </row>
    <row r="988" spans="1:7" x14ac:dyDescent="0.3">
      <c r="A988" s="172" t="s">
        <v>2886</v>
      </c>
      <c r="B988" s="115" t="s">
        <v>2887</v>
      </c>
      <c r="C988" s="116">
        <v>11000</v>
      </c>
      <c r="E988" s="154"/>
      <c r="F988" s="154"/>
      <c r="G988" s="154"/>
    </row>
    <row r="989" spans="1:7" x14ac:dyDescent="0.3">
      <c r="A989" s="172" t="s">
        <v>2888</v>
      </c>
      <c r="B989" s="115" t="s">
        <v>2889</v>
      </c>
      <c r="C989" s="116">
        <v>20780</v>
      </c>
      <c r="E989" s="154"/>
      <c r="F989" s="154"/>
      <c r="G989" s="154"/>
    </row>
    <row r="990" spans="1:7" x14ac:dyDescent="0.3">
      <c r="A990" s="172" t="s">
        <v>2890</v>
      </c>
      <c r="B990" s="115" t="s">
        <v>2891</v>
      </c>
      <c r="C990" s="116">
        <v>111138.55</v>
      </c>
      <c r="E990" s="154"/>
      <c r="F990" s="154"/>
      <c r="G990" s="154"/>
    </row>
    <row r="991" spans="1:7" x14ac:dyDescent="0.3">
      <c r="A991" s="172" t="s">
        <v>2892</v>
      </c>
      <c r="B991" s="115" t="s">
        <v>2893</v>
      </c>
      <c r="C991" s="116">
        <v>879163.13</v>
      </c>
      <c r="E991" s="154"/>
      <c r="F991" s="154"/>
      <c r="G991" s="154"/>
    </row>
    <row r="992" spans="1:7" x14ac:dyDescent="0.3">
      <c r="A992" s="172" t="s">
        <v>2894</v>
      </c>
      <c r="B992" s="115" t="s">
        <v>2895</v>
      </c>
      <c r="C992" s="116">
        <v>165103</v>
      </c>
      <c r="E992" s="154"/>
      <c r="F992" s="154"/>
      <c r="G992" s="154"/>
    </row>
    <row r="993" spans="1:7" x14ac:dyDescent="0.3">
      <c r="A993" s="172" t="s">
        <v>2896</v>
      </c>
      <c r="B993" s="115" t="s">
        <v>2897</v>
      </c>
      <c r="C993" s="116">
        <v>390337.95</v>
      </c>
      <c r="E993" s="154"/>
      <c r="F993" s="154"/>
      <c r="G993" s="154"/>
    </row>
    <row r="994" spans="1:7" x14ac:dyDescent="0.3">
      <c r="A994" s="172" t="s">
        <v>2898</v>
      </c>
      <c r="B994" s="115" t="s">
        <v>2899</v>
      </c>
      <c r="C994" s="116">
        <v>17336</v>
      </c>
      <c r="E994" s="154"/>
      <c r="F994" s="154"/>
      <c r="G994" s="154"/>
    </row>
    <row r="995" spans="1:7" x14ac:dyDescent="0.3">
      <c r="A995" s="172" t="s">
        <v>2900</v>
      </c>
      <c r="B995" s="115" t="s">
        <v>2901</v>
      </c>
      <c r="C995" s="116">
        <v>1129950.92</v>
      </c>
      <c r="E995" s="154"/>
      <c r="F995" s="154"/>
      <c r="G995" s="154"/>
    </row>
    <row r="996" spans="1:7" x14ac:dyDescent="0.3">
      <c r="A996" s="172" t="s">
        <v>2902</v>
      </c>
      <c r="B996" s="115" t="s">
        <v>2903</v>
      </c>
      <c r="C996" s="116">
        <v>122864.5</v>
      </c>
      <c r="E996" s="154"/>
      <c r="F996" s="154"/>
      <c r="G996" s="154"/>
    </row>
    <row r="997" spans="1:7" x14ac:dyDescent="0.3">
      <c r="A997" s="172" t="s">
        <v>2904</v>
      </c>
      <c r="B997" s="115" t="s">
        <v>2905</v>
      </c>
      <c r="C997" s="116">
        <v>1360000</v>
      </c>
      <c r="E997" s="154"/>
      <c r="F997" s="154"/>
      <c r="G997" s="154"/>
    </row>
    <row r="998" spans="1:7" x14ac:dyDescent="0.3">
      <c r="A998" s="172" t="s">
        <v>2906</v>
      </c>
      <c r="B998" s="115" t="s">
        <v>2907</v>
      </c>
      <c r="C998" s="116">
        <v>1437658.74</v>
      </c>
      <c r="E998" s="154"/>
      <c r="F998" s="154"/>
      <c r="G998" s="154"/>
    </row>
    <row r="999" spans="1:7" x14ac:dyDescent="0.3">
      <c r="A999" s="172" t="s">
        <v>2908</v>
      </c>
      <c r="B999" s="115" t="s">
        <v>2909</v>
      </c>
      <c r="C999" s="116">
        <v>429385.79</v>
      </c>
      <c r="E999" s="154"/>
      <c r="F999" s="154"/>
      <c r="G999" s="154"/>
    </row>
    <row r="1000" spans="1:7" x14ac:dyDescent="0.3">
      <c r="A1000" s="172" t="s">
        <v>2910</v>
      </c>
      <c r="B1000" s="115" t="s">
        <v>2911</v>
      </c>
      <c r="C1000" s="116">
        <v>0</v>
      </c>
      <c r="E1000" s="154"/>
      <c r="F1000" s="154"/>
      <c r="G1000" s="154"/>
    </row>
    <row r="1001" spans="1:7" x14ac:dyDescent="0.3">
      <c r="A1001" s="172" t="s">
        <v>2912</v>
      </c>
      <c r="B1001" s="115" t="s">
        <v>2913</v>
      </c>
      <c r="C1001" s="116">
        <v>0</v>
      </c>
      <c r="E1001" s="154"/>
      <c r="F1001" s="154"/>
      <c r="G1001" s="154"/>
    </row>
    <row r="1002" spans="1:7" x14ac:dyDescent="0.3">
      <c r="A1002" s="172" t="s">
        <v>2914</v>
      </c>
      <c r="B1002" s="115" t="s">
        <v>2915</v>
      </c>
      <c r="C1002" s="116">
        <v>0</v>
      </c>
      <c r="E1002" s="154"/>
      <c r="F1002" s="154"/>
      <c r="G1002" s="154"/>
    </row>
    <row r="1003" spans="1:7" x14ac:dyDescent="0.3">
      <c r="A1003" s="172" t="s">
        <v>736</v>
      </c>
      <c r="B1003" s="115" t="s">
        <v>737</v>
      </c>
      <c r="C1003" s="116">
        <v>4500</v>
      </c>
      <c r="E1003" s="154"/>
      <c r="F1003" s="154"/>
      <c r="G1003" s="154"/>
    </row>
    <row r="1004" spans="1:7" x14ac:dyDescent="0.3">
      <c r="A1004" s="172" t="s">
        <v>2916</v>
      </c>
      <c r="B1004" s="115" t="s">
        <v>2917</v>
      </c>
      <c r="C1004" s="116">
        <v>119281.39</v>
      </c>
      <c r="E1004" s="154"/>
      <c r="F1004" s="154"/>
      <c r="G1004" s="154"/>
    </row>
    <row r="1005" spans="1:7" x14ac:dyDescent="0.3">
      <c r="A1005" s="172" t="s">
        <v>2918</v>
      </c>
      <c r="B1005" s="115" t="s">
        <v>2919</v>
      </c>
      <c r="C1005" s="116">
        <v>24950</v>
      </c>
      <c r="E1005" s="154"/>
      <c r="F1005" s="154"/>
      <c r="G1005" s="154"/>
    </row>
    <row r="1006" spans="1:7" x14ac:dyDescent="0.3">
      <c r="A1006" s="172" t="s">
        <v>2920</v>
      </c>
      <c r="B1006" s="115" t="s">
        <v>2921</v>
      </c>
      <c r="C1006" s="116">
        <v>24130</v>
      </c>
      <c r="E1006" s="154"/>
      <c r="F1006" s="154"/>
      <c r="G1006" s="154"/>
    </row>
    <row r="1007" spans="1:7" x14ac:dyDescent="0.3">
      <c r="A1007" s="172" t="s">
        <v>2922</v>
      </c>
      <c r="B1007" s="115" t="s">
        <v>2923</v>
      </c>
      <c r="C1007" s="116">
        <v>148311.67000000001</v>
      </c>
      <c r="E1007" s="154"/>
      <c r="F1007" s="154"/>
      <c r="G1007" s="154"/>
    </row>
    <row r="1008" spans="1:7" x14ac:dyDescent="0.3">
      <c r="A1008" s="172" t="s">
        <v>2924</v>
      </c>
      <c r="B1008" s="115" t="s">
        <v>2925</v>
      </c>
      <c r="C1008" s="116">
        <v>0</v>
      </c>
      <c r="E1008" s="154"/>
      <c r="F1008" s="154"/>
      <c r="G1008" s="154"/>
    </row>
    <row r="1009" spans="1:7" x14ac:dyDescent="0.3">
      <c r="A1009" s="172" t="s">
        <v>2926</v>
      </c>
      <c r="B1009" s="115" t="s">
        <v>2927</v>
      </c>
      <c r="C1009" s="116">
        <v>111138.55</v>
      </c>
      <c r="E1009" s="154"/>
      <c r="F1009" s="154"/>
      <c r="G1009" s="154"/>
    </row>
    <row r="1010" spans="1:7" x14ac:dyDescent="0.3">
      <c r="A1010" s="172" t="s">
        <v>2928</v>
      </c>
      <c r="B1010" s="115" t="s">
        <v>2929</v>
      </c>
      <c r="C1010" s="116">
        <v>0</v>
      </c>
      <c r="E1010" s="154"/>
      <c r="F1010" s="154"/>
      <c r="G1010" s="154"/>
    </row>
    <row r="1011" spans="1:7" x14ac:dyDescent="0.3">
      <c r="A1011" s="172" t="s">
        <v>2930</v>
      </c>
      <c r="B1011" s="115" t="s">
        <v>2931</v>
      </c>
      <c r="C1011" s="116">
        <v>83322932.469999999</v>
      </c>
      <c r="E1011" s="154"/>
      <c r="F1011" s="154"/>
      <c r="G1011" s="154"/>
    </row>
    <row r="1012" spans="1:7" x14ac:dyDescent="0.3">
      <c r="A1012" s="172" t="s">
        <v>2932</v>
      </c>
      <c r="B1012" s="115" t="s">
        <v>2933</v>
      </c>
      <c r="C1012" s="116">
        <v>4500</v>
      </c>
      <c r="E1012" s="154"/>
      <c r="F1012" s="154"/>
      <c r="G1012" s="154"/>
    </row>
    <row r="1013" spans="1:7" x14ac:dyDescent="0.3">
      <c r="A1013" s="172" t="s">
        <v>2934</v>
      </c>
      <c r="B1013" s="115" t="s">
        <v>2935</v>
      </c>
      <c r="C1013" s="116">
        <v>55569.3</v>
      </c>
      <c r="E1013" s="154"/>
      <c r="F1013" s="154"/>
      <c r="G1013" s="154"/>
    </row>
    <row r="1014" spans="1:7" x14ac:dyDescent="0.3">
      <c r="A1014" s="172" t="s">
        <v>2936</v>
      </c>
      <c r="B1014" s="115" t="s">
        <v>2937</v>
      </c>
      <c r="C1014" s="116">
        <v>0</v>
      </c>
      <c r="E1014" s="154"/>
      <c r="F1014" s="154"/>
      <c r="G1014" s="154"/>
    </row>
    <row r="1015" spans="1:7" x14ac:dyDescent="0.3">
      <c r="A1015" s="172" t="s">
        <v>2938</v>
      </c>
      <c r="B1015" s="115" t="s">
        <v>2939</v>
      </c>
      <c r="C1015" s="116">
        <v>0</v>
      </c>
      <c r="E1015" s="154"/>
      <c r="F1015" s="154"/>
      <c r="G1015" s="154"/>
    </row>
    <row r="1016" spans="1:7" x14ac:dyDescent="0.3">
      <c r="A1016" s="172" t="s">
        <v>2940</v>
      </c>
      <c r="B1016" s="115" t="s">
        <v>2941</v>
      </c>
      <c r="C1016" s="116">
        <v>0</v>
      </c>
      <c r="E1016" s="154"/>
      <c r="F1016" s="154"/>
      <c r="G1016" s="154"/>
    </row>
    <row r="1017" spans="1:7" x14ac:dyDescent="0.3">
      <c r="A1017" s="172" t="s">
        <v>2942</v>
      </c>
      <c r="B1017" s="115" t="s">
        <v>2943</v>
      </c>
      <c r="C1017" s="116">
        <v>0</v>
      </c>
      <c r="E1017" s="154"/>
      <c r="F1017" s="154"/>
      <c r="G1017" s="154"/>
    </row>
    <row r="1018" spans="1:7" x14ac:dyDescent="0.3">
      <c r="A1018" s="172" t="s">
        <v>2944</v>
      </c>
      <c r="B1018" s="115" t="s">
        <v>2945</v>
      </c>
      <c r="C1018" s="116">
        <v>8525</v>
      </c>
      <c r="E1018" s="154"/>
      <c r="F1018" s="154"/>
      <c r="G1018" s="154"/>
    </row>
    <row r="1019" spans="1:7" x14ac:dyDescent="0.3">
      <c r="A1019" s="172" t="s">
        <v>2946</v>
      </c>
      <c r="B1019" s="115" t="s">
        <v>2947</v>
      </c>
      <c r="C1019" s="116">
        <v>0</v>
      </c>
      <c r="E1019" s="154"/>
      <c r="F1019" s="154"/>
      <c r="G1019" s="154"/>
    </row>
    <row r="1020" spans="1:7" x14ac:dyDescent="0.3">
      <c r="A1020" s="172" t="s">
        <v>2948</v>
      </c>
      <c r="B1020" s="115" t="s">
        <v>2949</v>
      </c>
      <c r="C1020" s="116">
        <v>0</v>
      </c>
      <c r="E1020" s="154"/>
      <c r="F1020" s="154"/>
      <c r="G1020" s="154"/>
    </row>
    <row r="1021" spans="1:7" x14ac:dyDescent="0.3">
      <c r="A1021" s="172" t="s">
        <v>2950</v>
      </c>
      <c r="B1021" s="115" t="s">
        <v>2951</v>
      </c>
      <c r="C1021" s="116">
        <v>0</v>
      </c>
      <c r="E1021" s="154"/>
      <c r="F1021" s="154"/>
      <c r="G1021" s="154"/>
    </row>
    <row r="1022" spans="1:7" x14ac:dyDescent="0.3">
      <c r="A1022" s="172" t="s">
        <v>2952</v>
      </c>
      <c r="B1022" s="115" t="s">
        <v>2953</v>
      </c>
      <c r="C1022" s="116">
        <v>0</v>
      </c>
      <c r="E1022" s="154"/>
      <c r="F1022" s="154"/>
      <c r="G1022" s="154"/>
    </row>
    <row r="1023" spans="1:7" x14ac:dyDescent="0.3">
      <c r="A1023" s="172" t="s">
        <v>2954</v>
      </c>
      <c r="B1023" s="115" t="s">
        <v>2955</v>
      </c>
      <c r="C1023" s="116">
        <v>0</v>
      </c>
      <c r="E1023" s="154"/>
      <c r="F1023" s="154"/>
      <c r="G1023" s="154"/>
    </row>
    <row r="1024" spans="1:7" x14ac:dyDescent="0.3">
      <c r="A1024" s="172" t="s">
        <v>2956</v>
      </c>
      <c r="B1024" s="115" t="s">
        <v>2957</v>
      </c>
      <c r="C1024" s="116">
        <v>0</v>
      </c>
      <c r="E1024" s="154"/>
      <c r="F1024" s="154"/>
      <c r="G1024" s="154"/>
    </row>
    <row r="1025" spans="1:7" x14ac:dyDescent="0.3">
      <c r="A1025" s="172" t="s">
        <v>2958</v>
      </c>
      <c r="B1025" s="115" t="s">
        <v>2959</v>
      </c>
      <c r="C1025" s="116">
        <v>0</v>
      </c>
      <c r="E1025" s="154"/>
      <c r="F1025" s="154"/>
      <c r="G1025" s="154"/>
    </row>
    <row r="1026" spans="1:7" x14ac:dyDescent="0.3">
      <c r="A1026" s="172" t="s">
        <v>2960</v>
      </c>
      <c r="B1026" s="115" t="s">
        <v>2961</v>
      </c>
      <c r="C1026" s="116">
        <v>0</v>
      </c>
      <c r="E1026" s="154"/>
      <c r="F1026" s="154"/>
      <c r="G1026" s="154"/>
    </row>
    <row r="1027" spans="1:7" x14ac:dyDescent="0.3">
      <c r="A1027" s="172" t="s">
        <v>2962</v>
      </c>
      <c r="B1027" s="115" t="s">
        <v>2963</v>
      </c>
      <c r="C1027" s="116">
        <v>0</v>
      </c>
      <c r="E1027" s="154"/>
      <c r="F1027" s="154"/>
      <c r="G1027" s="154"/>
    </row>
    <row r="1028" spans="1:7" x14ac:dyDescent="0.3">
      <c r="A1028" s="172" t="s">
        <v>2964</v>
      </c>
      <c r="B1028" s="115" t="s">
        <v>2965</v>
      </c>
      <c r="C1028" s="116">
        <v>0</v>
      </c>
      <c r="E1028" s="154"/>
      <c r="F1028" s="154"/>
      <c r="G1028" s="154"/>
    </row>
    <row r="1029" spans="1:7" x14ac:dyDescent="0.3">
      <c r="A1029" s="172" t="s">
        <v>2966</v>
      </c>
      <c r="B1029" s="115" t="s">
        <v>2967</v>
      </c>
      <c r="C1029" s="116">
        <v>0</v>
      </c>
      <c r="E1029" s="154"/>
      <c r="F1029" s="154"/>
      <c r="G1029" s="154"/>
    </row>
    <row r="1030" spans="1:7" x14ac:dyDescent="0.3">
      <c r="A1030" s="172" t="s">
        <v>2968</v>
      </c>
      <c r="B1030" s="115" t="s">
        <v>2969</v>
      </c>
      <c r="C1030" s="116">
        <v>0</v>
      </c>
      <c r="E1030" s="154"/>
      <c r="F1030" s="154"/>
      <c r="G1030" s="154"/>
    </row>
    <row r="1031" spans="1:7" x14ac:dyDescent="0.3">
      <c r="A1031" s="172" t="s">
        <v>2970</v>
      </c>
      <c r="B1031" s="115" t="s">
        <v>2971</v>
      </c>
      <c r="C1031" s="116">
        <v>0</v>
      </c>
      <c r="E1031" s="154"/>
      <c r="F1031" s="154"/>
      <c r="G1031" s="154"/>
    </row>
    <row r="1032" spans="1:7" x14ac:dyDescent="0.3">
      <c r="A1032" s="172" t="s">
        <v>2972</v>
      </c>
      <c r="B1032" s="115" t="s">
        <v>2973</v>
      </c>
      <c r="C1032" s="116">
        <v>0</v>
      </c>
      <c r="E1032" s="154"/>
      <c r="F1032" s="154"/>
      <c r="G1032" s="154"/>
    </row>
    <row r="1033" spans="1:7" x14ac:dyDescent="0.3">
      <c r="A1033" s="172" t="s">
        <v>2974</v>
      </c>
      <c r="B1033" s="115" t="s">
        <v>2975</v>
      </c>
      <c r="C1033" s="116">
        <v>0</v>
      </c>
      <c r="E1033" s="154"/>
      <c r="F1033" s="154"/>
      <c r="G1033" s="154"/>
    </row>
    <row r="1034" spans="1:7" x14ac:dyDescent="0.3">
      <c r="A1034" s="172" t="s">
        <v>851</v>
      </c>
      <c r="B1034" s="115" t="s">
        <v>2976</v>
      </c>
      <c r="C1034" s="116">
        <v>0</v>
      </c>
      <c r="E1034" s="154"/>
      <c r="F1034" s="154"/>
      <c r="G1034" s="154"/>
    </row>
    <row r="1035" spans="1:7" x14ac:dyDescent="0.3">
      <c r="A1035" s="172" t="s">
        <v>2977</v>
      </c>
      <c r="B1035" s="115" t="s">
        <v>2978</v>
      </c>
      <c r="C1035" s="116">
        <v>0</v>
      </c>
      <c r="E1035" s="154"/>
      <c r="F1035" s="154"/>
      <c r="G1035" s="154"/>
    </row>
    <row r="1036" spans="1:7" x14ac:dyDescent="0.3">
      <c r="A1036" s="172" t="s">
        <v>2979</v>
      </c>
      <c r="B1036" s="115" t="s">
        <v>2980</v>
      </c>
      <c r="C1036" s="116">
        <v>0</v>
      </c>
      <c r="E1036" s="154"/>
      <c r="F1036" s="154"/>
      <c r="G1036" s="154"/>
    </row>
    <row r="1037" spans="1:7" x14ac:dyDescent="0.3">
      <c r="A1037" s="172" t="s">
        <v>2981</v>
      </c>
      <c r="B1037" s="115" t="s">
        <v>2982</v>
      </c>
      <c r="C1037" s="116">
        <v>0</v>
      </c>
      <c r="E1037" s="154"/>
      <c r="F1037" s="154"/>
      <c r="G1037" s="154"/>
    </row>
    <row r="1038" spans="1:7" x14ac:dyDescent="0.3">
      <c r="A1038" s="172" t="s">
        <v>606</v>
      </c>
      <c r="B1038" s="115" t="s">
        <v>607</v>
      </c>
      <c r="C1038" s="116">
        <v>0</v>
      </c>
      <c r="E1038" s="154"/>
      <c r="F1038" s="154"/>
      <c r="G1038" s="154"/>
    </row>
    <row r="1039" spans="1:7" x14ac:dyDescent="0.3">
      <c r="A1039" s="172" t="s">
        <v>2983</v>
      </c>
      <c r="B1039" s="115" t="s">
        <v>2984</v>
      </c>
      <c r="C1039" s="116">
        <v>0</v>
      </c>
      <c r="E1039" s="154"/>
      <c r="F1039" s="154"/>
      <c r="G1039" s="154"/>
    </row>
    <row r="1040" spans="1:7" x14ac:dyDescent="0.3">
      <c r="A1040" s="172" t="s">
        <v>526</v>
      </c>
      <c r="B1040" s="115" t="s">
        <v>527</v>
      </c>
      <c r="C1040" s="116">
        <v>0</v>
      </c>
      <c r="E1040" s="154"/>
      <c r="F1040" s="154"/>
      <c r="G1040" s="154"/>
    </row>
    <row r="1041" spans="1:7" x14ac:dyDescent="0.3">
      <c r="A1041" s="172" t="s">
        <v>2985</v>
      </c>
      <c r="B1041" s="115" t="s">
        <v>2986</v>
      </c>
      <c r="C1041" s="116">
        <v>0</v>
      </c>
      <c r="E1041" s="154"/>
      <c r="F1041" s="154"/>
      <c r="G1041" s="154"/>
    </row>
    <row r="1042" spans="1:7" x14ac:dyDescent="0.3">
      <c r="A1042" s="172" t="s">
        <v>2987</v>
      </c>
      <c r="B1042" s="115" t="s">
        <v>2988</v>
      </c>
      <c r="C1042" s="116">
        <v>0</v>
      </c>
      <c r="E1042" s="154"/>
      <c r="F1042" s="154"/>
      <c r="G1042" s="154"/>
    </row>
    <row r="1043" spans="1:7" x14ac:dyDescent="0.3">
      <c r="A1043" s="172" t="s">
        <v>2989</v>
      </c>
      <c r="B1043" s="115" t="s">
        <v>2990</v>
      </c>
      <c r="C1043" s="116">
        <v>0</v>
      </c>
      <c r="E1043" s="154"/>
      <c r="F1043" s="154"/>
      <c r="G1043" s="154"/>
    </row>
    <row r="1044" spans="1:7" x14ac:dyDescent="0.3">
      <c r="A1044" s="172" t="s">
        <v>552</v>
      </c>
      <c r="B1044" s="115" t="s">
        <v>553</v>
      </c>
      <c r="C1044" s="116">
        <v>0</v>
      </c>
      <c r="E1044" s="154"/>
      <c r="F1044" s="154"/>
      <c r="G1044" s="154"/>
    </row>
    <row r="1045" spans="1:7" x14ac:dyDescent="0.3">
      <c r="A1045" s="172" t="s">
        <v>2991</v>
      </c>
      <c r="B1045" s="115" t="s">
        <v>2992</v>
      </c>
      <c r="C1045" s="116">
        <v>0</v>
      </c>
      <c r="E1045" s="154"/>
      <c r="F1045" s="154"/>
      <c r="G1045" s="154"/>
    </row>
    <row r="1046" spans="1:7" x14ac:dyDescent="0.3">
      <c r="A1046" s="172" t="s">
        <v>2993</v>
      </c>
      <c r="B1046" s="115" t="s">
        <v>2994</v>
      </c>
      <c r="C1046" s="116">
        <v>17050</v>
      </c>
      <c r="E1046" s="154"/>
      <c r="F1046" s="154"/>
      <c r="G1046" s="154"/>
    </row>
    <row r="1047" spans="1:7" x14ac:dyDescent="0.3">
      <c r="A1047" s="172" t="s">
        <v>2995</v>
      </c>
      <c r="B1047" s="115" t="s">
        <v>2996</v>
      </c>
      <c r="C1047" s="116">
        <v>0</v>
      </c>
      <c r="E1047" s="154"/>
      <c r="F1047" s="154"/>
      <c r="G1047" s="154"/>
    </row>
    <row r="1048" spans="1:7" x14ac:dyDescent="0.3">
      <c r="A1048" s="172" t="s">
        <v>2997</v>
      </c>
      <c r="B1048" s="115" t="s">
        <v>2998</v>
      </c>
      <c r="C1048" s="116">
        <v>345752365.55000001</v>
      </c>
      <c r="E1048" s="154"/>
      <c r="F1048" s="154"/>
      <c r="G1048" s="154"/>
    </row>
    <row r="1049" spans="1:7" x14ac:dyDescent="0.3">
      <c r="A1049" s="172" t="s">
        <v>869</v>
      </c>
      <c r="B1049" s="115" t="s">
        <v>870</v>
      </c>
      <c r="C1049" s="116">
        <v>-97508987.840000004</v>
      </c>
      <c r="E1049" s="154"/>
      <c r="F1049" s="154"/>
      <c r="G1049" s="154"/>
    </row>
    <row r="1050" spans="1:7" x14ac:dyDescent="0.3">
      <c r="A1050" s="172" t="s">
        <v>2999</v>
      </c>
      <c r="B1050" s="115" t="s">
        <v>3000</v>
      </c>
      <c r="C1050" s="116">
        <v>44868760.210000001</v>
      </c>
      <c r="E1050" s="154"/>
      <c r="F1050" s="154"/>
      <c r="G1050" s="154"/>
    </row>
    <row r="1051" spans="1:7" x14ac:dyDescent="0.3">
      <c r="A1051" s="172" t="s">
        <v>3001</v>
      </c>
      <c r="B1051" s="115" t="s">
        <v>3002</v>
      </c>
      <c r="C1051" s="116">
        <v>237720.3</v>
      </c>
      <c r="E1051" s="154"/>
      <c r="F1051" s="154"/>
      <c r="G1051" s="154"/>
    </row>
    <row r="1052" spans="1:7" x14ac:dyDescent="0.3">
      <c r="A1052" s="172" t="s">
        <v>3003</v>
      </c>
      <c r="B1052" s="115" t="s">
        <v>3004</v>
      </c>
      <c r="C1052" s="116">
        <v>293855366.20999998</v>
      </c>
      <c r="E1052" s="154"/>
      <c r="F1052" s="154"/>
      <c r="G1052" s="154"/>
    </row>
    <row r="1053" spans="1:7" x14ac:dyDescent="0.3">
      <c r="A1053" s="172" t="s">
        <v>3005</v>
      </c>
      <c r="B1053" s="115" t="s">
        <v>3006</v>
      </c>
      <c r="C1053" s="116">
        <v>236560.14</v>
      </c>
      <c r="E1053" s="154"/>
      <c r="F1053" s="154"/>
      <c r="G1053" s="154"/>
    </row>
    <row r="1054" spans="1:7" x14ac:dyDescent="0.3">
      <c r="A1054" s="172" t="s">
        <v>3007</v>
      </c>
      <c r="B1054" s="115" t="s">
        <v>3008</v>
      </c>
      <c r="C1054" s="116">
        <v>209200</v>
      </c>
      <c r="E1054" s="154"/>
      <c r="F1054" s="154"/>
      <c r="G1054" s="154"/>
    </row>
    <row r="1055" spans="1:7" x14ac:dyDescent="0.3">
      <c r="A1055" s="173" t="s">
        <v>3009</v>
      </c>
      <c r="B1055" s="20" t="s">
        <v>3010</v>
      </c>
      <c r="C1055" s="116">
        <v>55569.3</v>
      </c>
      <c r="E1055" s="154"/>
      <c r="F1055" s="154"/>
      <c r="G1055" s="154"/>
    </row>
    <row r="1056" spans="1:7" x14ac:dyDescent="0.3">
      <c r="A1056" s="172" t="s">
        <v>3011</v>
      </c>
      <c r="B1056" s="115" t="s">
        <v>3012</v>
      </c>
      <c r="C1056" s="116">
        <v>87714.76</v>
      </c>
      <c r="E1056" s="154"/>
      <c r="F1056" s="154"/>
      <c r="G1056" s="154"/>
    </row>
    <row r="1057" spans="1:7" x14ac:dyDescent="0.3">
      <c r="A1057" s="172" t="s">
        <v>3013</v>
      </c>
      <c r="B1057" s="115" t="s">
        <v>3014</v>
      </c>
      <c r="C1057" s="116">
        <v>525780</v>
      </c>
      <c r="E1057" s="154"/>
      <c r="F1057" s="154"/>
      <c r="G1057" s="154"/>
    </row>
    <row r="1058" spans="1:7" x14ac:dyDescent="0.3">
      <c r="A1058" s="172" t="s">
        <v>3015</v>
      </c>
      <c r="B1058" s="115" t="s">
        <v>3016</v>
      </c>
      <c r="C1058" s="116">
        <v>1317219.56</v>
      </c>
      <c r="E1058" s="154"/>
      <c r="F1058" s="154"/>
      <c r="G1058" s="154"/>
    </row>
    <row r="1059" spans="1:7" x14ac:dyDescent="0.3">
      <c r="A1059" s="172" t="s">
        <v>3017</v>
      </c>
      <c r="B1059" s="115" t="s">
        <v>3018</v>
      </c>
      <c r="C1059" s="116">
        <v>365340</v>
      </c>
      <c r="E1059" s="154"/>
      <c r="F1059" s="154"/>
      <c r="G1059" s="154"/>
    </row>
    <row r="1060" spans="1:7" x14ac:dyDescent="0.3">
      <c r="A1060" s="172" t="s">
        <v>3019</v>
      </c>
      <c r="B1060" s="115" t="s">
        <v>3020</v>
      </c>
      <c r="C1060" s="116">
        <v>278600</v>
      </c>
      <c r="E1060" s="154"/>
      <c r="F1060" s="154"/>
      <c r="G1060" s="154"/>
    </row>
    <row r="1061" spans="1:7" x14ac:dyDescent="0.3">
      <c r="A1061" s="172" t="s">
        <v>3021</v>
      </c>
      <c r="B1061" s="115" t="s">
        <v>3022</v>
      </c>
      <c r="C1061" s="116">
        <v>0</v>
      </c>
      <c r="E1061" s="154"/>
      <c r="F1061" s="154"/>
      <c r="G1061" s="154"/>
    </row>
    <row r="1062" spans="1:7" x14ac:dyDescent="0.3">
      <c r="A1062" s="172" t="s">
        <v>3023</v>
      </c>
      <c r="B1062" s="115" t="s">
        <v>3024</v>
      </c>
      <c r="C1062" s="116">
        <v>42165.53</v>
      </c>
      <c r="E1062" s="154"/>
      <c r="F1062" s="154"/>
      <c r="G1062" s="154"/>
    </row>
    <row r="1063" spans="1:7" x14ac:dyDescent="0.3">
      <c r="A1063" s="172" t="s">
        <v>3025</v>
      </c>
      <c r="B1063" s="115" t="s">
        <v>3026</v>
      </c>
      <c r="C1063" s="116">
        <v>191349.05</v>
      </c>
      <c r="E1063" s="154"/>
      <c r="F1063" s="154"/>
      <c r="G1063" s="154"/>
    </row>
    <row r="1064" spans="1:7" x14ac:dyDescent="0.3">
      <c r="A1064" s="172" t="s">
        <v>3027</v>
      </c>
      <c r="B1064" s="115" t="s">
        <v>3028</v>
      </c>
      <c r="C1064" s="116">
        <v>8280</v>
      </c>
      <c r="E1064" s="154"/>
      <c r="F1064" s="154"/>
      <c r="G1064" s="154"/>
    </row>
    <row r="1065" spans="1:7" x14ac:dyDescent="0.3">
      <c r="A1065" s="172" t="s">
        <v>3029</v>
      </c>
      <c r="B1065" s="115" t="s">
        <v>3030</v>
      </c>
      <c r="C1065" s="116">
        <v>2837400</v>
      </c>
      <c r="E1065" s="154"/>
      <c r="F1065" s="154"/>
      <c r="G1065" s="154"/>
    </row>
    <row r="1066" spans="1:7" x14ac:dyDescent="0.3">
      <c r="A1066" s="172" t="s">
        <v>710</v>
      </c>
      <c r="B1066" s="115" t="s">
        <v>711</v>
      </c>
      <c r="C1066" s="116">
        <v>3394958.38</v>
      </c>
      <c r="E1066" s="154"/>
      <c r="F1066" s="154"/>
      <c r="G1066" s="154"/>
    </row>
    <row r="1067" spans="1:7" x14ac:dyDescent="0.3">
      <c r="A1067" s="172" t="s">
        <v>3031</v>
      </c>
      <c r="B1067" s="115" t="s">
        <v>3032</v>
      </c>
      <c r="C1067" s="116">
        <v>111138.55</v>
      </c>
      <c r="E1067" s="154"/>
      <c r="F1067" s="154"/>
      <c r="G1067" s="154"/>
    </row>
    <row r="1068" spans="1:7" x14ac:dyDescent="0.3">
      <c r="A1068" s="172" t="s">
        <v>3033</v>
      </c>
      <c r="B1068" s="115" t="s">
        <v>3034</v>
      </c>
      <c r="C1068" s="116">
        <v>147240.79999999999</v>
      </c>
      <c r="E1068" s="154"/>
      <c r="F1068" s="154"/>
      <c r="G1068" s="154"/>
    </row>
    <row r="1069" spans="1:7" x14ac:dyDescent="0.3">
      <c r="A1069" s="172" t="s">
        <v>3035</v>
      </c>
      <c r="B1069" s="115" t="s">
        <v>3036</v>
      </c>
      <c r="C1069" s="116">
        <v>0</v>
      </c>
      <c r="E1069" s="154"/>
      <c r="F1069" s="154"/>
      <c r="G1069" s="154"/>
    </row>
    <row r="1070" spans="1:7" x14ac:dyDescent="0.3">
      <c r="A1070" s="172" t="s">
        <v>3037</v>
      </c>
      <c r="B1070" s="115" t="s">
        <v>3038</v>
      </c>
      <c r="C1070" s="116">
        <v>0</v>
      </c>
      <c r="E1070" s="154"/>
      <c r="F1070" s="154"/>
      <c r="G1070" s="154"/>
    </row>
    <row r="1071" spans="1:7" x14ac:dyDescent="0.3">
      <c r="A1071" s="172" t="s">
        <v>3039</v>
      </c>
      <c r="B1071" s="115" t="s">
        <v>3040</v>
      </c>
      <c r="C1071" s="116">
        <v>426527300.13999999</v>
      </c>
      <c r="E1071" s="154"/>
      <c r="F1071" s="154"/>
      <c r="G1071" s="154"/>
    </row>
    <row r="1072" spans="1:7" x14ac:dyDescent="0.3">
      <c r="A1072" s="172" t="s">
        <v>3041</v>
      </c>
      <c r="B1072" s="115" t="s">
        <v>3042</v>
      </c>
      <c r="C1072" s="116">
        <v>72600</v>
      </c>
      <c r="E1072" s="154"/>
      <c r="F1072" s="154"/>
      <c r="G1072" s="154"/>
    </row>
    <row r="1073" spans="1:7" x14ac:dyDescent="0.3">
      <c r="A1073" s="172" t="s">
        <v>3043</v>
      </c>
      <c r="B1073" s="115" t="s">
        <v>3044</v>
      </c>
      <c r="C1073" s="116">
        <v>58025</v>
      </c>
      <c r="E1073" s="154"/>
      <c r="F1073" s="154"/>
      <c r="G1073" s="154"/>
    </row>
    <row r="1074" spans="1:7" x14ac:dyDescent="0.3">
      <c r="A1074" s="172" t="s">
        <v>3045</v>
      </c>
      <c r="B1074" s="115" t="s">
        <v>3046</v>
      </c>
      <c r="C1074" s="116">
        <v>111138.55</v>
      </c>
      <c r="E1074" s="154"/>
      <c r="F1074" s="154"/>
      <c r="G1074" s="154"/>
    </row>
    <row r="1075" spans="1:7" x14ac:dyDescent="0.3">
      <c r="A1075" s="172" t="s">
        <v>1087</v>
      </c>
      <c r="B1075" s="115" t="s">
        <v>1088</v>
      </c>
      <c r="C1075" s="116">
        <v>-132130.74</v>
      </c>
      <c r="E1075" s="154"/>
      <c r="F1075" s="154"/>
      <c r="G1075" s="154"/>
    </row>
    <row r="1076" spans="1:7" x14ac:dyDescent="0.3">
      <c r="A1076" s="172" t="s">
        <v>3047</v>
      </c>
      <c r="B1076" s="115" t="s">
        <v>3048</v>
      </c>
      <c r="C1076" s="116">
        <v>0</v>
      </c>
      <c r="E1076" s="154"/>
      <c r="F1076" s="154"/>
      <c r="G1076" s="154"/>
    </row>
    <row r="1077" spans="1:7" x14ac:dyDescent="0.3">
      <c r="A1077" s="172" t="s">
        <v>849</v>
      </c>
      <c r="B1077" s="115" t="s">
        <v>3049</v>
      </c>
      <c r="C1077" s="116">
        <v>0</v>
      </c>
      <c r="E1077" s="154"/>
      <c r="F1077" s="154"/>
      <c r="G1077" s="154"/>
    </row>
    <row r="1078" spans="1:7" x14ac:dyDescent="0.3">
      <c r="A1078" s="172" t="s">
        <v>3050</v>
      </c>
      <c r="B1078" s="115" t="s">
        <v>3051</v>
      </c>
      <c r="C1078" s="116">
        <v>111138.55</v>
      </c>
      <c r="E1078" s="154"/>
      <c r="F1078" s="154"/>
      <c r="G1078" s="154"/>
    </row>
    <row r="1079" spans="1:7" x14ac:dyDescent="0.3">
      <c r="A1079" s="172" t="s">
        <v>3052</v>
      </c>
      <c r="B1079" s="115" t="s">
        <v>3053</v>
      </c>
      <c r="C1079" s="116">
        <v>98769</v>
      </c>
      <c r="E1079" s="154"/>
      <c r="F1079" s="154"/>
      <c r="G1079" s="154"/>
    </row>
    <row r="1080" spans="1:7" x14ac:dyDescent="0.3">
      <c r="A1080" s="172" t="s">
        <v>3054</v>
      </c>
      <c r="B1080" s="115" t="s">
        <v>3055</v>
      </c>
      <c r="C1080" s="116">
        <v>0</v>
      </c>
      <c r="E1080" s="154"/>
      <c r="F1080" s="154"/>
      <c r="G1080" s="154"/>
    </row>
    <row r="1081" spans="1:7" x14ac:dyDescent="0.3">
      <c r="A1081" s="172" t="s">
        <v>3056</v>
      </c>
      <c r="B1081" s="115" t="s">
        <v>3057</v>
      </c>
      <c r="C1081" s="116">
        <v>114092.75</v>
      </c>
      <c r="E1081" s="154"/>
      <c r="F1081" s="154"/>
      <c r="G1081" s="154"/>
    </row>
    <row r="1082" spans="1:7" x14ac:dyDescent="0.3">
      <c r="A1082" s="172" t="s">
        <v>3058</v>
      </c>
      <c r="B1082" s="115" t="s">
        <v>3059</v>
      </c>
      <c r="C1082" s="116">
        <v>133527</v>
      </c>
      <c r="E1082" s="154"/>
      <c r="F1082" s="154"/>
      <c r="G1082" s="154"/>
    </row>
    <row r="1083" spans="1:7" x14ac:dyDescent="0.3">
      <c r="A1083" s="172" t="s">
        <v>877</v>
      </c>
      <c r="B1083" s="115" t="s">
        <v>878</v>
      </c>
      <c r="C1083" s="116">
        <v>0</v>
      </c>
      <c r="E1083" s="154"/>
      <c r="F1083" s="154"/>
      <c r="G1083" s="154"/>
    </row>
    <row r="1084" spans="1:7" x14ac:dyDescent="0.3">
      <c r="A1084" s="172" t="s">
        <v>3060</v>
      </c>
      <c r="B1084" s="115" t="s">
        <v>3061</v>
      </c>
      <c r="C1084" s="116">
        <v>-115219026.13</v>
      </c>
      <c r="E1084" s="154"/>
      <c r="F1084" s="154"/>
      <c r="G1084" s="154"/>
    </row>
    <row r="1085" spans="1:7" x14ac:dyDescent="0.3">
      <c r="A1085" s="172" t="s">
        <v>3062</v>
      </c>
      <c r="B1085" s="115" t="s">
        <v>3063</v>
      </c>
      <c r="C1085" s="116">
        <v>18820.5</v>
      </c>
      <c r="E1085" s="154"/>
      <c r="F1085" s="154"/>
      <c r="G1085" s="154"/>
    </row>
    <row r="1086" spans="1:7" x14ac:dyDescent="0.3">
      <c r="A1086" s="172" t="s">
        <v>3064</v>
      </c>
      <c r="B1086" s="115" t="s">
        <v>3065</v>
      </c>
      <c r="C1086" s="116">
        <v>0</v>
      </c>
      <c r="E1086" s="154"/>
      <c r="F1086" s="154"/>
      <c r="G1086" s="154"/>
    </row>
    <row r="1087" spans="1:7" x14ac:dyDescent="0.3">
      <c r="A1087" s="172" t="s">
        <v>3066</v>
      </c>
      <c r="B1087" s="115" t="s">
        <v>3067</v>
      </c>
      <c r="C1087" s="116">
        <v>0</v>
      </c>
      <c r="E1087" s="154"/>
      <c r="F1087" s="154"/>
      <c r="G1087" s="154"/>
    </row>
    <row r="1088" spans="1:7" x14ac:dyDescent="0.3">
      <c r="A1088" s="172" t="s">
        <v>3068</v>
      </c>
      <c r="B1088" s="115" t="s">
        <v>3069</v>
      </c>
      <c r="C1088" s="116">
        <v>0</v>
      </c>
      <c r="E1088" s="154"/>
      <c r="F1088" s="154"/>
      <c r="G1088" s="154"/>
    </row>
    <row r="1089" spans="1:7" x14ac:dyDescent="0.3">
      <c r="A1089" s="172" t="s">
        <v>3070</v>
      </c>
      <c r="B1089" s="115" t="s">
        <v>3071</v>
      </c>
      <c r="C1089" s="116">
        <v>32285.17</v>
      </c>
      <c r="E1089" s="154"/>
      <c r="F1089" s="154"/>
      <c r="G1089" s="154"/>
    </row>
    <row r="1090" spans="1:7" x14ac:dyDescent="0.3">
      <c r="A1090" s="172" t="s">
        <v>3072</v>
      </c>
      <c r="B1090" s="115" t="s">
        <v>3073</v>
      </c>
      <c r="C1090" s="116">
        <v>0</v>
      </c>
      <c r="E1090" s="154"/>
      <c r="F1090" s="154"/>
      <c r="G1090" s="154"/>
    </row>
    <row r="1091" spans="1:7" x14ac:dyDescent="0.3">
      <c r="A1091" s="172" t="s">
        <v>3074</v>
      </c>
      <c r="B1091" s="115" t="s">
        <v>3075</v>
      </c>
      <c r="C1091" s="116">
        <v>6428125</v>
      </c>
      <c r="E1091" s="154"/>
      <c r="F1091" s="154"/>
      <c r="G1091" s="154"/>
    </row>
    <row r="1092" spans="1:7" x14ac:dyDescent="0.3">
      <c r="A1092" s="172" t="s">
        <v>3076</v>
      </c>
      <c r="B1092" s="115" t="s">
        <v>3077</v>
      </c>
      <c r="C1092" s="116">
        <v>-202667631.03999999</v>
      </c>
      <c r="E1092" s="154"/>
      <c r="F1092" s="154"/>
      <c r="G1092" s="154"/>
    </row>
    <row r="1093" spans="1:7" x14ac:dyDescent="0.3">
      <c r="A1093" s="172" t="s">
        <v>3078</v>
      </c>
      <c r="B1093" s="115" t="s">
        <v>3079</v>
      </c>
      <c r="C1093" s="116">
        <v>0</v>
      </c>
      <c r="E1093" s="154"/>
      <c r="F1093" s="154"/>
      <c r="G1093" s="154"/>
    </row>
    <row r="1094" spans="1:7" x14ac:dyDescent="0.3">
      <c r="A1094" s="172" t="s">
        <v>3080</v>
      </c>
      <c r="B1094" s="115" t="s">
        <v>3081</v>
      </c>
      <c r="C1094" s="116">
        <v>0</v>
      </c>
      <c r="E1094" s="154"/>
      <c r="F1094" s="154"/>
      <c r="G1094" s="154"/>
    </row>
    <row r="1095" spans="1:7" x14ac:dyDescent="0.3">
      <c r="A1095" s="172" t="s">
        <v>3082</v>
      </c>
      <c r="B1095" s="115" t="s">
        <v>3083</v>
      </c>
      <c r="C1095" s="116">
        <v>7033512.2000000002</v>
      </c>
      <c r="E1095" s="154"/>
      <c r="F1095" s="154"/>
      <c r="G1095" s="154"/>
    </row>
    <row r="1096" spans="1:7" x14ac:dyDescent="0.3">
      <c r="A1096" s="172" t="s">
        <v>3084</v>
      </c>
      <c r="B1096" s="115" t="s">
        <v>3085</v>
      </c>
      <c r="C1096" s="116">
        <v>0</v>
      </c>
      <c r="E1096" s="154"/>
      <c r="F1096" s="154"/>
      <c r="G1096" s="154"/>
    </row>
    <row r="1097" spans="1:7" x14ac:dyDescent="0.3">
      <c r="A1097" s="172" t="s">
        <v>3086</v>
      </c>
      <c r="B1097" s="115" t="s">
        <v>3087</v>
      </c>
      <c r="C1097" s="116">
        <v>9600</v>
      </c>
      <c r="E1097" s="154"/>
      <c r="F1097" s="154"/>
      <c r="G1097" s="154"/>
    </row>
    <row r="1098" spans="1:7" x14ac:dyDescent="0.3">
      <c r="A1098" s="172" t="s">
        <v>3088</v>
      </c>
      <c r="B1098" s="115" t="s">
        <v>3089</v>
      </c>
      <c r="C1098" s="116">
        <v>0</v>
      </c>
      <c r="E1098" s="154"/>
      <c r="F1098" s="154"/>
      <c r="G1098" s="154"/>
    </row>
    <row r="1099" spans="1:7" x14ac:dyDescent="0.3">
      <c r="A1099" s="172" t="s">
        <v>3090</v>
      </c>
      <c r="B1099" s="115" t="s">
        <v>3091</v>
      </c>
      <c r="C1099" s="116">
        <v>0</v>
      </c>
      <c r="E1099" s="154"/>
      <c r="F1099" s="154"/>
      <c r="G1099" s="154"/>
    </row>
    <row r="1100" spans="1:7" x14ac:dyDescent="0.3">
      <c r="A1100" s="172" t="s">
        <v>3092</v>
      </c>
      <c r="B1100" s="115" t="s">
        <v>3093</v>
      </c>
      <c r="C1100" s="116">
        <v>0</v>
      </c>
      <c r="E1100" s="154"/>
      <c r="F1100" s="154"/>
      <c r="G1100" s="154"/>
    </row>
    <row r="1101" spans="1:7" x14ac:dyDescent="0.3">
      <c r="A1101" s="172" t="s">
        <v>3094</v>
      </c>
      <c r="B1101" s="115" t="s">
        <v>3095</v>
      </c>
      <c r="C1101" s="116">
        <v>590000</v>
      </c>
      <c r="E1101" s="154"/>
      <c r="F1101" s="154"/>
      <c r="G1101" s="154"/>
    </row>
    <row r="1102" spans="1:7" x14ac:dyDescent="0.3">
      <c r="A1102" s="172" t="s">
        <v>3096</v>
      </c>
      <c r="B1102" s="115" t="s">
        <v>3097</v>
      </c>
      <c r="C1102" s="116">
        <v>0</v>
      </c>
      <c r="E1102" s="154"/>
      <c r="F1102" s="154"/>
      <c r="G1102" s="154"/>
    </row>
    <row r="1103" spans="1:7" x14ac:dyDescent="0.3">
      <c r="A1103" s="172" t="s">
        <v>3098</v>
      </c>
      <c r="B1103" s="115" t="s">
        <v>3099</v>
      </c>
      <c r="C1103" s="116">
        <v>0</v>
      </c>
      <c r="E1103" s="154"/>
      <c r="F1103" s="154"/>
      <c r="G1103" s="154"/>
    </row>
    <row r="1104" spans="1:7" x14ac:dyDescent="0.3">
      <c r="A1104" s="172" t="s">
        <v>3100</v>
      </c>
      <c r="B1104" s="115" t="s">
        <v>3101</v>
      </c>
      <c r="C1104" s="116">
        <v>0</v>
      </c>
      <c r="E1104" s="154"/>
      <c r="F1104" s="154"/>
      <c r="G1104" s="154"/>
    </row>
    <row r="1105" spans="1:7" x14ac:dyDescent="0.3">
      <c r="A1105" s="172" t="s">
        <v>3102</v>
      </c>
      <c r="B1105" s="115" t="s">
        <v>3103</v>
      </c>
      <c r="C1105" s="116">
        <v>0</v>
      </c>
      <c r="E1105" s="154"/>
      <c r="F1105" s="154"/>
      <c r="G1105" s="154"/>
    </row>
    <row r="1106" spans="1:7" x14ac:dyDescent="0.3">
      <c r="A1106" s="172" t="s">
        <v>3104</v>
      </c>
      <c r="B1106" s="115" t="s">
        <v>3105</v>
      </c>
      <c r="C1106" s="116">
        <v>0</v>
      </c>
      <c r="E1106" s="154"/>
      <c r="F1106" s="154"/>
      <c r="G1106" s="154"/>
    </row>
    <row r="1107" spans="1:7" x14ac:dyDescent="0.3">
      <c r="A1107" s="172" t="s">
        <v>3106</v>
      </c>
      <c r="B1107" s="115" t="s">
        <v>3107</v>
      </c>
      <c r="C1107" s="116">
        <v>0</v>
      </c>
      <c r="E1107" s="154"/>
      <c r="F1107" s="154"/>
      <c r="G1107" s="154"/>
    </row>
    <row r="1108" spans="1:7" x14ac:dyDescent="0.3">
      <c r="A1108" s="172" t="s">
        <v>3108</v>
      </c>
      <c r="B1108" s="115" t="s">
        <v>3109</v>
      </c>
      <c r="C1108" s="116">
        <v>0</v>
      </c>
      <c r="E1108" s="154"/>
      <c r="F1108" s="154"/>
      <c r="G1108" s="154"/>
    </row>
    <row r="1109" spans="1:7" x14ac:dyDescent="0.3">
      <c r="A1109" s="172" t="s">
        <v>3110</v>
      </c>
      <c r="B1109" s="115" t="s">
        <v>3111</v>
      </c>
      <c r="C1109" s="116">
        <v>0</v>
      </c>
      <c r="E1109" s="154"/>
      <c r="F1109" s="154"/>
      <c r="G1109" s="154"/>
    </row>
    <row r="1110" spans="1:7" x14ac:dyDescent="0.3">
      <c r="A1110" s="172" t="s">
        <v>3112</v>
      </c>
      <c r="B1110" s="115" t="s">
        <v>3113</v>
      </c>
      <c r="C1110" s="116">
        <v>0</v>
      </c>
      <c r="E1110" s="154"/>
      <c r="F1110" s="154"/>
      <c r="G1110" s="154"/>
    </row>
    <row r="1111" spans="1:7" x14ac:dyDescent="0.3">
      <c r="A1111" s="172" t="s">
        <v>3114</v>
      </c>
      <c r="B1111" s="115" t="s">
        <v>3115</v>
      </c>
      <c r="C1111" s="116">
        <v>0</v>
      </c>
      <c r="E1111" s="154"/>
      <c r="F1111" s="154"/>
      <c r="G1111" s="154"/>
    </row>
    <row r="1112" spans="1:7" x14ac:dyDescent="0.3">
      <c r="A1112" s="172" t="s">
        <v>3116</v>
      </c>
      <c r="B1112" s="115" t="s">
        <v>3117</v>
      </c>
      <c r="C1112" s="116">
        <v>0</v>
      </c>
      <c r="E1112" s="154"/>
      <c r="F1112" s="154"/>
      <c r="G1112" s="154"/>
    </row>
    <row r="1113" spans="1:7" x14ac:dyDescent="0.3">
      <c r="A1113" s="172" t="s">
        <v>540</v>
      </c>
      <c r="B1113" s="115" t="s">
        <v>541</v>
      </c>
      <c r="C1113" s="116">
        <v>0</v>
      </c>
      <c r="E1113" s="154"/>
      <c r="F1113" s="154"/>
      <c r="G1113" s="154"/>
    </row>
    <row r="1114" spans="1:7" x14ac:dyDescent="0.3">
      <c r="A1114" s="172" t="s">
        <v>855</v>
      </c>
      <c r="B1114" s="115" t="s">
        <v>856</v>
      </c>
      <c r="C1114" s="116">
        <v>0</v>
      </c>
      <c r="E1114" s="154"/>
      <c r="F1114" s="154"/>
      <c r="G1114" s="154"/>
    </row>
    <row r="1115" spans="1:7" x14ac:dyDescent="0.3">
      <c r="A1115" s="172" t="s">
        <v>3118</v>
      </c>
      <c r="B1115" s="115" t="s">
        <v>3119</v>
      </c>
      <c r="C1115" s="116">
        <v>0</v>
      </c>
      <c r="E1115" s="154"/>
      <c r="F1115" s="154"/>
      <c r="G1115" s="154"/>
    </row>
    <row r="1116" spans="1:7" x14ac:dyDescent="0.3">
      <c r="A1116" s="172" t="s">
        <v>3120</v>
      </c>
      <c r="B1116" s="115" t="s">
        <v>3121</v>
      </c>
      <c r="C1116" s="116">
        <v>0</v>
      </c>
      <c r="E1116" s="154"/>
      <c r="F1116" s="154"/>
      <c r="G1116" s="154"/>
    </row>
    <row r="1117" spans="1:7" x14ac:dyDescent="0.3">
      <c r="A1117" s="172" t="s">
        <v>3122</v>
      </c>
      <c r="B1117" s="115" t="s">
        <v>3123</v>
      </c>
      <c r="C1117" s="116">
        <v>0</v>
      </c>
      <c r="E1117" s="154"/>
      <c r="F1117" s="154"/>
      <c r="G1117" s="154"/>
    </row>
    <row r="1118" spans="1:7" x14ac:dyDescent="0.3">
      <c r="A1118" s="172" t="s">
        <v>3124</v>
      </c>
      <c r="B1118" s="115" t="s">
        <v>3125</v>
      </c>
      <c r="C1118" s="116">
        <v>0</v>
      </c>
      <c r="E1118" s="154"/>
      <c r="F1118" s="154"/>
      <c r="G1118" s="154"/>
    </row>
    <row r="1119" spans="1:7" x14ac:dyDescent="0.3">
      <c r="A1119" s="172" t="s">
        <v>524</v>
      </c>
      <c r="B1119" s="115" t="s">
        <v>525</v>
      </c>
      <c r="C1119" s="116">
        <v>0</v>
      </c>
      <c r="E1119" s="154"/>
      <c r="F1119" s="154"/>
      <c r="G1119" s="154"/>
    </row>
    <row r="1120" spans="1:7" x14ac:dyDescent="0.3">
      <c r="A1120" s="172" t="s">
        <v>3126</v>
      </c>
      <c r="B1120" s="115" t="s">
        <v>3127</v>
      </c>
      <c r="C1120" s="116">
        <v>0</v>
      </c>
      <c r="E1120" s="154"/>
      <c r="F1120" s="154"/>
      <c r="G1120" s="154"/>
    </row>
    <row r="1121" spans="1:7" x14ac:dyDescent="0.3">
      <c r="A1121" s="172" t="s">
        <v>662</v>
      </c>
      <c r="B1121" s="115" t="s">
        <v>663</v>
      </c>
      <c r="C1121" s="116">
        <v>0</v>
      </c>
      <c r="E1121" s="154"/>
      <c r="F1121" s="154"/>
      <c r="G1121" s="154"/>
    </row>
    <row r="1122" spans="1:7" x14ac:dyDescent="0.3">
      <c r="A1122" s="172" t="s">
        <v>3128</v>
      </c>
      <c r="B1122" s="115" t="s">
        <v>3129</v>
      </c>
      <c r="C1122" s="116">
        <v>0</v>
      </c>
      <c r="E1122" s="154"/>
      <c r="F1122" s="154"/>
      <c r="G1122" s="154"/>
    </row>
    <row r="1123" spans="1:7" x14ac:dyDescent="0.3">
      <c r="A1123" s="172" t="s">
        <v>3130</v>
      </c>
      <c r="B1123" s="115" t="s">
        <v>3131</v>
      </c>
      <c r="C1123" s="116">
        <v>0</v>
      </c>
      <c r="E1123" s="154"/>
      <c r="F1123" s="154"/>
      <c r="G1123" s="154"/>
    </row>
    <row r="1124" spans="1:7" x14ac:dyDescent="0.3">
      <c r="A1124" s="172" t="s">
        <v>3132</v>
      </c>
      <c r="B1124" s="115" t="s">
        <v>3133</v>
      </c>
      <c r="C1124" s="116">
        <v>0</v>
      </c>
      <c r="E1124" s="154"/>
      <c r="F1124" s="154"/>
      <c r="G1124" s="154"/>
    </row>
    <row r="1125" spans="1:7" x14ac:dyDescent="0.3">
      <c r="A1125" s="172" t="s">
        <v>3134</v>
      </c>
      <c r="B1125" s="115" t="s">
        <v>3135</v>
      </c>
      <c r="C1125" s="116">
        <v>0</v>
      </c>
      <c r="E1125" s="154"/>
      <c r="F1125" s="154"/>
      <c r="G1125" s="154"/>
    </row>
    <row r="1126" spans="1:7" x14ac:dyDescent="0.3">
      <c r="A1126" s="172" t="s">
        <v>3136</v>
      </c>
      <c r="B1126" s="115" t="s">
        <v>3137</v>
      </c>
      <c r="C1126" s="116">
        <v>0</v>
      </c>
      <c r="E1126" s="154"/>
      <c r="F1126" s="154"/>
      <c r="G1126" s="154"/>
    </row>
    <row r="1127" spans="1:7" x14ac:dyDescent="0.3">
      <c r="A1127" s="172" t="s">
        <v>3138</v>
      </c>
      <c r="B1127" s="115" t="s">
        <v>3139</v>
      </c>
      <c r="C1127" s="116">
        <v>0</v>
      </c>
      <c r="E1127" s="154"/>
      <c r="F1127" s="154"/>
      <c r="G1127" s="154"/>
    </row>
    <row r="1128" spans="1:7" x14ac:dyDescent="0.3">
      <c r="A1128" s="172" t="s">
        <v>562</v>
      </c>
      <c r="B1128" s="115" t="s">
        <v>563</v>
      </c>
      <c r="C1128" s="116">
        <v>0</v>
      </c>
      <c r="E1128" s="154"/>
      <c r="F1128" s="154"/>
      <c r="G1128" s="154"/>
    </row>
    <row r="1129" spans="1:7" x14ac:dyDescent="0.3">
      <c r="A1129" s="172" t="s">
        <v>3140</v>
      </c>
      <c r="B1129" s="115" t="s">
        <v>3141</v>
      </c>
      <c r="C1129" s="116">
        <v>0</v>
      </c>
      <c r="E1129" s="154"/>
      <c r="F1129" s="154"/>
      <c r="G1129" s="154"/>
    </row>
    <row r="1130" spans="1:7" x14ac:dyDescent="0.3">
      <c r="A1130" s="172" t="s">
        <v>3142</v>
      </c>
      <c r="B1130" s="115" t="s">
        <v>3143</v>
      </c>
      <c r="C1130" s="116">
        <v>0</v>
      </c>
      <c r="E1130" s="154"/>
      <c r="F1130" s="154"/>
      <c r="G1130" s="154"/>
    </row>
    <row r="1131" spans="1:7" x14ac:dyDescent="0.3">
      <c r="A1131" s="172" t="s">
        <v>686</v>
      </c>
      <c r="B1131" s="115" t="s">
        <v>687</v>
      </c>
      <c r="C1131" s="116">
        <v>0.1</v>
      </c>
      <c r="E1131" s="154"/>
      <c r="F1131" s="154"/>
      <c r="G1131" s="154"/>
    </row>
    <row r="1132" spans="1:7" x14ac:dyDescent="0.3">
      <c r="A1132" s="172" t="s">
        <v>3144</v>
      </c>
      <c r="B1132" s="115" t="s">
        <v>3145</v>
      </c>
      <c r="C1132" s="116">
        <v>0</v>
      </c>
      <c r="E1132" s="154"/>
      <c r="F1132" s="154"/>
      <c r="G1132" s="154"/>
    </row>
    <row r="1133" spans="1:7" x14ac:dyDescent="0.3">
      <c r="A1133" s="172" t="s">
        <v>3146</v>
      </c>
      <c r="B1133" s="115" t="s">
        <v>3147</v>
      </c>
      <c r="C1133" s="116">
        <v>0</v>
      </c>
      <c r="E1133" s="154"/>
      <c r="F1133" s="154"/>
      <c r="G1133" s="154"/>
    </row>
    <row r="1134" spans="1:7" x14ac:dyDescent="0.3">
      <c r="A1134" s="172" t="s">
        <v>3148</v>
      </c>
      <c r="B1134" s="115" t="s">
        <v>3149</v>
      </c>
      <c r="C1134" s="116">
        <v>0</v>
      </c>
      <c r="E1134" s="154"/>
      <c r="F1134" s="154"/>
      <c r="G1134" s="154"/>
    </row>
    <row r="1135" spans="1:7" x14ac:dyDescent="0.3">
      <c r="A1135" s="172" t="s">
        <v>3150</v>
      </c>
      <c r="B1135" s="115" t="s">
        <v>3151</v>
      </c>
      <c r="C1135" s="116">
        <v>23691.4</v>
      </c>
      <c r="E1135" s="154"/>
      <c r="F1135" s="154"/>
      <c r="G1135" s="154"/>
    </row>
    <row r="1136" spans="1:7" x14ac:dyDescent="0.3">
      <c r="A1136" s="172" t="s">
        <v>3152</v>
      </c>
      <c r="B1136" s="115" t="s">
        <v>3153</v>
      </c>
      <c r="C1136" s="116">
        <v>0</v>
      </c>
      <c r="E1136" s="154"/>
      <c r="F1136" s="154"/>
      <c r="G1136" s="154"/>
    </row>
    <row r="1137" spans="1:7" x14ac:dyDescent="0.3">
      <c r="A1137" s="172" t="s">
        <v>3154</v>
      </c>
      <c r="B1137" s="115" t="s">
        <v>3155</v>
      </c>
      <c r="C1137" s="116">
        <v>270849.91999999998</v>
      </c>
      <c r="E1137" s="154"/>
      <c r="F1137" s="154"/>
      <c r="G1137" s="154"/>
    </row>
    <row r="1138" spans="1:7" x14ac:dyDescent="0.3">
      <c r="A1138" s="172" t="s">
        <v>3156</v>
      </c>
      <c r="B1138" s="115" t="s">
        <v>3157</v>
      </c>
      <c r="C1138" s="116">
        <v>12023801.01</v>
      </c>
      <c r="E1138" s="154"/>
      <c r="F1138" s="154"/>
      <c r="G1138" s="154"/>
    </row>
    <row r="1139" spans="1:7" x14ac:dyDescent="0.3">
      <c r="A1139" s="172" t="s">
        <v>3158</v>
      </c>
      <c r="B1139" s="115" t="s">
        <v>3159</v>
      </c>
      <c r="C1139" s="116">
        <v>-713654308.21000004</v>
      </c>
      <c r="E1139" s="154"/>
      <c r="F1139" s="154"/>
      <c r="G1139" s="154"/>
    </row>
    <row r="1140" spans="1:7" x14ac:dyDescent="0.3">
      <c r="A1140" s="172" t="s">
        <v>3160</v>
      </c>
      <c r="B1140" s="115" t="s">
        <v>3161</v>
      </c>
      <c r="C1140" s="116">
        <v>215925</v>
      </c>
      <c r="E1140" s="154"/>
      <c r="F1140" s="154"/>
      <c r="G1140" s="154"/>
    </row>
    <row r="1141" spans="1:7" x14ac:dyDescent="0.3">
      <c r="A1141" s="172" t="s">
        <v>3162</v>
      </c>
      <c r="B1141" s="115" t="s">
        <v>3163</v>
      </c>
      <c r="C1141" s="116">
        <v>169174.8</v>
      </c>
      <c r="E1141" s="154"/>
      <c r="F1141" s="154"/>
      <c r="G1141" s="154"/>
    </row>
    <row r="1142" spans="1:7" x14ac:dyDescent="0.3">
      <c r="A1142" s="172" t="s">
        <v>3164</v>
      </c>
      <c r="B1142" s="115" t="s">
        <v>3165</v>
      </c>
      <c r="C1142" s="116">
        <v>-140658810.56</v>
      </c>
      <c r="E1142" s="154"/>
      <c r="F1142" s="154"/>
      <c r="G1142" s="154"/>
    </row>
    <row r="1143" spans="1:7" x14ac:dyDescent="0.3">
      <c r="A1143" s="172" t="s">
        <v>3166</v>
      </c>
      <c r="B1143" s="115" t="s">
        <v>3167</v>
      </c>
      <c r="C1143" s="116">
        <v>-18148207.09</v>
      </c>
      <c r="E1143" s="154"/>
      <c r="F1143" s="154"/>
      <c r="G1143" s="154"/>
    </row>
    <row r="1144" spans="1:7" x14ac:dyDescent="0.3">
      <c r="A1144" s="172" t="s">
        <v>3168</v>
      </c>
      <c r="B1144" s="115" t="s">
        <v>3169</v>
      </c>
      <c r="C1144" s="116">
        <v>-2129516.39</v>
      </c>
      <c r="E1144" s="154"/>
      <c r="F1144" s="154"/>
      <c r="G1144" s="154"/>
    </row>
    <row r="1145" spans="1:7" x14ac:dyDescent="0.3">
      <c r="A1145" s="172" t="s">
        <v>3170</v>
      </c>
      <c r="B1145" s="115" t="s">
        <v>3171</v>
      </c>
      <c r="C1145" s="116">
        <v>207667</v>
      </c>
      <c r="E1145" s="154"/>
      <c r="F1145" s="154"/>
      <c r="G1145" s="154"/>
    </row>
    <row r="1146" spans="1:7" x14ac:dyDescent="0.3">
      <c r="A1146" s="172" t="s">
        <v>3172</v>
      </c>
      <c r="B1146" s="115" t="s">
        <v>3173</v>
      </c>
      <c r="C1146" s="116">
        <v>670163.19999999995</v>
      </c>
      <c r="E1146" s="154"/>
      <c r="F1146" s="154"/>
      <c r="G1146" s="154"/>
    </row>
    <row r="1147" spans="1:7" x14ac:dyDescent="0.3">
      <c r="A1147" s="172" t="s">
        <v>3174</v>
      </c>
      <c r="B1147" s="115" t="s">
        <v>3175</v>
      </c>
      <c r="C1147" s="116">
        <v>129723.99</v>
      </c>
      <c r="E1147" s="154"/>
      <c r="F1147" s="154"/>
      <c r="G1147" s="154"/>
    </row>
    <row r="1148" spans="1:7" x14ac:dyDescent="0.3">
      <c r="A1148" s="172" t="s">
        <v>1010</v>
      </c>
      <c r="B1148" s="115" t="s">
        <v>3176</v>
      </c>
      <c r="C1148" s="116">
        <v>-13601412.41</v>
      </c>
      <c r="E1148" s="154"/>
      <c r="F1148" s="154"/>
      <c r="G1148" s="154"/>
    </row>
    <row r="1149" spans="1:7" x14ac:dyDescent="0.3">
      <c r="A1149" s="172" t="s">
        <v>3177</v>
      </c>
      <c r="B1149" s="115" t="s">
        <v>3178</v>
      </c>
      <c r="C1149" s="116">
        <v>452240</v>
      </c>
      <c r="E1149" s="154"/>
      <c r="F1149" s="154"/>
      <c r="G1149" s="154"/>
    </row>
    <row r="1150" spans="1:7" x14ac:dyDescent="0.3">
      <c r="A1150" s="172" t="s">
        <v>3179</v>
      </c>
      <c r="B1150" s="115" t="s">
        <v>3180</v>
      </c>
      <c r="C1150" s="116">
        <v>-558056.53</v>
      </c>
      <c r="E1150" s="154"/>
      <c r="F1150" s="154"/>
      <c r="G1150" s="154"/>
    </row>
    <row r="1151" spans="1:7" x14ac:dyDescent="0.3">
      <c r="A1151" s="172" t="s">
        <v>3181</v>
      </c>
      <c r="B1151" s="115" t="s">
        <v>3182</v>
      </c>
      <c r="C1151" s="116">
        <v>14400</v>
      </c>
      <c r="E1151" s="154"/>
      <c r="F1151" s="154"/>
      <c r="G1151" s="154"/>
    </row>
    <row r="1152" spans="1:7" x14ac:dyDescent="0.3">
      <c r="A1152" s="172" t="s">
        <v>3183</v>
      </c>
      <c r="B1152" s="115" t="s">
        <v>3184</v>
      </c>
      <c r="C1152" s="116">
        <v>124613.69</v>
      </c>
      <c r="E1152" s="154"/>
      <c r="F1152" s="154"/>
      <c r="G1152" s="154"/>
    </row>
    <row r="1153" spans="1:7" x14ac:dyDescent="0.3">
      <c r="A1153" s="172" t="s">
        <v>3185</v>
      </c>
      <c r="B1153" s="115" t="s">
        <v>3186</v>
      </c>
      <c r="C1153" s="116">
        <v>33021</v>
      </c>
      <c r="E1153" s="154"/>
      <c r="F1153" s="154"/>
      <c r="G1153" s="154"/>
    </row>
    <row r="1154" spans="1:7" x14ac:dyDescent="0.3">
      <c r="A1154" s="172" t="s">
        <v>3187</v>
      </c>
      <c r="B1154" s="115" t="s">
        <v>3188</v>
      </c>
      <c r="C1154" s="116">
        <v>4779930.0199999996</v>
      </c>
      <c r="E1154" s="154"/>
      <c r="F1154" s="154"/>
      <c r="G1154" s="154"/>
    </row>
    <row r="1155" spans="1:7" x14ac:dyDescent="0.3">
      <c r="A1155" s="172" t="s">
        <v>3189</v>
      </c>
      <c r="B1155" s="115" t="s">
        <v>3190</v>
      </c>
      <c r="C1155" s="116">
        <v>452337.5</v>
      </c>
      <c r="E1155" s="154"/>
      <c r="F1155" s="154"/>
      <c r="G1155" s="154"/>
    </row>
    <row r="1156" spans="1:7" x14ac:dyDescent="0.3">
      <c r="A1156" s="172" t="s">
        <v>3191</v>
      </c>
      <c r="B1156" s="115" t="s">
        <v>3192</v>
      </c>
      <c r="C1156" s="116">
        <v>1341746.3500000001</v>
      </c>
      <c r="E1156" s="154"/>
      <c r="F1156" s="154"/>
      <c r="G1156" s="154"/>
    </row>
    <row r="1157" spans="1:7" x14ac:dyDescent="0.3">
      <c r="A1157" s="172" t="s">
        <v>3193</v>
      </c>
      <c r="B1157" s="115" t="s">
        <v>3194</v>
      </c>
      <c r="C1157" s="116">
        <v>369786.5</v>
      </c>
      <c r="E1157" s="154"/>
      <c r="F1157" s="154"/>
      <c r="G1157" s="154"/>
    </row>
    <row r="1158" spans="1:7" x14ac:dyDescent="0.3">
      <c r="A1158" s="172" t="s">
        <v>738</v>
      </c>
      <c r="B1158" s="115" t="s">
        <v>739</v>
      </c>
      <c r="C1158" s="116">
        <v>15147209.529999999</v>
      </c>
      <c r="E1158" s="154"/>
      <c r="F1158" s="154"/>
      <c r="G1158" s="154"/>
    </row>
    <row r="1159" spans="1:7" x14ac:dyDescent="0.3">
      <c r="A1159" s="172" t="s">
        <v>630</v>
      </c>
      <c r="B1159" s="115" t="s">
        <v>631</v>
      </c>
      <c r="C1159" s="116">
        <v>55126595.140000001</v>
      </c>
      <c r="E1159" s="154"/>
      <c r="F1159" s="154"/>
      <c r="G1159" s="154"/>
    </row>
    <row r="1160" spans="1:7" x14ac:dyDescent="0.3">
      <c r="A1160" s="172" t="s">
        <v>3195</v>
      </c>
      <c r="B1160" s="115" t="s">
        <v>3196</v>
      </c>
      <c r="C1160" s="116">
        <v>185912</v>
      </c>
      <c r="E1160" s="154"/>
      <c r="F1160" s="154"/>
      <c r="G1160" s="154"/>
    </row>
    <row r="1161" spans="1:7" x14ac:dyDescent="0.3">
      <c r="A1161" s="172" t="s">
        <v>3197</v>
      </c>
      <c r="B1161" s="115" t="s">
        <v>3198</v>
      </c>
      <c r="C1161" s="116">
        <v>135836</v>
      </c>
      <c r="E1161" s="154"/>
      <c r="F1161" s="154"/>
      <c r="G1161" s="154"/>
    </row>
    <row r="1162" spans="1:7" x14ac:dyDescent="0.3">
      <c r="A1162" s="172" t="s">
        <v>3199</v>
      </c>
      <c r="B1162" s="115" t="s">
        <v>3200</v>
      </c>
      <c r="C1162" s="116">
        <v>37675</v>
      </c>
      <c r="E1162" s="154"/>
      <c r="F1162" s="154"/>
      <c r="G1162" s="154"/>
    </row>
    <row r="1163" spans="1:7" x14ac:dyDescent="0.3">
      <c r="A1163" s="172" t="s">
        <v>3201</v>
      </c>
      <c r="B1163" s="115" t="s">
        <v>3202</v>
      </c>
      <c r="C1163" s="116">
        <v>2000</v>
      </c>
      <c r="E1163" s="154"/>
      <c r="F1163" s="154"/>
      <c r="G1163" s="154"/>
    </row>
    <row r="1164" spans="1:7" x14ac:dyDescent="0.3">
      <c r="A1164" s="172" t="s">
        <v>3203</v>
      </c>
      <c r="B1164" s="115" t="s">
        <v>3204</v>
      </c>
      <c r="C1164" s="116">
        <v>37160</v>
      </c>
      <c r="E1164" s="154"/>
      <c r="F1164" s="154"/>
      <c r="G1164" s="154"/>
    </row>
    <row r="1165" spans="1:7" x14ac:dyDescent="0.3">
      <c r="A1165" s="172" t="s">
        <v>3205</v>
      </c>
      <c r="B1165" s="115" t="s">
        <v>3206</v>
      </c>
      <c r="C1165" s="116">
        <v>38740</v>
      </c>
      <c r="E1165" s="154"/>
      <c r="F1165" s="154"/>
      <c r="G1165" s="154"/>
    </row>
    <row r="1166" spans="1:7" x14ac:dyDescent="0.3">
      <c r="A1166" s="172" t="s">
        <v>3207</v>
      </c>
      <c r="B1166" s="115" t="s">
        <v>3208</v>
      </c>
      <c r="C1166" s="116">
        <v>81172.850000000006</v>
      </c>
      <c r="E1166" s="154"/>
      <c r="F1166" s="154"/>
      <c r="G1166" s="154"/>
    </row>
    <row r="1167" spans="1:7" x14ac:dyDescent="0.3">
      <c r="A1167" s="172" t="s">
        <v>3209</v>
      </c>
      <c r="B1167" s="115" t="s">
        <v>3210</v>
      </c>
      <c r="C1167" s="116">
        <v>70856</v>
      </c>
      <c r="E1167" s="154"/>
      <c r="F1167" s="154"/>
      <c r="G1167" s="154"/>
    </row>
    <row r="1168" spans="1:7" x14ac:dyDescent="0.3">
      <c r="A1168" s="172" t="s">
        <v>3211</v>
      </c>
      <c r="B1168" s="115" t="s">
        <v>3212</v>
      </c>
      <c r="C1168" s="116">
        <v>64009.99</v>
      </c>
      <c r="E1168" s="154"/>
      <c r="F1168" s="154"/>
      <c r="G1168" s="154"/>
    </row>
    <row r="1169" spans="1:7" x14ac:dyDescent="0.3">
      <c r="A1169" s="172" t="s">
        <v>3213</v>
      </c>
      <c r="B1169" s="115" t="s">
        <v>3214</v>
      </c>
      <c r="C1169" s="116">
        <v>155861.1</v>
      </c>
      <c r="E1169" s="154"/>
      <c r="F1169" s="154"/>
      <c r="G1169" s="154"/>
    </row>
    <row r="1170" spans="1:7" x14ac:dyDescent="0.3">
      <c r="A1170" s="172" t="s">
        <v>3215</v>
      </c>
      <c r="B1170" s="115" t="s">
        <v>3216</v>
      </c>
      <c r="C1170" s="116">
        <v>93555.55</v>
      </c>
      <c r="E1170" s="154"/>
      <c r="F1170" s="154"/>
      <c r="G1170" s="154"/>
    </row>
    <row r="1171" spans="1:7" x14ac:dyDescent="0.3">
      <c r="A1171" s="172" t="s">
        <v>3217</v>
      </c>
      <c r="B1171" s="115" t="s">
        <v>3218</v>
      </c>
      <c r="C1171" s="116">
        <v>55569.3</v>
      </c>
      <c r="E1171" s="154"/>
      <c r="F1171" s="154"/>
      <c r="G1171" s="154"/>
    </row>
    <row r="1172" spans="1:7" x14ac:dyDescent="0.3">
      <c r="A1172" s="172" t="s">
        <v>3219</v>
      </c>
      <c r="B1172" s="115" t="s">
        <v>3220</v>
      </c>
      <c r="C1172" s="116">
        <v>509375</v>
      </c>
      <c r="E1172" s="154"/>
      <c r="F1172" s="154"/>
      <c r="G1172" s="154"/>
    </row>
    <row r="1173" spans="1:7" x14ac:dyDescent="0.3">
      <c r="A1173" s="172" t="s">
        <v>3221</v>
      </c>
      <c r="B1173" s="115" t="s">
        <v>3222</v>
      </c>
      <c r="C1173" s="116">
        <v>24730</v>
      </c>
      <c r="E1173" s="154"/>
      <c r="F1173" s="154"/>
      <c r="G1173" s="154"/>
    </row>
    <row r="1174" spans="1:7" x14ac:dyDescent="0.3">
      <c r="A1174" s="172" t="s">
        <v>690</v>
      </c>
      <c r="B1174" s="115" t="s">
        <v>691</v>
      </c>
      <c r="C1174" s="116">
        <v>0.15</v>
      </c>
      <c r="E1174" s="154"/>
      <c r="F1174" s="154"/>
      <c r="G1174" s="154"/>
    </row>
    <row r="1175" spans="1:7" x14ac:dyDescent="0.3">
      <c r="A1175" s="172" t="s">
        <v>620</v>
      </c>
      <c r="B1175" s="115" t="s">
        <v>3223</v>
      </c>
      <c r="C1175" s="116">
        <v>55281.95</v>
      </c>
      <c r="E1175" s="154"/>
      <c r="F1175" s="154"/>
      <c r="G1175" s="154"/>
    </row>
    <row r="1176" spans="1:7" x14ac:dyDescent="0.3">
      <c r="A1176" s="172" t="s">
        <v>3224</v>
      </c>
      <c r="B1176" s="115" t="s">
        <v>3225</v>
      </c>
      <c r="C1176" s="116">
        <v>39095</v>
      </c>
      <c r="E1176" s="154"/>
      <c r="F1176" s="154"/>
      <c r="G1176" s="154"/>
    </row>
    <row r="1177" spans="1:7" x14ac:dyDescent="0.3">
      <c r="A1177" s="172" t="s">
        <v>3226</v>
      </c>
      <c r="B1177" s="115" t="s">
        <v>3227</v>
      </c>
      <c r="C1177" s="116">
        <v>115364.08</v>
      </c>
      <c r="E1177" s="154"/>
      <c r="F1177" s="154"/>
      <c r="G1177" s="154"/>
    </row>
    <row r="1178" spans="1:7" x14ac:dyDescent="0.3">
      <c r="A1178" s="172" t="s">
        <v>3228</v>
      </c>
      <c r="B1178" s="115" t="s">
        <v>3229</v>
      </c>
      <c r="C1178" s="116">
        <v>15674.33</v>
      </c>
      <c r="E1178" s="154"/>
      <c r="F1178" s="154"/>
      <c r="G1178" s="154"/>
    </row>
    <row r="1179" spans="1:7" x14ac:dyDescent="0.3">
      <c r="A1179" s="172" t="s">
        <v>3230</v>
      </c>
      <c r="B1179" s="115" t="s">
        <v>3231</v>
      </c>
      <c r="C1179" s="116">
        <v>7197880.3099999996</v>
      </c>
      <c r="E1179" s="154"/>
      <c r="F1179" s="154"/>
      <c r="G1179" s="154"/>
    </row>
    <row r="1180" spans="1:7" x14ac:dyDescent="0.3">
      <c r="A1180" s="172" t="s">
        <v>3232</v>
      </c>
      <c r="B1180" s="115" t="s">
        <v>3233</v>
      </c>
      <c r="C1180" s="116">
        <v>0</v>
      </c>
      <c r="E1180" s="154"/>
      <c r="F1180" s="154"/>
      <c r="G1180" s="154"/>
    </row>
    <row r="1181" spans="1:7" x14ac:dyDescent="0.3">
      <c r="A1181" s="172" t="s">
        <v>3234</v>
      </c>
      <c r="B1181" s="115" t="s">
        <v>3235</v>
      </c>
      <c r="C1181" s="116">
        <v>68849.25</v>
      </c>
      <c r="E1181" s="154"/>
      <c r="F1181" s="154"/>
      <c r="G1181" s="154"/>
    </row>
    <row r="1182" spans="1:7" x14ac:dyDescent="0.3">
      <c r="A1182" s="172" t="s">
        <v>3236</v>
      </c>
      <c r="B1182" s="115" t="s">
        <v>3237</v>
      </c>
      <c r="C1182" s="116">
        <v>84439.5</v>
      </c>
      <c r="E1182" s="154"/>
      <c r="F1182" s="154"/>
      <c r="G1182" s="154"/>
    </row>
    <row r="1183" spans="1:7" x14ac:dyDescent="0.3">
      <c r="A1183" s="172" t="s">
        <v>3238</v>
      </c>
      <c r="B1183" s="115" t="s">
        <v>3239</v>
      </c>
      <c r="C1183" s="116">
        <v>111138.55</v>
      </c>
      <c r="E1183" s="154"/>
      <c r="F1183" s="154"/>
      <c r="G1183" s="154"/>
    </row>
    <row r="1184" spans="1:7" x14ac:dyDescent="0.3">
      <c r="A1184" s="172" t="s">
        <v>3240</v>
      </c>
      <c r="B1184" s="115" t="s">
        <v>3241</v>
      </c>
      <c r="C1184" s="116">
        <v>189982</v>
      </c>
      <c r="E1184" s="154"/>
      <c r="F1184" s="154"/>
      <c r="G1184" s="154"/>
    </row>
    <row r="1185" spans="1:7" x14ac:dyDescent="0.3">
      <c r="A1185" s="172" t="s">
        <v>3242</v>
      </c>
      <c r="B1185" s="115" t="s">
        <v>3243</v>
      </c>
      <c r="C1185" s="116">
        <v>11465.67</v>
      </c>
      <c r="E1185" s="154"/>
      <c r="F1185" s="154"/>
      <c r="G1185" s="154"/>
    </row>
    <row r="1186" spans="1:7" x14ac:dyDescent="0.3">
      <c r="A1186" s="172" t="s">
        <v>3244</v>
      </c>
      <c r="B1186" s="115" t="s">
        <v>3245</v>
      </c>
      <c r="C1186" s="116">
        <v>658240.12</v>
      </c>
      <c r="E1186" s="154"/>
      <c r="F1186" s="154"/>
      <c r="G1186" s="154"/>
    </row>
    <row r="1187" spans="1:7" x14ac:dyDescent="0.3">
      <c r="A1187" s="172" t="s">
        <v>3246</v>
      </c>
      <c r="B1187" s="115" t="s">
        <v>3247</v>
      </c>
      <c r="C1187" s="116">
        <v>77305</v>
      </c>
      <c r="E1187" s="154"/>
      <c r="F1187" s="154"/>
      <c r="G1187" s="154"/>
    </row>
    <row r="1188" spans="1:7" x14ac:dyDescent="0.3">
      <c r="A1188" s="172" t="s">
        <v>3248</v>
      </c>
      <c r="B1188" s="115" t="s">
        <v>3249</v>
      </c>
      <c r="C1188" s="116">
        <v>5052250</v>
      </c>
      <c r="E1188" s="154"/>
      <c r="F1188" s="154"/>
      <c r="G1188" s="154"/>
    </row>
    <row r="1189" spans="1:7" x14ac:dyDescent="0.3">
      <c r="A1189" s="172" t="s">
        <v>3250</v>
      </c>
      <c r="B1189" s="115" t="s">
        <v>3251</v>
      </c>
      <c r="C1189" s="116">
        <v>3094835.3</v>
      </c>
      <c r="E1189" s="154"/>
      <c r="F1189" s="154"/>
      <c r="G1189" s="154"/>
    </row>
    <row r="1190" spans="1:7" x14ac:dyDescent="0.3">
      <c r="A1190" s="172" t="s">
        <v>3252</v>
      </c>
      <c r="B1190" s="115" t="s">
        <v>3253</v>
      </c>
      <c r="C1190" s="116">
        <v>96911.7</v>
      </c>
      <c r="E1190" s="154"/>
      <c r="F1190" s="154"/>
      <c r="G1190" s="154"/>
    </row>
    <row r="1191" spans="1:7" x14ac:dyDescent="0.3">
      <c r="A1191" s="172" t="s">
        <v>3254</v>
      </c>
      <c r="B1191" s="115" t="s">
        <v>3255</v>
      </c>
      <c r="C1191" s="116">
        <v>49685242.380000003</v>
      </c>
      <c r="E1191" s="154"/>
      <c r="F1191" s="154"/>
      <c r="G1191" s="154"/>
    </row>
    <row r="1192" spans="1:7" x14ac:dyDescent="0.3">
      <c r="A1192" s="172" t="s">
        <v>3256</v>
      </c>
      <c r="B1192" s="115" t="s">
        <v>3257</v>
      </c>
      <c r="C1192" s="116">
        <v>38500</v>
      </c>
      <c r="E1192" s="154"/>
      <c r="F1192" s="154"/>
      <c r="G1192" s="154"/>
    </row>
    <row r="1193" spans="1:7" x14ac:dyDescent="0.3">
      <c r="A1193" s="172" t="s">
        <v>3258</v>
      </c>
      <c r="B1193" s="115" t="s">
        <v>3259</v>
      </c>
      <c r="C1193" s="116">
        <v>0</v>
      </c>
      <c r="E1193" s="154"/>
      <c r="F1193" s="154"/>
      <c r="G1193" s="154"/>
    </row>
    <row r="1194" spans="1:7" x14ac:dyDescent="0.3">
      <c r="A1194" s="172" t="s">
        <v>3260</v>
      </c>
      <c r="B1194" s="115" t="s">
        <v>3261</v>
      </c>
      <c r="C1194" s="116">
        <v>111721.76</v>
      </c>
      <c r="E1194" s="154"/>
      <c r="F1194" s="154"/>
      <c r="G1194" s="154"/>
    </row>
    <row r="1195" spans="1:7" x14ac:dyDescent="0.3">
      <c r="A1195" s="172" t="s">
        <v>3262</v>
      </c>
      <c r="B1195" s="115" t="s">
        <v>3263</v>
      </c>
      <c r="C1195" s="116">
        <v>0</v>
      </c>
      <c r="E1195" s="154"/>
      <c r="F1195" s="154"/>
      <c r="G1195" s="154"/>
    </row>
    <row r="1196" spans="1:7" x14ac:dyDescent="0.3">
      <c r="A1196" s="172" t="s">
        <v>3264</v>
      </c>
      <c r="B1196" s="115" t="s">
        <v>3265</v>
      </c>
      <c r="C1196" s="116">
        <v>512279.59</v>
      </c>
      <c r="E1196" s="154"/>
      <c r="F1196" s="154"/>
      <c r="G1196" s="154"/>
    </row>
    <row r="1197" spans="1:7" x14ac:dyDescent="0.3">
      <c r="A1197" s="172" t="s">
        <v>3266</v>
      </c>
      <c r="B1197" s="115" t="s">
        <v>3267</v>
      </c>
      <c r="C1197" s="116">
        <v>0</v>
      </c>
      <c r="E1197" s="154"/>
      <c r="F1197" s="154"/>
      <c r="G1197" s="154"/>
    </row>
    <row r="1198" spans="1:7" x14ac:dyDescent="0.3">
      <c r="A1198" s="172" t="s">
        <v>3268</v>
      </c>
      <c r="B1198" s="115" t="s">
        <v>3269</v>
      </c>
      <c r="C1198" s="116">
        <v>0</v>
      </c>
      <c r="E1198" s="154"/>
      <c r="F1198" s="154"/>
      <c r="G1198" s="154"/>
    </row>
    <row r="1199" spans="1:7" x14ac:dyDescent="0.3">
      <c r="A1199" s="172" t="s">
        <v>3270</v>
      </c>
      <c r="B1199" s="115" t="s">
        <v>3271</v>
      </c>
      <c r="C1199" s="116">
        <v>0</v>
      </c>
      <c r="E1199" s="154"/>
      <c r="F1199" s="154"/>
      <c r="G1199" s="154"/>
    </row>
    <row r="1200" spans="1:7" x14ac:dyDescent="0.3">
      <c r="A1200" s="172" t="s">
        <v>3272</v>
      </c>
      <c r="B1200" s="115" t="s">
        <v>3273</v>
      </c>
      <c r="C1200" s="116">
        <v>0</v>
      </c>
      <c r="E1200" s="154"/>
      <c r="F1200" s="154"/>
      <c r="G1200" s="154"/>
    </row>
    <row r="1201" spans="1:7" x14ac:dyDescent="0.3">
      <c r="A1201" s="172" t="s">
        <v>3274</v>
      </c>
      <c r="B1201" s="115" t="s">
        <v>3275</v>
      </c>
      <c r="C1201" s="116">
        <v>0</v>
      </c>
      <c r="E1201" s="154"/>
      <c r="F1201" s="154"/>
      <c r="G1201" s="154"/>
    </row>
    <row r="1202" spans="1:7" x14ac:dyDescent="0.3">
      <c r="A1202" s="172" t="s">
        <v>3276</v>
      </c>
      <c r="B1202" s="115" t="s">
        <v>3277</v>
      </c>
      <c r="C1202" s="116">
        <v>0</v>
      </c>
      <c r="E1202" s="154"/>
      <c r="F1202" s="154"/>
      <c r="G1202" s="154"/>
    </row>
    <row r="1203" spans="1:7" x14ac:dyDescent="0.3">
      <c r="A1203" s="172" t="s">
        <v>3278</v>
      </c>
      <c r="B1203" s="115" t="s">
        <v>3279</v>
      </c>
      <c r="C1203" s="116">
        <v>0</v>
      </c>
      <c r="E1203" s="154"/>
      <c r="F1203" s="154"/>
      <c r="G1203" s="154"/>
    </row>
    <row r="1204" spans="1:7" x14ac:dyDescent="0.3">
      <c r="A1204" s="172" t="s">
        <v>3280</v>
      </c>
      <c r="B1204" s="115" t="s">
        <v>3281</v>
      </c>
      <c r="C1204" s="116">
        <v>0</v>
      </c>
      <c r="E1204" s="154"/>
      <c r="F1204" s="154"/>
      <c r="G1204" s="154"/>
    </row>
    <row r="1205" spans="1:7" x14ac:dyDescent="0.3">
      <c r="A1205" s="172" t="s">
        <v>3282</v>
      </c>
      <c r="B1205" s="115" t="s">
        <v>3283</v>
      </c>
      <c r="C1205" s="116">
        <v>0</v>
      </c>
      <c r="E1205" s="154"/>
      <c r="F1205" s="154"/>
      <c r="G1205" s="154"/>
    </row>
    <row r="1206" spans="1:7" x14ac:dyDescent="0.3">
      <c r="A1206" s="172" t="s">
        <v>3284</v>
      </c>
      <c r="B1206" s="115" t="s">
        <v>3285</v>
      </c>
      <c r="C1206" s="116">
        <v>0</v>
      </c>
      <c r="E1206" s="154"/>
      <c r="F1206" s="154"/>
      <c r="G1206" s="154"/>
    </row>
    <row r="1207" spans="1:7" x14ac:dyDescent="0.3">
      <c r="A1207" s="172" t="s">
        <v>3286</v>
      </c>
      <c r="B1207" s="115" t="s">
        <v>3287</v>
      </c>
      <c r="C1207" s="116">
        <v>0</v>
      </c>
      <c r="E1207" s="154"/>
      <c r="F1207" s="154"/>
      <c r="G1207" s="154"/>
    </row>
    <row r="1208" spans="1:7" x14ac:dyDescent="0.3">
      <c r="A1208" s="172" t="s">
        <v>3288</v>
      </c>
      <c r="B1208" s="115" t="s">
        <v>3289</v>
      </c>
      <c r="C1208" s="116">
        <v>164108.07999999999</v>
      </c>
      <c r="E1208" s="154"/>
      <c r="F1208" s="154"/>
      <c r="G1208" s="154"/>
    </row>
    <row r="1209" spans="1:7" x14ac:dyDescent="0.3">
      <c r="A1209" s="172" t="s">
        <v>959</v>
      </c>
      <c r="B1209" s="115" t="s">
        <v>960</v>
      </c>
      <c r="C1209" s="116">
        <v>0</v>
      </c>
      <c r="E1209" s="154"/>
      <c r="F1209" s="154"/>
      <c r="G1209" s="154"/>
    </row>
    <row r="1210" spans="1:7" x14ac:dyDescent="0.3">
      <c r="A1210" s="172" t="s">
        <v>3290</v>
      </c>
      <c r="B1210" s="115" t="s">
        <v>3291</v>
      </c>
      <c r="C1210" s="116">
        <v>0</v>
      </c>
      <c r="E1210" s="154"/>
      <c r="F1210" s="154"/>
      <c r="G1210" s="154"/>
    </row>
    <row r="1211" spans="1:7" x14ac:dyDescent="0.3">
      <c r="A1211" s="172" t="s">
        <v>3292</v>
      </c>
      <c r="B1211" s="115" t="s">
        <v>3293</v>
      </c>
      <c r="C1211" s="116">
        <v>0</v>
      </c>
      <c r="E1211" s="154"/>
      <c r="F1211" s="154"/>
      <c r="G1211" s="154"/>
    </row>
    <row r="1212" spans="1:7" x14ac:dyDescent="0.3">
      <c r="A1212" s="172" t="s">
        <v>3294</v>
      </c>
      <c r="B1212" s="115" t="s">
        <v>3295</v>
      </c>
      <c r="C1212" s="116">
        <v>0</v>
      </c>
      <c r="E1212" s="154"/>
      <c r="F1212" s="154"/>
      <c r="G1212" s="154"/>
    </row>
    <row r="1213" spans="1:7" x14ac:dyDescent="0.3">
      <c r="A1213" s="172" t="s">
        <v>3296</v>
      </c>
      <c r="B1213" s="115" t="s">
        <v>3297</v>
      </c>
      <c r="C1213" s="116">
        <v>0</v>
      </c>
      <c r="E1213" s="154"/>
      <c r="F1213" s="154"/>
      <c r="G1213" s="154"/>
    </row>
    <row r="1214" spans="1:7" x14ac:dyDescent="0.3">
      <c r="A1214" s="172" t="s">
        <v>3298</v>
      </c>
      <c r="B1214" s="115" t="s">
        <v>3299</v>
      </c>
      <c r="C1214" s="116">
        <v>0</v>
      </c>
      <c r="E1214" s="154"/>
      <c r="F1214" s="154"/>
      <c r="G1214" s="154"/>
    </row>
    <row r="1215" spans="1:7" x14ac:dyDescent="0.3">
      <c r="A1215" s="172" t="s">
        <v>3300</v>
      </c>
      <c r="B1215" s="115" t="s">
        <v>3301</v>
      </c>
      <c r="C1215" s="116">
        <v>0.03</v>
      </c>
      <c r="E1215" s="154"/>
      <c r="F1215" s="154"/>
      <c r="G1215" s="154"/>
    </row>
    <row r="1216" spans="1:7" x14ac:dyDescent="0.3">
      <c r="A1216" s="172" t="s">
        <v>1002</v>
      </c>
      <c r="B1216" s="115" t="s">
        <v>1003</v>
      </c>
      <c r="C1216" s="116">
        <v>0</v>
      </c>
      <c r="E1216" s="154"/>
      <c r="F1216" s="154"/>
      <c r="G1216" s="154"/>
    </row>
    <row r="1217" spans="1:7" x14ac:dyDescent="0.3">
      <c r="A1217" s="172" t="s">
        <v>3302</v>
      </c>
      <c r="B1217" s="115" t="s">
        <v>3303</v>
      </c>
      <c r="C1217" s="116">
        <v>0</v>
      </c>
      <c r="E1217" s="154"/>
      <c r="F1217" s="154"/>
      <c r="G1217" s="154"/>
    </row>
    <row r="1218" spans="1:7" x14ac:dyDescent="0.3">
      <c r="A1218" s="172" t="s">
        <v>3304</v>
      </c>
      <c r="B1218" s="115" t="s">
        <v>3305</v>
      </c>
      <c r="C1218" s="116">
        <v>0</v>
      </c>
      <c r="E1218" s="154"/>
      <c r="F1218" s="154"/>
      <c r="G1218" s="154"/>
    </row>
    <row r="1219" spans="1:7" x14ac:dyDescent="0.3">
      <c r="A1219" s="172" t="s">
        <v>3306</v>
      </c>
      <c r="B1219" s="115" t="s">
        <v>2020</v>
      </c>
      <c r="C1219" s="116">
        <v>0</v>
      </c>
      <c r="E1219" s="154"/>
      <c r="F1219" s="154"/>
      <c r="G1219" s="154"/>
    </row>
    <row r="1220" spans="1:7" x14ac:dyDescent="0.3">
      <c r="A1220" s="172" t="s">
        <v>3307</v>
      </c>
      <c r="B1220" s="115" t="s">
        <v>3308</v>
      </c>
      <c r="C1220" s="116">
        <v>0</v>
      </c>
      <c r="E1220" s="154"/>
      <c r="F1220" s="154"/>
      <c r="G1220" s="154"/>
    </row>
    <row r="1221" spans="1:7" x14ac:dyDescent="0.3">
      <c r="A1221" s="172" t="s">
        <v>3309</v>
      </c>
      <c r="B1221" s="115" t="s">
        <v>3310</v>
      </c>
      <c r="C1221" s="116">
        <v>0</v>
      </c>
      <c r="E1221" s="154"/>
      <c r="F1221" s="154"/>
      <c r="G1221" s="154"/>
    </row>
    <row r="1222" spans="1:7" x14ac:dyDescent="0.3">
      <c r="A1222" s="172" t="s">
        <v>3311</v>
      </c>
      <c r="B1222" s="115" t="s">
        <v>3312</v>
      </c>
      <c r="C1222" s="116">
        <v>0</v>
      </c>
      <c r="E1222" s="154"/>
      <c r="F1222" s="154"/>
      <c r="G1222" s="154"/>
    </row>
    <row r="1223" spans="1:7" x14ac:dyDescent="0.3">
      <c r="A1223" s="172" t="s">
        <v>3313</v>
      </c>
      <c r="B1223" s="115" t="s">
        <v>3314</v>
      </c>
      <c r="C1223" s="116">
        <v>0</v>
      </c>
      <c r="E1223" s="154"/>
      <c r="F1223" s="154"/>
      <c r="G1223" s="154"/>
    </row>
    <row r="1224" spans="1:7" x14ac:dyDescent="0.3">
      <c r="A1224" s="172" t="s">
        <v>3315</v>
      </c>
      <c r="B1224" s="115" t="s">
        <v>3316</v>
      </c>
      <c r="C1224" s="116">
        <v>0</v>
      </c>
      <c r="E1224" s="154"/>
      <c r="F1224" s="154"/>
      <c r="G1224" s="154"/>
    </row>
    <row r="1225" spans="1:7" x14ac:dyDescent="0.3">
      <c r="A1225" s="172" t="s">
        <v>3317</v>
      </c>
      <c r="B1225" s="115" t="s">
        <v>3318</v>
      </c>
      <c r="C1225" s="116">
        <v>0</v>
      </c>
      <c r="E1225" s="154"/>
      <c r="F1225" s="154"/>
      <c r="G1225" s="154"/>
    </row>
    <row r="1226" spans="1:7" x14ac:dyDescent="0.3">
      <c r="A1226" s="172" t="s">
        <v>3319</v>
      </c>
      <c r="B1226" s="115" t="s">
        <v>3320</v>
      </c>
      <c r="C1226" s="116">
        <v>0</v>
      </c>
      <c r="E1226" s="154"/>
      <c r="F1226" s="154"/>
      <c r="G1226" s="154"/>
    </row>
    <row r="1227" spans="1:7" x14ac:dyDescent="0.3">
      <c r="A1227" s="172" t="s">
        <v>3321</v>
      </c>
      <c r="B1227" s="115" t="s">
        <v>3322</v>
      </c>
      <c r="C1227" s="116">
        <v>0</v>
      </c>
      <c r="E1227" s="154"/>
      <c r="F1227" s="154"/>
      <c r="G1227" s="154"/>
    </row>
    <row r="1228" spans="1:7" x14ac:dyDescent="0.3">
      <c r="A1228" s="172" t="s">
        <v>3323</v>
      </c>
      <c r="B1228" s="115" t="s">
        <v>3324</v>
      </c>
      <c r="C1228" s="116">
        <v>0</v>
      </c>
      <c r="E1228" s="154"/>
      <c r="F1228" s="154"/>
      <c r="G1228" s="154"/>
    </row>
    <row r="1229" spans="1:7" x14ac:dyDescent="0.3">
      <c r="A1229" s="172" t="s">
        <v>3325</v>
      </c>
      <c r="B1229" s="115" t="s">
        <v>3326</v>
      </c>
      <c r="C1229" s="116">
        <v>0</v>
      </c>
      <c r="E1229" s="154"/>
      <c r="F1229" s="154"/>
      <c r="G1229" s="154"/>
    </row>
    <row r="1230" spans="1:7" x14ac:dyDescent="0.3">
      <c r="A1230" s="172" t="s">
        <v>3327</v>
      </c>
      <c r="B1230" s="115" t="s">
        <v>3328</v>
      </c>
      <c r="C1230" s="116">
        <v>0</v>
      </c>
      <c r="E1230" s="154"/>
      <c r="F1230" s="154"/>
      <c r="G1230" s="154"/>
    </row>
    <row r="1231" spans="1:7" x14ac:dyDescent="0.3">
      <c r="A1231" s="172" t="s">
        <v>3329</v>
      </c>
      <c r="B1231" s="115" t="s">
        <v>3330</v>
      </c>
      <c r="C1231" s="116">
        <v>18848207.52</v>
      </c>
      <c r="E1231" s="154"/>
      <c r="F1231" s="154"/>
      <c r="G1231" s="154"/>
    </row>
    <row r="1232" spans="1:7" x14ac:dyDescent="0.3">
      <c r="A1232" s="172" t="s">
        <v>3331</v>
      </c>
      <c r="B1232" s="115" t="s">
        <v>3332</v>
      </c>
      <c r="C1232" s="116">
        <v>87502.12</v>
      </c>
      <c r="E1232" s="154"/>
      <c r="F1232" s="154"/>
      <c r="G1232" s="154"/>
    </row>
    <row r="1233" spans="1:7" x14ac:dyDescent="0.3">
      <c r="A1233" s="172" t="s">
        <v>3333</v>
      </c>
      <c r="B1233" s="115" t="s">
        <v>3334</v>
      </c>
      <c r="C1233" s="116">
        <v>-273889.86</v>
      </c>
      <c r="E1233" s="154"/>
      <c r="F1233" s="154"/>
      <c r="G1233" s="154"/>
    </row>
    <row r="1234" spans="1:7" x14ac:dyDescent="0.3">
      <c r="A1234" s="172" t="s">
        <v>3335</v>
      </c>
      <c r="B1234" s="115" t="s">
        <v>3336</v>
      </c>
      <c r="C1234" s="116">
        <v>177347199.59</v>
      </c>
      <c r="E1234" s="154"/>
      <c r="F1234" s="154"/>
      <c r="G1234" s="154"/>
    </row>
    <row r="1235" spans="1:7" x14ac:dyDescent="0.3">
      <c r="A1235" s="172" t="s">
        <v>3337</v>
      </c>
      <c r="B1235" s="115" t="s">
        <v>3338</v>
      </c>
      <c r="C1235" s="116">
        <v>55818550.399999999</v>
      </c>
      <c r="E1235" s="154"/>
      <c r="F1235" s="154"/>
      <c r="G1235" s="154"/>
    </row>
    <row r="1236" spans="1:7" x14ac:dyDescent="0.3">
      <c r="A1236" s="172" t="s">
        <v>692</v>
      </c>
      <c r="B1236" s="115" t="s">
        <v>693</v>
      </c>
      <c r="C1236" s="116">
        <v>9084758.6099999994</v>
      </c>
      <c r="E1236" s="154"/>
      <c r="F1236" s="154"/>
      <c r="G1236" s="154"/>
    </row>
    <row r="1237" spans="1:7" x14ac:dyDescent="0.3">
      <c r="A1237" s="172" t="s">
        <v>3339</v>
      </c>
      <c r="B1237" s="115" t="s">
        <v>3340</v>
      </c>
      <c r="C1237" s="116">
        <v>171933</v>
      </c>
      <c r="E1237" s="154"/>
      <c r="F1237" s="154"/>
      <c r="G1237" s="154"/>
    </row>
    <row r="1238" spans="1:7" x14ac:dyDescent="0.3">
      <c r="A1238" s="172" t="s">
        <v>955</v>
      </c>
      <c r="B1238" s="115" t="s">
        <v>956</v>
      </c>
      <c r="C1238" s="116">
        <v>-8295157.6200000001</v>
      </c>
      <c r="E1238" s="154"/>
      <c r="F1238" s="154"/>
      <c r="G1238" s="154"/>
    </row>
    <row r="1239" spans="1:7" x14ac:dyDescent="0.3">
      <c r="A1239" s="172" t="s">
        <v>3341</v>
      </c>
      <c r="B1239" s="115" t="s">
        <v>3342</v>
      </c>
      <c r="C1239" s="116">
        <v>72536.5</v>
      </c>
      <c r="E1239" s="154"/>
      <c r="F1239" s="154"/>
      <c r="G1239" s="154"/>
    </row>
    <row r="1240" spans="1:7" x14ac:dyDescent="0.3">
      <c r="A1240" s="172" t="s">
        <v>616</v>
      </c>
      <c r="B1240" s="115" t="s">
        <v>617</v>
      </c>
      <c r="C1240" s="116">
        <v>2515311.15</v>
      </c>
      <c r="E1240" s="154"/>
      <c r="F1240" s="154"/>
      <c r="G1240" s="154"/>
    </row>
    <row r="1241" spans="1:7" x14ac:dyDescent="0.3">
      <c r="A1241" s="172" t="s">
        <v>3343</v>
      </c>
      <c r="B1241" s="115" t="s">
        <v>3344</v>
      </c>
      <c r="C1241" s="116">
        <v>78380</v>
      </c>
      <c r="E1241" s="154"/>
      <c r="F1241" s="154"/>
      <c r="G1241" s="154"/>
    </row>
    <row r="1242" spans="1:7" x14ac:dyDescent="0.3">
      <c r="A1242" s="172" t="s">
        <v>3345</v>
      </c>
      <c r="B1242" s="115" t="s">
        <v>3346</v>
      </c>
      <c r="C1242" s="116">
        <v>12829227.390000001</v>
      </c>
      <c r="E1242" s="154"/>
      <c r="F1242" s="154"/>
      <c r="G1242" s="154"/>
    </row>
    <row r="1243" spans="1:7" x14ac:dyDescent="0.3">
      <c r="A1243" s="172" t="s">
        <v>3347</v>
      </c>
      <c r="B1243" s="115" t="s">
        <v>3348</v>
      </c>
      <c r="C1243" s="116">
        <v>245776.83</v>
      </c>
      <c r="E1243" s="154"/>
      <c r="F1243" s="154"/>
      <c r="G1243" s="154"/>
    </row>
    <row r="1244" spans="1:7" x14ac:dyDescent="0.3">
      <c r="A1244" s="172" t="s">
        <v>3349</v>
      </c>
      <c r="B1244" s="115" t="s">
        <v>3350</v>
      </c>
      <c r="C1244" s="116">
        <v>1890810.36</v>
      </c>
      <c r="E1244" s="154"/>
      <c r="F1244" s="154"/>
      <c r="G1244" s="154"/>
    </row>
    <row r="1245" spans="1:7" x14ac:dyDescent="0.3">
      <c r="A1245" s="172" t="s">
        <v>3351</v>
      </c>
      <c r="B1245" s="115" t="s">
        <v>3352</v>
      </c>
      <c r="C1245" s="116">
        <v>6120</v>
      </c>
      <c r="E1245" s="154"/>
      <c r="F1245" s="154"/>
      <c r="G1245" s="154"/>
    </row>
    <row r="1246" spans="1:7" x14ac:dyDescent="0.3">
      <c r="A1246" s="172" t="s">
        <v>1018</v>
      </c>
      <c r="B1246" s="115" t="s">
        <v>1019</v>
      </c>
      <c r="C1246" s="116">
        <v>-2615840.77</v>
      </c>
      <c r="E1246" s="154"/>
      <c r="F1246" s="154"/>
      <c r="G1246" s="154"/>
    </row>
    <row r="1247" spans="1:7" x14ac:dyDescent="0.3">
      <c r="A1247" s="172" t="s">
        <v>3353</v>
      </c>
      <c r="B1247" s="115" t="s">
        <v>3354</v>
      </c>
      <c r="C1247" s="116">
        <v>691432.51</v>
      </c>
      <c r="E1247" s="154"/>
      <c r="F1247" s="154"/>
      <c r="G1247" s="154"/>
    </row>
    <row r="1248" spans="1:7" x14ac:dyDescent="0.3">
      <c r="A1248" s="172" t="s">
        <v>3355</v>
      </c>
      <c r="B1248" s="115" t="s">
        <v>3356</v>
      </c>
      <c r="C1248" s="116">
        <v>95050</v>
      </c>
      <c r="E1248" s="154"/>
      <c r="F1248" s="154"/>
      <c r="G1248" s="154"/>
    </row>
    <row r="1249" spans="1:7" x14ac:dyDescent="0.3">
      <c r="A1249" s="172" t="s">
        <v>3357</v>
      </c>
      <c r="B1249" s="115" t="s">
        <v>3358</v>
      </c>
      <c r="C1249" s="116">
        <v>64001</v>
      </c>
      <c r="E1249" s="154"/>
      <c r="F1249" s="154"/>
      <c r="G1249" s="154"/>
    </row>
    <row r="1250" spans="1:7" x14ac:dyDescent="0.3">
      <c r="A1250" s="172" t="s">
        <v>3359</v>
      </c>
      <c r="B1250" s="115" t="s">
        <v>3360</v>
      </c>
      <c r="C1250" s="116">
        <v>61298.98</v>
      </c>
      <c r="E1250" s="154"/>
      <c r="F1250" s="154"/>
      <c r="G1250" s="154"/>
    </row>
    <row r="1251" spans="1:7" x14ac:dyDescent="0.3">
      <c r="A1251" s="172" t="s">
        <v>3361</v>
      </c>
      <c r="B1251" s="115" t="s">
        <v>3362</v>
      </c>
      <c r="C1251" s="116">
        <v>1179896.49</v>
      </c>
      <c r="E1251" s="154"/>
      <c r="F1251" s="154"/>
      <c r="G1251" s="154"/>
    </row>
    <row r="1252" spans="1:7" x14ac:dyDescent="0.3">
      <c r="A1252" s="172" t="s">
        <v>3363</v>
      </c>
      <c r="B1252" s="115" t="s">
        <v>3364</v>
      </c>
      <c r="C1252" s="116">
        <v>160888</v>
      </c>
      <c r="E1252" s="154"/>
      <c r="F1252" s="154"/>
      <c r="G1252" s="154"/>
    </row>
    <row r="1253" spans="1:7" x14ac:dyDescent="0.3">
      <c r="A1253" s="172" t="s">
        <v>3365</v>
      </c>
      <c r="B1253" s="115" t="s">
        <v>3366</v>
      </c>
      <c r="C1253" s="116">
        <v>32681.54</v>
      </c>
      <c r="E1253" s="154"/>
      <c r="F1253" s="154"/>
      <c r="G1253" s="154"/>
    </row>
    <row r="1254" spans="1:7" x14ac:dyDescent="0.3">
      <c r="A1254" s="172" t="s">
        <v>3367</v>
      </c>
      <c r="B1254" s="115" t="s">
        <v>3368</v>
      </c>
      <c r="C1254" s="116">
        <v>0</v>
      </c>
      <c r="E1254" s="154"/>
      <c r="F1254" s="154"/>
      <c r="G1254" s="154"/>
    </row>
    <row r="1255" spans="1:7" x14ac:dyDescent="0.3">
      <c r="A1255" s="172" t="s">
        <v>3369</v>
      </c>
      <c r="B1255" s="115" t="s">
        <v>3370</v>
      </c>
      <c r="C1255" s="116">
        <v>0</v>
      </c>
      <c r="E1255" s="154"/>
      <c r="F1255" s="154"/>
      <c r="G1255" s="154"/>
    </row>
    <row r="1256" spans="1:7" x14ac:dyDescent="0.3">
      <c r="A1256" s="172" t="s">
        <v>3371</v>
      </c>
      <c r="B1256" s="115" t="s">
        <v>3372</v>
      </c>
      <c r="C1256" s="116">
        <v>-309273956.54000002</v>
      </c>
      <c r="E1256" s="154"/>
      <c r="F1256" s="154"/>
      <c r="G1256" s="154"/>
    </row>
    <row r="1257" spans="1:7" x14ac:dyDescent="0.3">
      <c r="A1257" s="172" t="s">
        <v>3373</v>
      </c>
      <c r="B1257" s="115" t="s">
        <v>3374</v>
      </c>
      <c r="C1257" s="116">
        <v>0</v>
      </c>
      <c r="E1257" s="154"/>
      <c r="F1257" s="154"/>
      <c r="G1257" s="154"/>
    </row>
    <row r="1258" spans="1:7" x14ac:dyDescent="0.3">
      <c r="A1258" s="172" t="s">
        <v>3375</v>
      </c>
      <c r="B1258" s="115" t="s">
        <v>3376</v>
      </c>
      <c r="C1258" s="116">
        <v>4750</v>
      </c>
      <c r="E1258" s="154"/>
      <c r="F1258" s="154"/>
      <c r="G1258" s="154"/>
    </row>
    <row r="1259" spans="1:7" x14ac:dyDescent="0.3">
      <c r="A1259" s="172" t="s">
        <v>3377</v>
      </c>
      <c r="B1259" s="115" t="s">
        <v>3378</v>
      </c>
      <c r="C1259" s="116">
        <v>94689.5</v>
      </c>
      <c r="E1259" s="154"/>
      <c r="F1259" s="154"/>
      <c r="G1259" s="154"/>
    </row>
    <row r="1260" spans="1:7" x14ac:dyDescent="0.3">
      <c r="A1260" s="172" t="s">
        <v>670</v>
      </c>
      <c r="B1260" s="115" t="s">
        <v>1066</v>
      </c>
      <c r="C1260" s="116">
        <v>-652370.96</v>
      </c>
      <c r="E1260" s="154"/>
      <c r="F1260" s="154"/>
      <c r="G1260" s="154"/>
    </row>
    <row r="1261" spans="1:7" x14ac:dyDescent="0.3">
      <c r="A1261" s="172" t="s">
        <v>3379</v>
      </c>
      <c r="B1261" s="115" t="s">
        <v>3380</v>
      </c>
      <c r="C1261" s="116">
        <v>74155</v>
      </c>
      <c r="E1261" s="154"/>
      <c r="F1261" s="154"/>
      <c r="G1261" s="154"/>
    </row>
    <row r="1262" spans="1:7" x14ac:dyDescent="0.3">
      <c r="A1262" s="172" t="s">
        <v>3381</v>
      </c>
      <c r="B1262" s="115" t="s">
        <v>3382</v>
      </c>
      <c r="C1262" s="116">
        <v>700000</v>
      </c>
      <c r="E1262" s="154"/>
      <c r="F1262" s="154"/>
      <c r="G1262" s="154"/>
    </row>
    <row r="1263" spans="1:7" x14ac:dyDescent="0.3">
      <c r="A1263" s="172" t="s">
        <v>3383</v>
      </c>
      <c r="B1263" s="115" t="s">
        <v>3384</v>
      </c>
      <c r="C1263" s="116">
        <v>0</v>
      </c>
      <c r="E1263" s="154"/>
      <c r="F1263" s="154"/>
      <c r="G1263" s="154"/>
    </row>
    <row r="1264" spans="1:7" x14ac:dyDescent="0.3">
      <c r="A1264" s="172" t="s">
        <v>933</v>
      </c>
      <c r="B1264" s="115" t="s">
        <v>934</v>
      </c>
      <c r="C1264" s="116">
        <v>-169587920.41999999</v>
      </c>
      <c r="E1264" s="154"/>
      <c r="F1264" s="154"/>
      <c r="G1264" s="154"/>
    </row>
    <row r="1265" spans="1:7" x14ac:dyDescent="0.3">
      <c r="A1265" s="172" t="s">
        <v>3385</v>
      </c>
      <c r="B1265" s="115" t="s">
        <v>3386</v>
      </c>
      <c r="C1265" s="116">
        <v>1427518.92</v>
      </c>
      <c r="E1265" s="154"/>
      <c r="F1265" s="154"/>
      <c r="G1265" s="154"/>
    </row>
    <row r="1266" spans="1:7" x14ac:dyDescent="0.3">
      <c r="A1266" s="172" t="s">
        <v>3387</v>
      </c>
      <c r="B1266" s="115" t="s">
        <v>3388</v>
      </c>
      <c r="C1266" s="116">
        <v>78709.75</v>
      </c>
      <c r="E1266" s="154"/>
      <c r="F1266" s="154"/>
      <c r="G1266" s="154"/>
    </row>
    <row r="1267" spans="1:7" x14ac:dyDescent="0.3">
      <c r="A1267" s="172" t="s">
        <v>3389</v>
      </c>
      <c r="B1267" s="115" t="s">
        <v>3390</v>
      </c>
      <c r="C1267" s="116">
        <v>8290</v>
      </c>
      <c r="E1267" s="154"/>
      <c r="F1267" s="154"/>
      <c r="G1267" s="154"/>
    </row>
    <row r="1268" spans="1:7" x14ac:dyDescent="0.3">
      <c r="A1268" s="172" t="s">
        <v>3391</v>
      </c>
      <c r="B1268" s="115" t="s">
        <v>3392</v>
      </c>
      <c r="C1268" s="116">
        <v>63472.23</v>
      </c>
      <c r="E1268" s="154"/>
      <c r="F1268" s="154"/>
      <c r="G1268" s="154"/>
    </row>
    <row r="1269" spans="1:7" x14ac:dyDescent="0.3">
      <c r="A1269" s="172" t="s">
        <v>3393</v>
      </c>
      <c r="B1269" s="115" t="s">
        <v>3394</v>
      </c>
      <c r="C1269" s="116">
        <v>111138.55</v>
      </c>
      <c r="E1269" s="154"/>
      <c r="F1269" s="154"/>
      <c r="G1269" s="154"/>
    </row>
    <row r="1270" spans="1:7" x14ac:dyDescent="0.3">
      <c r="A1270" s="172" t="s">
        <v>3395</v>
      </c>
      <c r="B1270" s="115" t="s">
        <v>3396</v>
      </c>
      <c r="C1270" s="116">
        <v>1350</v>
      </c>
      <c r="E1270" s="154"/>
      <c r="F1270" s="154"/>
      <c r="G1270" s="154"/>
    </row>
    <row r="1271" spans="1:7" x14ac:dyDescent="0.3">
      <c r="A1271" s="172" t="s">
        <v>3397</v>
      </c>
      <c r="B1271" s="115" t="s">
        <v>3398</v>
      </c>
      <c r="C1271" s="116">
        <v>0</v>
      </c>
      <c r="E1271" s="154"/>
      <c r="F1271" s="154"/>
      <c r="G1271" s="154"/>
    </row>
    <row r="1272" spans="1:7" x14ac:dyDescent="0.3">
      <c r="A1272" s="172" t="s">
        <v>3399</v>
      </c>
      <c r="B1272" s="115" t="s">
        <v>3400</v>
      </c>
      <c r="C1272" s="116">
        <v>0</v>
      </c>
      <c r="E1272" s="154"/>
      <c r="F1272" s="154"/>
      <c r="G1272" s="154"/>
    </row>
    <row r="1273" spans="1:7" x14ac:dyDescent="0.3">
      <c r="A1273" s="172" t="s">
        <v>3401</v>
      </c>
      <c r="B1273" s="115" t="s">
        <v>3402</v>
      </c>
      <c r="C1273" s="116">
        <v>8525</v>
      </c>
      <c r="E1273" s="154"/>
      <c r="F1273" s="154"/>
      <c r="G1273" s="154"/>
    </row>
    <row r="1274" spans="1:7" x14ac:dyDescent="0.3">
      <c r="A1274" s="172" t="s">
        <v>3403</v>
      </c>
      <c r="B1274" s="115" t="s">
        <v>3404</v>
      </c>
      <c r="C1274" s="116">
        <v>28840</v>
      </c>
      <c r="E1274" s="154"/>
      <c r="F1274" s="154"/>
      <c r="G1274" s="154"/>
    </row>
    <row r="1275" spans="1:7" x14ac:dyDescent="0.3">
      <c r="A1275" s="172" t="s">
        <v>3405</v>
      </c>
      <c r="B1275" s="115" t="s">
        <v>3406</v>
      </c>
      <c r="C1275" s="116">
        <v>0</v>
      </c>
      <c r="E1275" s="154"/>
      <c r="F1275" s="154"/>
      <c r="G1275" s="154"/>
    </row>
    <row r="1276" spans="1:7" x14ac:dyDescent="0.3">
      <c r="A1276" s="172" t="s">
        <v>3407</v>
      </c>
      <c r="B1276" s="115" t="s">
        <v>3408</v>
      </c>
      <c r="C1276" s="116">
        <v>0</v>
      </c>
      <c r="E1276" s="154"/>
      <c r="F1276" s="154"/>
      <c r="G1276" s="154"/>
    </row>
    <row r="1277" spans="1:7" x14ac:dyDescent="0.3">
      <c r="A1277" s="172" t="s">
        <v>3409</v>
      </c>
      <c r="B1277" s="115" t="s">
        <v>3410</v>
      </c>
      <c r="C1277" s="116">
        <v>0</v>
      </c>
      <c r="E1277" s="154"/>
      <c r="F1277" s="154"/>
      <c r="G1277" s="154"/>
    </row>
    <row r="1278" spans="1:7" x14ac:dyDescent="0.3">
      <c r="A1278" s="172" t="s">
        <v>3411</v>
      </c>
      <c r="B1278" s="115" t="s">
        <v>3412</v>
      </c>
      <c r="C1278" s="116">
        <v>0</v>
      </c>
      <c r="E1278" s="154"/>
      <c r="F1278" s="154"/>
      <c r="G1278" s="154"/>
    </row>
    <row r="1279" spans="1:7" x14ac:dyDescent="0.3">
      <c r="A1279" s="172" t="s">
        <v>3413</v>
      </c>
      <c r="B1279" s="115" t="s">
        <v>3414</v>
      </c>
      <c r="C1279" s="116">
        <v>0</v>
      </c>
      <c r="E1279" s="154"/>
      <c r="F1279" s="154"/>
      <c r="G1279" s="154"/>
    </row>
    <row r="1280" spans="1:7" x14ac:dyDescent="0.3">
      <c r="A1280" s="172" t="s">
        <v>3415</v>
      </c>
      <c r="B1280" s="115" t="s">
        <v>3416</v>
      </c>
      <c r="C1280" s="116">
        <v>2031179.7</v>
      </c>
      <c r="E1280" s="154"/>
      <c r="F1280" s="154"/>
      <c r="G1280" s="154"/>
    </row>
    <row r="1281" spans="1:7" x14ac:dyDescent="0.3">
      <c r="A1281" s="172" t="s">
        <v>3417</v>
      </c>
      <c r="B1281" s="115" t="s">
        <v>3418</v>
      </c>
      <c r="C1281" s="116">
        <v>916</v>
      </c>
      <c r="E1281" s="154"/>
      <c r="F1281" s="154"/>
      <c r="G1281" s="154"/>
    </row>
    <row r="1282" spans="1:7" x14ac:dyDescent="0.3">
      <c r="A1282" s="172" t="s">
        <v>3419</v>
      </c>
      <c r="B1282" s="115" t="s">
        <v>3420</v>
      </c>
      <c r="C1282" s="116">
        <v>0</v>
      </c>
      <c r="E1282" s="154"/>
      <c r="F1282" s="154"/>
      <c r="G1282" s="154"/>
    </row>
    <row r="1283" spans="1:7" x14ac:dyDescent="0.3">
      <c r="A1283" s="172" t="s">
        <v>3421</v>
      </c>
      <c r="B1283" s="115" t="s">
        <v>3422</v>
      </c>
      <c r="C1283" s="116">
        <v>0</v>
      </c>
      <c r="E1283" s="154"/>
      <c r="F1283" s="154"/>
      <c r="G1283" s="154"/>
    </row>
    <row r="1284" spans="1:7" x14ac:dyDescent="0.3">
      <c r="A1284" s="172" t="s">
        <v>3423</v>
      </c>
      <c r="B1284" s="115" t="s">
        <v>3424</v>
      </c>
      <c r="C1284" s="116">
        <v>0</v>
      </c>
      <c r="E1284" s="154"/>
      <c r="F1284" s="154"/>
      <c r="G1284" s="154"/>
    </row>
    <row r="1285" spans="1:7" x14ac:dyDescent="0.3">
      <c r="A1285" s="172" t="s">
        <v>3425</v>
      </c>
      <c r="B1285" s="115" t="s">
        <v>3426</v>
      </c>
      <c r="C1285" s="116">
        <v>0</v>
      </c>
      <c r="E1285" s="154"/>
      <c r="F1285" s="154"/>
      <c r="G1285" s="154"/>
    </row>
    <row r="1286" spans="1:7" x14ac:dyDescent="0.3">
      <c r="A1286" s="172" t="s">
        <v>3427</v>
      </c>
      <c r="B1286" s="115" t="s">
        <v>3428</v>
      </c>
      <c r="C1286" s="116">
        <v>0</v>
      </c>
      <c r="E1286" s="154"/>
      <c r="F1286" s="154"/>
      <c r="G1286" s="154"/>
    </row>
    <row r="1287" spans="1:7" x14ac:dyDescent="0.3">
      <c r="A1287" s="172" t="s">
        <v>3429</v>
      </c>
      <c r="B1287" s="115" t="s">
        <v>3430</v>
      </c>
      <c r="C1287" s="116">
        <v>0</v>
      </c>
      <c r="E1287" s="154"/>
      <c r="F1287" s="154"/>
      <c r="G1287" s="154"/>
    </row>
    <row r="1288" spans="1:7" x14ac:dyDescent="0.3">
      <c r="A1288" s="172" t="s">
        <v>979</v>
      </c>
      <c r="B1288" s="115" t="s">
        <v>980</v>
      </c>
      <c r="C1288" s="116">
        <v>0</v>
      </c>
      <c r="E1288" s="154"/>
      <c r="F1288" s="154"/>
      <c r="G1288" s="154"/>
    </row>
    <row r="1289" spans="1:7" x14ac:dyDescent="0.3">
      <c r="A1289" s="172" t="s">
        <v>3431</v>
      </c>
      <c r="B1289" s="115" t="s">
        <v>3432</v>
      </c>
      <c r="C1289" s="116">
        <v>0</v>
      </c>
      <c r="E1289" s="154"/>
      <c r="F1289" s="154"/>
      <c r="G1289" s="154"/>
    </row>
    <row r="1290" spans="1:7" x14ac:dyDescent="0.3">
      <c r="A1290" s="172" t="s">
        <v>3433</v>
      </c>
      <c r="B1290" s="115" t="s">
        <v>3434</v>
      </c>
      <c r="C1290" s="116">
        <v>0</v>
      </c>
      <c r="E1290" s="154"/>
      <c r="F1290" s="154"/>
      <c r="G1290" s="154"/>
    </row>
    <row r="1291" spans="1:7" x14ac:dyDescent="0.3">
      <c r="A1291" s="172" t="s">
        <v>3435</v>
      </c>
      <c r="B1291" s="115" t="s">
        <v>3436</v>
      </c>
      <c r="C1291" s="116">
        <v>0</v>
      </c>
      <c r="E1291" s="154"/>
      <c r="F1291" s="154"/>
      <c r="G1291" s="154"/>
    </row>
    <row r="1292" spans="1:7" x14ac:dyDescent="0.3">
      <c r="A1292" s="172" t="s">
        <v>3437</v>
      </c>
      <c r="B1292" s="115" t="s">
        <v>3438</v>
      </c>
      <c r="C1292" s="116">
        <v>0</v>
      </c>
      <c r="E1292" s="154"/>
      <c r="F1292" s="154"/>
      <c r="G1292" s="154"/>
    </row>
    <row r="1293" spans="1:7" x14ac:dyDescent="0.3">
      <c r="A1293" s="172" t="s">
        <v>588</v>
      </c>
      <c r="B1293" s="115" t="s">
        <v>589</v>
      </c>
      <c r="C1293" s="116">
        <v>0</v>
      </c>
      <c r="E1293" s="154"/>
      <c r="F1293" s="154"/>
      <c r="G1293" s="154"/>
    </row>
    <row r="1294" spans="1:7" x14ac:dyDescent="0.3">
      <c r="A1294" s="172" t="s">
        <v>3439</v>
      </c>
      <c r="B1294" s="115" t="s">
        <v>3440</v>
      </c>
      <c r="C1294" s="116">
        <v>0</v>
      </c>
      <c r="E1294" s="154"/>
      <c r="F1294" s="154"/>
      <c r="G1294" s="154"/>
    </row>
    <row r="1295" spans="1:7" x14ac:dyDescent="0.3">
      <c r="A1295" s="172" t="s">
        <v>3441</v>
      </c>
      <c r="B1295" s="115" t="s">
        <v>3442</v>
      </c>
      <c r="C1295" s="116">
        <v>0</v>
      </c>
      <c r="E1295" s="154"/>
      <c r="F1295" s="154"/>
      <c r="G1295" s="154"/>
    </row>
    <row r="1296" spans="1:7" x14ac:dyDescent="0.3">
      <c r="A1296" s="172" t="s">
        <v>3443</v>
      </c>
      <c r="B1296" s="115" t="s">
        <v>3444</v>
      </c>
      <c r="C1296" s="116">
        <v>0</v>
      </c>
      <c r="E1296" s="154"/>
      <c r="F1296" s="154"/>
      <c r="G1296" s="154"/>
    </row>
    <row r="1297" spans="1:7" x14ac:dyDescent="0.3">
      <c r="A1297" s="172" t="s">
        <v>3445</v>
      </c>
      <c r="B1297" s="115" t="s">
        <v>3446</v>
      </c>
      <c r="C1297" s="116">
        <v>0</v>
      </c>
      <c r="E1297" s="154"/>
      <c r="F1297" s="154"/>
      <c r="G1297" s="154"/>
    </row>
    <row r="1298" spans="1:7" x14ac:dyDescent="0.3">
      <c r="A1298" s="172" t="s">
        <v>3447</v>
      </c>
      <c r="B1298" s="115" t="s">
        <v>3448</v>
      </c>
      <c r="C1298" s="116">
        <v>0</v>
      </c>
      <c r="E1298" s="154"/>
      <c r="F1298" s="154"/>
      <c r="G1298" s="154"/>
    </row>
    <row r="1299" spans="1:7" x14ac:dyDescent="0.3">
      <c r="A1299" s="172" t="s">
        <v>3449</v>
      </c>
      <c r="B1299" s="115" t="s">
        <v>3450</v>
      </c>
      <c r="C1299" s="116">
        <v>0</v>
      </c>
      <c r="E1299" s="154"/>
      <c r="F1299" s="154"/>
      <c r="G1299" s="154"/>
    </row>
    <row r="1300" spans="1:7" x14ac:dyDescent="0.3">
      <c r="A1300" s="172" t="s">
        <v>3451</v>
      </c>
      <c r="B1300" s="115" t="s">
        <v>3452</v>
      </c>
      <c r="C1300" s="116">
        <v>0</v>
      </c>
      <c r="E1300" s="154"/>
      <c r="F1300" s="154"/>
      <c r="G1300" s="154"/>
    </row>
    <row r="1301" spans="1:7" x14ac:dyDescent="0.3">
      <c r="A1301" s="172" t="s">
        <v>3453</v>
      </c>
      <c r="B1301" s="115" t="s">
        <v>3454</v>
      </c>
      <c r="C1301" s="116">
        <v>0</v>
      </c>
      <c r="E1301" s="154"/>
      <c r="F1301" s="154"/>
      <c r="G1301" s="154"/>
    </row>
    <row r="1302" spans="1:7" x14ac:dyDescent="0.3">
      <c r="A1302" s="172" t="s">
        <v>3455</v>
      </c>
      <c r="B1302" s="115" t="s">
        <v>3456</v>
      </c>
      <c r="C1302" s="116">
        <v>0</v>
      </c>
      <c r="E1302" s="154"/>
      <c r="F1302" s="154"/>
      <c r="G1302" s="154"/>
    </row>
    <row r="1303" spans="1:7" x14ac:dyDescent="0.3">
      <c r="A1303" s="172" t="s">
        <v>3457</v>
      </c>
      <c r="B1303" s="115" t="s">
        <v>3458</v>
      </c>
      <c r="C1303" s="116">
        <v>0</v>
      </c>
      <c r="E1303" s="154"/>
      <c r="F1303" s="154"/>
      <c r="G1303" s="154"/>
    </row>
    <row r="1304" spans="1:7" x14ac:dyDescent="0.3">
      <c r="A1304" s="172" t="s">
        <v>3459</v>
      </c>
      <c r="B1304" s="115" t="s">
        <v>3460</v>
      </c>
      <c r="C1304" s="116">
        <v>0</v>
      </c>
      <c r="E1304" s="154"/>
      <c r="F1304" s="154"/>
      <c r="G1304" s="154"/>
    </row>
    <row r="1305" spans="1:7" x14ac:dyDescent="0.3">
      <c r="A1305" s="172" t="s">
        <v>841</v>
      </c>
      <c r="B1305" s="115" t="s">
        <v>842</v>
      </c>
      <c r="C1305" s="116">
        <v>0</v>
      </c>
      <c r="E1305" s="154"/>
      <c r="F1305" s="154"/>
      <c r="G1305" s="154"/>
    </row>
    <row r="1306" spans="1:7" x14ac:dyDescent="0.3">
      <c r="A1306" s="172" t="s">
        <v>865</v>
      </c>
      <c r="B1306" s="115" t="s">
        <v>866</v>
      </c>
      <c r="C1306" s="116">
        <v>0</v>
      </c>
      <c r="E1306" s="154"/>
      <c r="F1306" s="154"/>
      <c r="G1306" s="154"/>
    </row>
    <row r="1307" spans="1:7" x14ac:dyDescent="0.3">
      <c r="A1307" s="172" t="s">
        <v>1006</v>
      </c>
      <c r="B1307" s="115" t="s">
        <v>1007</v>
      </c>
      <c r="C1307" s="116">
        <v>0</v>
      </c>
      <c r="E1307" s="154"/>
      <c r="F1307" s="154"/>
      <c r="G1307" s="154"/>
    </row>
    <row r="1308" spans="1:7" x14ac:dyDescent="0.3">
      <c r="A1308" s="172" t="s">
        <v>3461</v>
      </c>
      <c r="B1308" s="115" t="s">
        <v>3462</v>
      </c>
      <c r="C1308" s="116">
        <v>0</v>
      </c>
      <c r="E1308" s="154"/>
      <c r="F1308" s="154"/>
      <c r="G1308" s="154"/>
    </row>
    <row r="1309" spans="1:7" x14ac:dyDescent="0.3">
      <c r="A1309" s="172" t="s">
        <v>3463</v>
      </c>
      <c r="B1309" s="115" t="s">
        <v>3464</v>
      </c>
      <c r="C1309" s="116">
        <v>0</v>
      </c>
      <c r="E1309" s="154"/>
      <c r="F1309" s="154"/>
      <c r="G1309" s="154"/>
    </row>
    <row r="1310" spans="1:7" x14ac:dyDescent="0.3">
      <c r="A1310" s="172" t="s">
        <v>3465</v>
      </c>
      <c r="B1310" s="115" t="s">
        <v>3466</v>
      </c>
      <c r="C1310" s="116">
        <v>0</v>
      </c>
      <c r="E1310" s="154"/>
      <c r="F1310" s="154"/>
      <c r="G1310" s="154"/>
    </row>
    <row r="1311" spans="1:7" x14ac:dyDescent="0.3">
      <c r="A1311" s="172" t="s">
        <v>3467</v>
      </c>
      <c r="B1311" s="115" t="s">
        <v>3468</v>
      </c>
      <c r="C1311" s="116">
        <v>0</v>
      </c>
      <c r="E1311" s="154"/>
      <c r="F1311" s="154"/>
      <c r="G1311" s="154"/>
    </row>
    <row r="1312" spans="1:7" x14ac:dyDescent="0.3">
      <c r="A1312" s="172" t="s">
        <v>3469</v>
      </c>
      <c r="B1312" s="115" t="s">
        <v>3470</v>
      </c>
      <c r="C1312" s="116">
        <v>0</v>
      </c>
      <c r="E1312" s="154"/>
      <c r="F1312" s="154"/>
      <c r="G1312" s="154"/>
    </row>
    <row r="1313" spans="1:7" x14ac:dyDescent="0.3">
      <c r="A1313" s="172" t="s">
        <v>3471</v>
      </c>
      <c r="B1313" s="115" t="s">
        <v>3472</v>
      </c>
      <c r="C1313" s="116">
        <v>0</v>
      </c>
      <c r="E1313" s="154"/>
      <c r="F1313" s="154"/>
      <c r="G1313" s="154"/>
    </row>
    <row r="1314" spans="1:7" x14ac:dyDescent="0.3">
      <c r="A1314" s="172" t="s">
        <v>3473</v>
      </c>
      <c r="B1314" s="115" t="s">
        <v>3474</v>
      </c>
      <c r="C1314" s="116">
        <v>0</v>
      </c>
      <c r="E1314" s="154"/>
      <c r="F1314" s="154"/>
      <c r="G1314" s="154"/>
    </row>
    <row r="1315" spans="1:7" x14ac:dyDescent="0.3">
      <c r="A1315" s="172" t="s">
        <v>3475</v>
      </c>
      <c r="B1315" s="115" t="s">
        <v>3476</v>
      </c>
      <c r="C1315" s="116">
        <v>0</v>
      </c>
      <c r="E1315" s="154"/>
      <c r="F1315" s="154"/>
      <c r="G1315" s="154"/>
    </row>
    <row r="1316" spans="1:7" x14ac:dyDescent="0.3">
      <c r="A1316" s="172" t="s">
        <v>3477</v>
      </c>
      <c r="B1316" s="115" t="s">
        <v>3478</v>
      </c>
      <c r="C1316" s="116">
        <v>0</v>
      </c>
      <c r="E1316" s="154"/>
      <c r="F1316" s="154"/>
      <c r="G1316" s="154"/>
    </row>
    <row r="1317" spans="1:7" x14ac:dyDescent="0.3">
      <c r="A1317" s="172" t="s">
        <v>3479</v>
      </c>
      <c r="B1317" s="115" t="s">
        <v>3480</v>
      </c>
      <c r="C1317" s="116">
        <v>0</v>
      </c>
      <c r="E1317" s="154"/>
      <c r="F1317" s="154"/>
      <c r="G1317" s="154"/>
    </row>
    <row r="1318" spans="1:7" x14ac:dyDescent="0.3">
      <c r="A1318" s="172" t="s">
        <v>3481</v>
      </c>
      <c r="B1318" s="115" t="s">
        <v>3482</v>
      </c>
      <c r="C1318" s="116">
        <v>30000</v>
      </c>
      <c r="E1318" s="154"/>
      <c r="F1318" s="154"/>
      <c r="G1318" s="154"/>
    </row>
    <row r="1319" spans="1:7" x14ac:dyDescent="0.3">
      <c r="A1319" s="172" t="s">
        <v>3483</v>
      </c>
      <c r="B1319" s="115" t="s">
        <v>3484</v>
      </c>
      <c r="C1319" s="116">
        <v>0</v>
      </c>
      <c r="E1319" s="154"/>
      <c r="F1319" s="154"/>
      <c r="G1319" s="154"/>
    </row>
    <row r="1320" spans="1:7" x14ac:dyDescent="0.3">
      <c r="A1320" s="172" t="s">
        <v>3485</v>
      </c>
      <c r="B1320" s="115" t="s">
        <v>3486</v>
      </c>
      <c r="C1320" s="116">
        <v>0</v>
      </c>
      <c r="E1320" s="154"/>
      <c r="F1320" s="154"/>
      <c r="G1320" s="154"/>
    </row>
    <row r="1321" spans="1:7" x14ac:dyDescent="0.3">
      <c r="A1321" s="172" t="s">
        <v>3487</v>
      </c>
      <c r="B1321" s="115" t="s">
        <v>3488</v>
      </c>
      <c r="C1321" s="116">
        <v>0</v>
      </c>
      <c r="E1321" s="154"/>
      <c r="F1321" s="154"/>
      <c r="G1321" s="154"/>
    </row>
    <row r="1322" spans="1:7" x14ac:dyDescent="0.3">
      <c r="A1322" s="172" t="s">
        <v>3489</v>
      </c>
      <c r="B1322" s="115" t="s">
        <v>3490</v>
      </c>
      <c r="C1322" s="116">
        <v>0</v>
      </c>
      <c r="E1322" s="154"/>
      <c r="F1322" s="154"/>
      <c r="G1322" s="154"/>
    </row>
    <row r="1323" spans="1:7" x14ac:dyDescent="0.3">
      <c r="A1323" s="172" t="s">
        <v>3491</v>
      </c>
      <c r="B1323" s="115" t="s">
        <v>3492</v>
      </c>
      <c r="C1323" s="116">
        <v>0</v>
      </c>
      <c r="E1323" s="154"/>
      <c r="F1323" s="154"/>
      <c r="G1323" s="154"/>
    </row>
    <row r="1324" spans="1:7" x14ac:dyDescent="0.3">
      <c r="A1324" s="172" t="s">
        <v>3493</v>
      </c>
      <c r="B1324" s="115" t="s">
        <v>3494</v>
      </c>
      <c r="C1324" s="116">
        <v>0</v>
      </c>
      <c r="E1324" s="154"/>
      <c r="F1324" s="154"/>
      <c r="G1324" s="154"/>
    </row>
    <row r="1325" spans="1:7" x14ac:dyDescent="0.3">
      <c r="A1325" s="172" t="s">
        <v>3495</v>
      </c>
      <c r="B1325" s="115" t="s">
        <v>3496</v>
      </c>
      <c r="C1325" s="116">
        <v>929513.48</v>
      </c>
      <c r="E1325" s="154"/>
      <c r="F1325" s="154"/>
      <c r="G1325" s="154"/>
    </row>
    <row r="1326" spans="1:7" x14ac:dyDescent="0.3">
      <c r="A1326" s="172" t="s">
        <v>3497</v>
      </c>
      <c r="B1326" s="115" t="s">
        <v>3498</v>
      </c>
      <c r="C1326" s="116">
        <v>0</v>
      </c>
      <c r="E1326" s="154"/>
      <c r="F1326" s="154"/>
      <c r="G1326" s="154"/>
    </row>
    <row r="1327" spans="1:7" x14ac:dyDescent="0.3">
      <c r="A1327" s="172" t="s">
        <v>3499</v>
      </c>
      <c r="B1327" s="115" t="s">
        <v>3500</v>
      </c>
      <c r="C1327" s="116">
        <v>-351744157.57999998</v>
      </c>
      <c r="E1327" s="154"/>
      <c r="F1327" s="154"/>
      <c r="G1327" s="154"/>
    </row>
    <row r="1328" spans="1:7" x14ac:dyDescent="0.3">
      <c r="A1328" s="172" t="s">
        <v>3501</v>
      </c>
      <c r="B1328" s="115" t="s">
        <v>3502</v>
      </c>
      <c r="C1328" s="116">
        <v>313263.37</v>
      </c>
      <c r="E1328" s="154"/>
      <c r="F1328" s="154"/>
      <c r="G1328" s="154"/>
    </row>
    <row r="1329" spans="1:7" x14ac:dyDescent="0.3">
      <c r="A1329" s="172" t="s">
        <v>3503</v>
      </c>
      <c r="B1329" s="115" t="s">
        <v>3504</v>
      </c>
      <c r="C1329" s="116">
        <v>215000</v>
      </c>
      <c r="E1329" s="154"/>
      <c r="F1329" s="154"/>
      <c r="G1329" s="154"/>
    </row>
    <row r="1330" spans="1:7" x14ac:dyDescent="0.3">
      <c r="A1330" s="172" t="s">
        <v>3505</v>
      </c>
      <c r="B1330" s="115" t="s">
        <v>3506</v>
      </c>
      <c r="C1330" s="116">
        <v>46416</v>
      </c>
      <c r="E1330" s="154"/>
      <c r="F1330" s="154"/>
      <c r="G1330" s="154"/>
    </row>
    <row r="1331" spans="1:7" x14ac:dyDescent="0.3">
      <c r="A1331" s="172" t="s">
        <v>3507</v>
      </c>
      <c r="B1331" s="115" t="s">
        <v>3508</v>
      </c>
      <c r="C1331" s="116">
        <v>545717.5</v>
      </c>
      <c r="E1331" s="154"/>
      <c r="F1331" s="154"/>
      <c r="G1331" s="154"/>
    </row>
    <row r="1332" spans="1:7" x14ac:dyDescent="0.3">
      <c r="A1332" s="172" t="s">
        <v>1032</v>
      </c>
      <c r="B1332" s="115" t="s">
        <v>1033</v>
      </c>
      <c r="C1332" s="116">
        <v>-554810.55000000005</v>
      </c>
      <c r="E1332" s="154"/>
      <c r="F1332" s="154"/>
      <c r="G1332" s="154"/>
    </row>
    <row r="1333" spans="1:7" x14ac:dyDescent="0.3">
      <c r="A1333" s="172" t="s">
        <v>3509</v>
      </c>
      <c r="B1333" s="115" t="s">
        <v>3510</v>
      </c>
      <c r="C1333" s="116">
        <v>158532.95000000001</v>
      </c>
      <c r="E1333" s="154"/>
      <c r="F1333" s="154"/>
      <c r="G1333" s="154"/>
    </row>
    <row r="1334" spans="1:7" x14ac:dyDescent="0.3">
      <c r="A1334" s="172" t="s">
        <v>3511</v>
      </c>
      <c r="B1334" s="115" t="s">
        <v>3512</v>
      </c>
      <c r="C1334" s="116">
        <v>1066488.98</v>
      </c>
      <c r="E1334" s="154"/>
      <c r="F1334" s="154"/>
      <c r="G1334" s="154"/>
    </row>
    <row r="1335" spans="1:7" x14ac:dyDescent="0.3">
      <c r="A1335" s="172" t="s">
        <v>3513</v>
      </c>
      <c r="B1335" s="115" t="s">
        <v>3514</v>
      </c>
      <c r="C1335" s="116">
        <v>277218.12</v>
      </c>
      <c r="E1335" s="154"/>
      <c r="F1335" s="154"/>
      <c r="G1335" s="154"/>
    </row>
    <row r="1336" spans="1:7" x14ac:dyDescent="0.3">
      <c r="A1336" s="172" t="s">
        <v>3515</v>
      </c>
      <c r="B1336" s="115" t="s">
        <v>3516</v>
      </c>
      <c r="C1336" s="116">
        <v>457487</v>
      </c>
      <c r="E1336" s="154"/>
      <c r="F1336" s="154"/>
      <c r="G1336" s="154"/>
    </row>
    <row r="1337" spans="1:7" x14ac:dyDescent="0.3">
      <c r="A1337" s="172" t="s">
        <v>3517</v>
      </c>
      <c r="B1337" s="115" t="s">
        <v>3518</v>
      </c>
      <c r="C1337" s="116">
        <v>115870</v>
      </c>
      <c r="E1337" s="154"/>
      <c r="F1337" s="154"/>
      <c r="G1337" s="154"/>
    </row>
    <row r="1338" spans="1:7" x14ac:dyDescent="0.3">
      <c r="A1338" s="172" t="s">
        <v>1012</v>
      </c>
      <c r="B1338" s="115" t="s">
        <v>1013</v>
      </c>
      <c r="C1338" s="116">
        <v>-9175198.4499999993</v>
      </c>
      <c r="E1338" s="154"/>
      <c r="F1338" s="154"/>
      <c r="G1338" s="154"/>
    </row>
    <row r="1339" spans="1:7" x14ac:dyDescent="0.3">
      <c r="A1339" s="172" t="s">
        <v>3519</v>
      </c>
      <c r="B1339" s="115" t="s">
        <v>3520</v>
      </c>
      <c r="C1339" s="116">
        <v>55195</v>
      </c>
      <c r="E1339" s="154"/>
      <c r="F1339" s="154"/>
      <c r="G1339" s="154"/>
    </row>
    <row r="1340" spans="1:7" x14ac:dyDescent="0.3">
      <c r="A1340" s="172" t="s">
        <v>3521</v>
      </c>
      <c r="B1340" s="115" t="s">
        <v>3522</v>
      </c>
      <c r="C1340" s="116">
        <v>172952.62</v>
      </c>
      <c r="E1340" s="154"/>
      <c r="F1340" s="154"/>
      <c r="G1340" s="154"/>
    </row>
    <row r="1341" spans="1:7" x14ac:dyDescent="0.3">
      <c r="A1341" s="172" t="s">
        <v>3523</v>
      </c>
      <c r="B1341" s="115" t="s">
        <v>3524</v>
      </c>
      <c r="C1341" s="116">
        <v>257266</v>
      </c>
      <c r="E1341" s="154"/>
      <c r="F1341" s="154"/>
      <c r="G1341" s="154"/>
    </row>
    <row r="1342" spans="1:7" x14ac:dyDescent="0.3">
      <c r="A1342" s="172" t="s">
        <v>3525</v>
      </c>
      <c r="B1342" s="115" t="s">
        <v>3526</v>
      </c>
      <c r="C1342" s="116">
        <v>50000.15</v>
      </c>
      <c r="E1342" s="154"/>
      <c r="F1342" s="154"/>
      <c r="G1342" s="154"/>
    </row>
    <row r="1343" spans="1:7" x14ac:dyDescent="0.3">
      <c r="A1343" s="172" t="s">
        <v>3527</v>
      </c>
      <c r="B1343" s="115" t="s">
        <v>3528</v>
      </c>
      <c r="C1343" s="116">
        <v>111138.55</v>
      </c>
      <c r="E1343" s="154"/>
      <c r="F1343" s="154"/>
      <c r="G1343" s="154"/>
    </row>
    <row r="1344" spans="1:7" x14ac:dyDescent="0.3">
      <c r="A1344" s="172" t="s">
        <v>1083</v>
      </c>
      <c r="B1344" s="115" t="s">
        <v>1084</v>
      </c>
      <c r="C1344" s="116">
        <v>-2070920.8</v>
      </c>
      <c r="E1344" s="154"/>
      <c r="F1344" s="154"/>
      <c r="G1344" s="154"/>
    </row>
    <row r="1345" spans="1:7" x14ac:dyDescent="0.3">
      <c r="A1345" s="172" t="s">
        <v>3529</v>
      </c>
      <c r="B1345" s="115" t="s">
        <v>3530</v>
      </c>
      <c r="C1345" s="116">
        <v>30531.89</v>
      </c>
      <c r="E1345" s="154"/>
      <c r="F1345" s="154"/>
      <c r="G1345" s="154"/>
    </row>
    <row r="1346" spans="1:7" x14ac:dyDescent="0.3">
      <c r="A1346" s="172" t="s">
        <v>3531</v>
      </c>
      <c r="B1346" s="115" t="s">
        <v>3532</v>
      </c>
      <c r="C1346" s="116">
        <v>681175.61</v>
      </c>
      <c r="E1346" s="154"/>
      <c r="F1346" s="154"/>
      <c r="G1346" s="154"/>
    </row>
    <row r="1347" spans="1:7" x14ac:dyDescent="0.3">
      <c r="A1347" s="172" t="s">
        <v>3533</v>
      </c>
      <c r="B1347" s="115" t="s">
        <v>3534</v>
      </c>
      <c r="C1347" s="116">
        <v>246069.03</v>
      </c>
      <c r="E1347" s="154"/>
      <c r="F1347" s="154"/>
      <c r="G1347" s="154"/>
    </row>
    <row r="1348" spans="1:7" x14ac:dyDescent="0.3">
      <c r="A1348" s="172" t="s">
        <v>3535</v>
      </c>
      <c r="B1348" s="115" t="s">
        <v>3536</v>
      </c>
      <c r="C1348" s="116">
        <v>158501.39000000001</v>
      </c>
      <c r="E1348" s="154"/>
      <c r="F1348" s="154"/>
      <c r="G1348" s="154"/>
    </row>
    <row r="1349" spans="1:7" x14ac:dyDescent="0.3">
      <c r="A1349" s="172" t="s">
        <v>3537</v>
      </c>
      <c r="B1349" s="115" t="s">
        <v>3538</v>
      </c>
      <c r="C1349" s="116">
        <v>10055</v>
      </c>
      <c r="E1349" s="154"/>
      <c r="F1349" s="154"/>
      <c r="G1349" s="154"/>
    </row>
    <row r="1350" spans="1:7" x14ac:dyDescent="0.3">
      <c r="A1350" s="172" t="s">
        <v>3539</v>
      </c>
      <c r="B1350" s="115" t="s">
        <v>3540</v>
      </c>
      <c r="C1350" s="116">
        <v>208205.81</v>
      </c>
      <c r="E1350" s="154"/>
      <c r="F1350" s="154"/>
      <c r="G1350" s="154"/>
    </row>
    <row r="1351" spans="1:7" x14ac:dyDescent="0.3">
      <c r="A1351" s="172" t="s">
        <v>971</v>
      </c>
      <c r="B1351" s="115" t="s">
        <v>3541</v>
      </c>
      <c r="C1351" s="116">
        <v>-1231529.18</v>
      </c>
      <c r="E1351" s="154"/>
      <c r="F1351" s="154"/>
      <c r="G1351" s="154"/>
    </row>
    <row r="1352" spans="1:7" x14ac:dyDescent="0.3">
      <c r="A1352" s="172" t="s">
        <v>3542</v>
      </c>
      <c r="B1352" s="115" t="s">
        <v>3543</v>
      </c>
      <c r="C1352" s="116">
        <v>1727775.66</v>
      </c>
      <c r="E1352" s="154"/>
      <c r="F1352" s="154"/>
      <c r="G1352" s="154"/>
    </row>
    <row r="1353" spans="1:7" x14ac:dyDescent="0.3">
      <c r="A1353" s="172" t="s">
        <v>3544</v>
      </c>
      <c r="B1353" s="115" t="s">
        <v>3545</v>
      </c>
      <c r="C1353" s="116">
        <v>169310</v>
      </c>
      <c r="E1353" s="154"/>
      <c r="F1353" s="154"/>
      <c r="G1353" s="154"/>
    </row>
    <row r="1354" spans="1:7" x14ac:dyDescent="0.3">
      <c r="A1354" s="172" t="s">
        <v>3546</v>
      </c>
      <c r="B1354" s="115" t="s">
        <v>3547</v>
      </c>
      <c r="C1354" s="116">
        <v>1134117.95</v>
      </c>
      <c r="E1354" s="154"/>
      <c r="F1354" s="154"/>
      <c r="G1354" s="154"/>
    </row>
    <row r="1355" spans="1:7" x14ac:dyDescent="0.3">
      <c r="A1355" s="172" t="s">
        <v>3548</v>
      </c>
      <c r="B1355" s="115" t="s">
        <v>3549</v>
      </c>
      <c r="C1355" s="116">
        <v>192190</v>
      </c>
      <c r="E1355" s="154"/>
      <c r="F1355" s="154"/>
      <c r="G1355" s="154"/>
    </row>
    <row r="1356" spans="1:7" x14ac:dyDescent="0.3">
      <c r="A1356" s="172" t="s">
        <v>1046</v>
      </c>
      <c r="B1356" s="115" t="s">
        <v>1047</v>
      </c>
      <c r="C1356" s="116">
        <v>-0.65</v>
      </c>
      <c r="E1356" s="154"/>
      <c r="F1356" s="154"/>
      <c r="G1356" s="154"/>
    </row>
    <row r="1357" spans="1:7" x14ac:dyDescent="0.3">
      <c r="A1357" s="172" t="s">
        <v>3550</v>
      </c>
      <c r="B1357" s="115" t="s">
        <v>3551</v>
      </c>
      <c r="C1357" s="116">
        <v>106605.91</v>
      </c>
      <c r="E1357" s="154"/>
      <c r="F1357" s="154"/>
      <c r="G1357" s="154"/>
    </row>
    <row r="1358" spans="1:7" x14ac:dyDescent="0.3">
      <c r="A1358" s="172" t="s">
        <v>714</v>
      </c>
      <c r="B1358" s="115" t="s">
        <v>715</v>
      </c>
      <c r="C1358" s="116">
        <v>0</v>
      </c>
      <c r="E1358" s="154"/>
      <c r="F1358" s="154"/>
      <c r="G1358" s="154"/>
    </row>
    <row r="1359" spans="1:7" x14ac:dyDescent="0.3">
      <c r="A1359" s="172" t="s">
        <v>3552</v>
      </c>
      <c r="B1359" s="115" t="s">
        <v>3553</v>
      </c>
      <c r="C1359" s="116">
        <v>221820</v>
      </c>
      <c r="E1359" s="154"/>
      <c r="F1359" s="154"/>
      <c r="G1359" s="154"/>
    </row>
    <row r="1360" spans="1:7" x14ac:dyDescent="0.3">
      <c r="A1360" s="172" t="s">
        <v>3554</v>
      </c>
      <c r="B1360" s="115" t="s">
        <v>3555</v>
      </c>
      <c r="C1360" s="116">
        <v>418697.43</v>
      </c>
      <c r="E1360" s="154"/>
      <c r="F1360" s="154"/>
      <c r="G1360" s="154"/>
    </row>
    <row r="1361" spans="1:7" x14ac:dyDescent="0.3">
      <c r="A1361" s="172" t="s">
        <v>3556</v>
      </c>
      <c r="B1361" s="115" t="s">
        <v>3557</v>
      </c>
      <c r="C1361" s="116">
        <v>23706.66</v>
      </c>
      <c r="E1361" s="154"/>
      <c r="F1361" s="154"/>
      <c r="G1361" s="154"/>
    </row>
    <row r="1362" spans="1:7" x14ac:dyDescent="0.3">
      <c r="A1362" s="172" t="s">
        <v>3558</v>
      </c>
      <c r="B1362" s="115" t="s">
        <v>3559</v>
      </c>
      <c r="C1362" s="116">
        <v>226785.01</v>
      </c>
      <c r="E1362" s="154"/>
      <c r="F1362" s="154"/>
      <c r="G1362" s="154"/>
    </row>
    <row r="1363" spans="1:7" x14ac:dyDescent="0.3">
      <c r="A1363" s="172" t="s">
        <v>3560</v>
      </c>
      <c r="B1363" s="115" t="s">
        <v>3561</v>
      </c>
      <c r="C1363" s="116">
        <v>721484.01</v>
      </c>
      <c r="E1363" s="154"/>
      <c r="F1363" s="154"/>
      <c r="G1363" s="154"/>
    </row>
    <row r="1364" spans="1:7" x14ac:dyDescent="0.3">
      <c r="A1364" s="172" t="s">
        <v>3562</v>
      </c>
      <c r="B1364" s="115" t="s">
        <v>3563</v>
      </c>
      <c r="C1364" s="116">
        <v>70695.55</v>
      </c>
      <c r="E1364" s="154"/>
      <c r="F1364" s="154"/>
      <c r="G1364" s="154"/>
    </row>
    <row r="1365" spans="1:7" x14ac:dyDescent="0.3">
      <c r="A1365" s="172" t="s">
        <v>3564</v>
      </c>
      <c r="B1365" s="115" t="s">
        <v>3565</v>
      </c>
      <c r="C1365" s="116">
        <v>96911.7</v>
      </c>
      <c r="E1365" s="154"/>
      <c r="F1365" s="154"/>
      <c r="G1365" s="154"/>
    </row>
    <row r="1366" spans="1:7" x14ac:dyDescent="0.3">
      <c r="A1366" s="172" t="s">
        <v>3566</v>
      </c>
      <c r="B1366" s="115" t="s">
        <v>3567</v>
      </c>
      <c r="C1366" s="116">
        <v>0</v>
      </c>
      <c r="E1366" s="154"/>
      <c r="F1366" s="154"/>
      <c r="G1366" s="154"/>
    </row>
    <row r="1367" spans="1:7" x14ac:dyDescent="0.3">
      <c r="A1367" s="172" t="s">
        <v>3568</v>
      </c>
      <c r="B1367" s="115" t="s">
        <v>3200</v>
      </c>
      <c r="C1367" s="116">
        <v>5000</v>
      </c>
      <c r="E1367" s="154"/>
      <c r="F1367" s="154"/>
      <c r="G1367" s="154"/>
    </row>
    <row r="1368" spans="1:7" x14ac:dyDescent="0.3">
      <c r="A1368" s="172" t="s">
        <v>3569</v>
      </c>
      <c r="B1368" s="115" t="s">
        <v>3570</v>
      </c>
      <c r="C1368" s="116">
        <v>0</v>
      </c>
      <c r="E1368" s="154"/>
      <c r="F1368" s="154"/>
      <c r="G1368" s="154"/>
    </row>
    <row r="1369" spans="1:7" x14ac:dyDescent="0.3">
      <c r="A1369" s="172" t="s">
        <v>3571</v>
      </c>
      <c r="B1369" s="115" t="s">
        <v>3572</v>
      </c>
      <c r="C1369" s="116">
        <v>0</v>
      </c>
      <c r="E1369" s="154"/>
      <c r="F1369" s="154"/>
      <c r="G1369" s="154"/>
    </row>
    <row r="1370" spans="1:7" x14ac:dyDescent="0.3">
      <c r="A1370" s="172" t="s">
        <v>3573</v>
      </c>
      <c r="B1370" s="115" t="s">
        <v>3574</v>
      </c>
      <c r="C1370" s="116">
        <v>34991</v>
      </c>
      <c r="E1370" s="154"/>
      <c r="F1370" s="154"/>
      <c r="G1370" s="154"/>
    </row>
    <row r="1371" spans="1:7" x14ac:dyDescent="0.3">
      <c r="A1371" s="172" t="s">
        <v>905</v>
      </c>
      <c r="B1371" s="115" t="s">
        <v>906</v>
      </c>
      <c r="C1371" s="116">
        <v>-6660.51</v>
      </c>
      <c r="E1371" s="154"/>
      <c r="F1371" s="154"/>
      <c r="G1371" s="154"/>
    </row>
    <row r="1372" spans="1:7" x14ac:dyDescent="0.3">
      <c r="A1372" s="172" t="s">
        <v>3575</v>
      </c>
      <c r="B1372" s="115" t="s">
        <v>3576</v>
      </c>
      <c r="C1372" s="116">
        <v>3000</v>
      </c>
      <c r="E1372" s="154"/>
      <c r="F1372" s="154"/>
      <c r="G1372" s="154"/>
    </row>
    <row r="1373" spans="1:7" x14ac:dyDescent="0.3">
      <c r="A1373" s="172" t="s">
        <v>726</v>
      </c>
      <c r="B1373" s="115" t="s">
        <v>727</v>
      </c>
      <c r="C1373" s="116">
        <v>26708</v>
      </c>
      <c r="E1373" s="154"/>
      <c r="F1373" s="154"/>
      <c r="G1373" s="154"/>
    </row>
    <row r="1374" spans="1:7" x14ac:dyDescent="0.3">
      <c r="A1374" s="172" t="s">
        <v>3577</v>
      </c>
      <c r="B1374" s="115" t="s">
        <v>3578</v>
      </c>
      <c r="C1374" s="116">
        <v>0</v>
      </c>
      <c r="E1374" s="154"/>
      <c r="F1374" s="154"/>
      <c r="G1374" s="154"/>
    </row>
    <row r="1375" spans="1:7" x14ac:dyDescent="0.3">
      <c r="A1375" s="172" t="s">
        <v>3579</v>
      </c>
      <c r="B1375" s="115" t="s">
        <v>3580</v>
      </c>
      <c r="C1375" s="116">
        <v>5000</v>
      </c>
      <c r="E1375" s="154"/>
      <c r="F1375" s="154"/>
      <c r="G1375" s="154"/>
    </row>
    <row r="1376" spans="1:7" x14ac:dyDescent="0.3">
      <c r="A1376" s="172" t="s">
        <v>3581</v>
      </c>
      <c r="B1376" s="115" t="s">
        <v>3582</v>
      </c>
      <c r="C1376" s="116">
        <v>0</v>
      </c>
      <c r="E1376" s="154"/>
      <c r="F1376" s="154"/>
      <c r="G1376" s="154"/>
    </row>
    <row r="1377" spans="1:7" x14ac:dyDescent="0.3">
      <c r="A1377" s="172" t="s">
        <v>3583</v>
      </c>
      <c r="B1377" s="115" t="s">
        <v>3584</v>
      </c>
      <c r="C1377" s="116">
        <v>11860</v>
      </c>
      <c r="E1377" s="154"/>
      <c r="F1377" s="154"/>
      <c r="G1377" s="154"/>
    </row>
    <row r="1378" spans="1:7" x14ac:dyDescent="0.3">
      <c r="A1378" s="172" t="s">
        <v>3585</v>
      </c>
      <c r="B1378" s="115" t="s">
        <v>3586</v>
      </c>
      <c r="C1378" s="116">
        <v>63547</v>
      </c>
      <c r="E1378" s="154"/>
      <c r="F1378" s="154"/>
      <c r="G1378" s="154"/>
    </row>
    <row r="1379" spans="1:7" x14ac:dyDescent="0.3">
      <c r="A1379" s="172" t="s">
        <v>3587</v>
      </c>
      <c r="B1379" s="115" t="s">
        <v>3588</v>
      </c>
      <c r="C1379" s="116">
        <v>0</v>
      </c>
      <c r="E1379" s="154"/>
      <c r="F1379" s="154"/>
      <c r="G1379" s="154"/>
    </row>
    <row r="1380" spans="1:7" x14ac:dyDescent="0.3">
      <c r="A1380" s="172" t="s">
        <v>3589</v>
      </c>
      <c r="B1380" s="115" t="s">
        <v>3590</v>
      </c>
      <c r="C1380" s="116">
        <v>0</v>
      </c>
      <c r="E1380" s="154"/>
      <c r="F1380" s="154"/>
      <c r="G1380" s="154"/>
    </row>
    <row r="1381" spans="1:7" x14ac:dyDescent="0.3">
      <c r="A1381" s="172" t="s">
        <v>3591</v>
      </c>
      <c r="B1381" s="115" t="s">
        <v>3592</v>
      </c>
      <c r="C1381" s="116">
        <v>0</v>
      </c>
      <c r="E1381" s="154"/>
      <c r="F1381" s="154"/>
      <c r="G1381" s="154"/>
    </row>
    <row r="1382" spans="1:7" x14ac:dyDescent="0.3">
      <c r="A1382" s="172" t="s">
        <v>3593</v>
      </c>
      <c r="B1382" s="115" t="s">
        <v>3594</v>
      </c>
      <c r="C1382" s="116">
        <v>0</v>
      </c>
      <c r="E1382" s="154"/>
      <c r="F1382" s="154"/>
      <c r="G1382" s="154"/>
    </row>
    <row r="1383" spans="1:7" x14ac:dyDescent="0.3">
      <c r="A1383" s="172" t="s">
        <v>3595</v>
      </c>
      <c r="B1383" s="115" t="s">
        <v>3596</v>
      </c>
      <c r="C1383" s="116">
        <v>0</v>
      </c>
      <c r="E1383" s="154"/>
      <c r="F1383" s="154"/>
      <c r="G1383" s="154"/>
    </row>
    <row r="1384" spans="1:7" x14ac:dyDescent="0.3">
      <c r="A1384" s="172" t="s">
        <v>3597</v>
      </c>
      <c r="B1384" s="115" t="s">
        <v>3598</v>
      </c>
      <c r="C1384" s="116">
        <v>0</v>
      </c>
      <c r="E1384" s="154"/>
      <c r="F1384" s="154"/>
      <c r="G1384" s="154"/>
    </row>
    <row r="1385" spans="1:7" x14ac:dyDescent="0.3">
      <c r="A1385" s="172" t="s">
        <v>3599</v>
      </c>
      <c r="B1385" s="115" t="s">
        <v>3600</v>
      </c>
      <c r="C1385" s="116">
        <v>0</v>
      </c>
      <c r="E1385" s="154"/>
      <c r="F1385" s="154"/>
      <c r="G1385" s="154"/>
    </row>
    <row r="1386" spans="1:7" x14ac:dyDescent="0.3">
      <c r="A1386" s="172" t="s">
        <v>3601</v>
      </c>
      <c r="B1386" s="115" t="s">
        <v>3602</v>
      </c>
      <c r="C1386" s="116">
        <v>0</v>
      </c>
      <c r="E1386" s="154"/>
      <c r="F1386" s="154"/>
      <c r="G1386" s="154"/>
    </row>
    <row r="1387" spans="1:7" x14ac:dyDescent="0.3">
      <c r="A1387" s="172" t="s">
        <v>3603</v>
      </c>
      <c r="B1387" s="115" t="s">
        <v>3604</v>
      </c>
      <c r="C1387" s="116">
        <v>0</v>
      </c>
      <c r="E1387" s="154"/>
      <c r="F1387" s="154"/>
      <c r="G1387" s="154"/>
    </row>
    <row r="1388" spans="1:7" x14ac:dyDescent="0.3">
      <c r="A1388" s="172" t="s">
        <v>3605</v>
      </c>
      <c r="B1388" s="115" t="s">
        <v>3606</v>
      </c>
      <c r="C1388" s="116">
        <v>0</v>
      </c>
      <c r="E1388" s="154"/>
      <c r="F1388" s="154"/>
      <c r="G1388" s="154"/>
    </row>
    <row r="1389" spans="1:7" x14ac:dyDescent="0.3">
      <c r="A1389" s="172" t="s">
        <v>3607</v>
      </c>
      <c r="B1389" s="115" t="s">
        <v>3608</v>
      </c>
      <c r="C1389" s="116">
        <v>0</v>
      </c>
      <c r="E1389" s="154"/>
      <c r="F1389" s="154"/>
      <c r="G1389" s="154"/>
    </row>
    <row r="1390" spans="1:7" x14ac:dyDescent="0.3">
      <c r="A1390" s="172" t="s">
        <v>3609</v>
      </c>
      <c r="B1390" s="115" t="s">
        <v>3610</v>
      </c>
      <c r="C1390" s="116">
        <v>0</v>
      </c>
      <c r="E1390" s="154"/>
      <c r="F1390" s="154"/>
      <c r="G1390" s="154"/>
    </row>
    <row r="1391" spans="1:7" x14ac:dyDescent="0.3">
      <c r="A1391" s="172" t="s">
        <v>3611</v>
      </c>
      <c r="B1391" s="115" t="s">
        <v>3612</v>
      </c>
      <c r="C1391" s="116">
        <v>0</v>
      </c>
      <c r="E1391" s="154"/>
      <c r="F1391" s="154"/>
      <c r="G1391" s="154"/>
    </row>
    <row r="1392" spans="1:7" x14ac:dyDescent="0.3">
      <c r="A1392" s="172" t="s">
        <v>3613</v>
      </c>
      <c r="B1392" s="115" t="s">
        <v>3614</v>
      </c>
      <c r="C1392" s="116">
        <v>0</v>
      </c>
      <c r="E1392" s="154"/>
      <c r="F1392" s="154"/>
      <c r="G1392" s="154"/>
    </row>
    <row r="1393" spans="1:7" x14ac:dyDescent="0.3">
      <c r="A1393" s="172" t="s">
        <v>660</v>
      </c>
      <c r="B1393" s="115" t="s">
        <v>661</v>
      </c>
      <c r="C1393" s="116">
        <v>0</v>
      </c>
      <c r="E1393" s="154"/>
      <c r="F1393" s="154"/>
      <c r="G1393" s="154"/>
    </row>
    <row r="1394" spans="1:7" x14ac:dyDescent="0.3">
      <c r="A1394" s="172" t="s">
        <v>3615</v>
      </c>
      <c r="B1394" s="115" t="s">
        <v>3616</v>
      </c>
      <c r="C1394" s="116">
        <v>0</v>
      </c>
      <c r="E1394" s="154"/>
      <c r="F1394" s="154"/>
      <c r="G1394" s="154"/>
    </row>
    <row r="1395" spans="1:7" x14ac:dyDescent="0.3">
      <c r="A1395" s="172" t="s">
        <v>3617</v>
      </c>
      <c r="B1395" s="115" t="s">
        <v>3618</v>
      </c>
      <c r="C1395" s="116">
        <v>0</v>
      </c>
      <c r="E1395" s="154"/>
      <c r="F1395" s="154"/>
      <c r="G1395" s="154"/>
    </row>
    <row r="1396" spans="1:7" x14ac:dyDescent="0.3">
      <c r="A1396" s="172" t="s">
        <v>3619</v>
      </c>
      <c r="B1396" s="115" t="s">
        <v>3620</v>
      </c>
      <c r="C1396" s="116">
        <v>0</v>
      </c>
      <c r="E1396" s="154"/>
      <c r="F1396" s="154"/>
      <c r="G1396" s="154"/>
    </row>
    <row r="1397" spans="1:7" x14ac:dyDescent="0.3">
      <c r="A1397" s="172" t="s">
        <v>3621</v>
      </c>
      <c r="B1397" s="115" t="s">
        <v>3622</v>
      </c>
      <c r="C1397" s="116">
        <v>0</v>
      </c>
      <c r="E1397" s="154"/>
      <c r="F1397" s="154"/>
      <c r="G1397" s="154"/>
    </row>
    <row r="1398" spans="1:7" x14ac:dyDescent="0.3">
      <c r="A1398" s="172" t="s">
        <v>3623</v>
      </c>
      <c r="B1398" s="115" t="s">
        <v>3624</v>
      </c>
      <c r="C1398" s="116">
        <v>0</v>
      </c>
      <c r="E1398" s="154"/>
      <c r="F1398" s="154"/>
      <c r="G1398" s="154"/>
    </row>
    <row r="1399" spans="1:7" x14ac:dyDescent="0.3">
      <c r="A1399" s="172" t="s">
        <v>3625</v>
      </c>
      <c r="B1399" s="115" t="s">
        <v>3626</v>
      </c>
      <c r="C1399" s="116">
        <v>0</v>
      </c>
      <c r="E1399" s="154"/>
      <c r="F1399" s="154"/>
      <c r="G1399" s="154"/>
    </row>
    <row r="1400" spans="1:7" x14ac:dyDescent="0.3">
      <c r="A1400" s="172" t="s">
        <v>3627</v>
      </c>
      <c r="B1400" s="115" t="s">
        <v>3628</v>
      </c>
      <c r="C1400" s="116">
        <v>0</v>
      </c>
      <c r="E1400" s="154"/>
      <c r="F1400" s="154"/>
      <c r="G1400" s="154"/>
    </row>
    <row r="1401" spans="1:7" x14ac:dyDescent="0.3">
      <c r="A1401" s="172" t="s">
        <v>3629</v>
      </c>
      <c r="B1401" s="115" t="s">
        <v>3630</v>
      </c>
      <c r="C1401" s="116">
        <v>0</v>
      </c>
      <c r="E1401" s="154"/>
      <c r="F1401" s="154"/>
      <c r="G1401" s="154"/>
    </row>
    <row r="1402" spans="1:7" x14ac:dyDescent="0.3">
      <c r="A1402" s="172" t="s">
        <v>3631</v>
      </c>
      <c r="B1402" s="115" t="s">
        <v>3632</v>
      </c>
      <c r="C1402" s="116">
        <v>0</v>
      </c>
      <c r="E1402" s="154"/>
      <c r="F1402" s="154"/>
      <c r="G1402" s="154"/>
    </row>
    <row r="1403" spans="1:7" x14ac:dyDescent="0.3">
      <c r="A1403" s="172" t="s">
        <v>3633</v>
      </c>
      <c r="B1403" s="115" t="s">
        <v>3634</v>
      </c>
      <c r="C1403" s="116">
        <v>0</v>
      </c>
      <c r="E1403" s="154"/>
      <c r="F1403" s="154"/>
      <c r="G1403" s="154"/>
    </row>
    <row r="1404" spans="1:7" x14ac:dyDescent="0.3">
      <c r="A1404" s="172" t="s">
        <v>3635</v>
      </c>
      <c r="B1404" s="115" t="s">
        <v>3636</v>
      </c>
      <c r="C1404" s="116">
        <v>0</v>
      </c>
      <c r="E1404" s="154"/>
      <c r="F1404" s="154"/>
      <c r="G1404" s="154"/>
    </row>
    <row r="1405" spans="1:7" x14ac:dyDescent="0.3">
      <c r="A1405" s="172" t="s">
        <v>3637</v>
      </c>
      <c r="B1405" s="115" t="s">
        <v>3638</v>
      </c>
      <c r="C1405" s="116">
        <v>0</v>
      </c>
      <c r="E1405" s="154"/>
      <c r="F1405" s="154"/>
      <c r="G1405" s="154"/>
    </row>
    <row r="1406" spans="1:7" x14ac:dyDescent="0.3">
      <c r="A1406" s="172" t="s">
        <v>3639</v>
      </c>
      <c r="B1406" s="115" t="s">
        <v>3640</v>
      </c>
      <c r="C1406" s="116">
        <v>0</v>
      </c>
      <c r="E1406" s="154"/>
      <c r="F1406" s="154"/>
      <c r="G1406" s="154"/>
    </row>
    <row r="1407" spans="1:7" x14ac:dyDescent="0.3">
      <c r="A1407" s="172" t="s">
        <v>3641</v>
      </c>
      <c r="B1407" s="115" t="s">
        <v>3642</v>
      </c>
      <c r="C1407" s="116">
        <v>0</v>
      </c>
      <c r="E1407" s="154"/>
      <c r="F1407" s="154"/>
      <c r="G1407" s="154"/>
    </row>
    <row r="1408" spans="1:7" x14ac:dyDescent="0.3">
      <c r="A1408" s="172" t="s">
        <v>3643</v>
      </c>
      <c r="B1408" s="115" t="s">
        <v>3644</v>
      </c>
      <c r="C1408" s="116">
        <v>0</v>
      </c>
      <c r="E1408" s="154"/>
      <c r="F1408" s="154"/>
      <c r="G1408" s="154"/>
    </row>
    <row r="1409" spans="1:7" x14ac:dyDescent="0.3">
      <c r="A1409" s="172" t="s">
        <v>3645</v>
      </c>
      <c r="B1409" s="115" t="s">
        <v>3646</v>
      </c>
      <c r="C1409" s="116">
        <v>0</v>
      </c>
      <c r="E1409" s="154"/>
      <c r="F1409" s="154"/>
      <c r="G1409" s="154"/>
    </row>
    <row r="1410" spans="1:7" x14ac:dyDescent="0.3">
      <c r="A1410" s="172" t="s">
        <v>3647</v>
      </c>
      <c r="B1410" s="115" t="s">
        <v>3648</v>
      </c>
      <c r="C1410" s="116">
        <v>0</v>
      </c>
      <c r="E1410" s="154"/>
      <c r="F1410" s="154"/>
      <c r="G1410" s="154"/>
    </row>
    <row r="1411" spans="1:7" x14ac:dyDescent="0.3">
      <c r="A1411" s="172" t="s">
        <v>931</v>
      </c>
      <c r="B1411" s="115" t="s">
        <v>932</v>
      </c>
      <c r="C1411" s="116">
        <v>0</v>
      </c>
      <c r="E1411" s="154"/>
      <c r="F1411" s="154"/>
      <c r="G1411" s="154"/>
    </row>
    <row r="1412" spans="1:7" x14ac:dyDescent="0.3">
      <c r="A1412" s="172" t="s">
        <v>3649</v>
      </c>
      <c r="B1412" s="115" t="s">
        <v>3650</v>
      </c>
      <c r="C1412" s="116">
        <v>0</v>
      </c>
      <c r="E1412" s="154"/>
      <c r="F1412" s="154"/>
      <c r="G1412" s="154"/>
    </row>
    <row r="1413" spans="1:7" x14ac:dyDescent="0.3">
      <c r="A1413" s="172" t="s">
        <v>3651</v>
      </c>
      <c r="B1413" s="115" t="s">
        <v>3652</v>
      </c>
      <c r="C1413" s="116">
        <v>0</v>
      </c>
      <c r="E1413" s="154"/>
      <c r="F1413" s="154"/>
      <c r="G1413" s="154"/>
    </row>
    <row r="1414" spans="1:7" x14ac:dyDescent="0.3">
      <c r="A1414" s="172" t="s">
        <v>3653</v>
      </c>
      <c r="B1414" s="115" t="s">
        <v>3654</v>
      </c>
      <c r="C1414" s="116">
        <v>0</v>
      </c>
      <c r="E1414" s="154"/>
      <c r="F1414" s="154"/>
      <c r="G1414" s="154"/>
    </row>
    <row r="1415" spans="1:7" x14ac:dyDescent="0.3">
      <c r="A1415" s="172" t="s">
        <v>3655</v>
      </c>
      <c r="B1415" s="115" t="s">
        <v>3656</v>
      </c>
      <c r="C1415" s="116">
        <v>0</v>
      </c>
      <c r="E1415" s="154"/>
      <c r="F1415" s="154"/>
      <c r="G1415" s="154"/>
    </row>
    <row r="1416" spans="1:7" x14ac:dyDescent="0.3">
      <c r="A1416" s="172" t="s">
        <v>3657</v>
      </c>
      <c r="B1416" s="115" t="s">
        <v>3658</v>
      </c>
      <c r="C1416" s="116">
        <v>0</v>
      </c>
      <c r="E1416" s="154"/>
      <c r="F1416" s="154"/>
      <c r="G1416" s="154"/>
    </row>
    <row r="1417" spans="1:7" x14ac:dyDescent="0.3">
      <c r="A1417" s="172" t="s">
        <v>678</v>
      </c>
      <c r="B1417" s="115" t="s">
        <v>679</v>
      </c>
      <c r="C1417" s="116">
        <v>0</v>
      </c>
      <c r="E1417" s="154"/>
      <c r="F1417" s="154"/>
      <c r="G1417" s="154"/>
    </row>
    <row r="1418" spans="1:7" x14ac:dyDescent="0.3">
      <c r="A1418" s="172" t="s">
        <v>3659</v>
      </c>
      <c r="B1418" s="115" t="s">
        <v>3660</v>
      </c>
      <c r="C1418" s="116">
        <v>13315950</v>
      </c>
      <c r="E1418" s="154"/>
      <c r="F1418" s="154"/>
      <c r="G1418" s="154"/>
    </row>
    <row r="1419" spans="1:7" x14ac:dyDescent="0.3">
      <c r="A1419" s="172" t="s">
        <v>3661</v>
      </c>
      <c r="B1419" s="115" t="s">
        <v>3662</v>
      </c>
      <c r="C1419" s="116">
        <v>0</v>
      </c>
      <c r="E1419" s="154"/>
      <c r="F1419" s="154"/>
      <c r="G1419" s="154"/>
    </row>
    <row r="1420" spans="1:7" x14ac:dyDescent="0.3">
      <c r="A1420" s="172" t="s">
        <v>3663</v>
      </c>
      <c r="B1420" s="115" t="s">
        <v>3664</v>
      </c>
      <c r="C1420" s="116">
        <v>0</v>
      </c>
      <c r="E1420" s="154"/>
      <c r="F1420" s="154"/>
      <c r="G1420" s="154"/>
    </row>
    <row r="1421" spans="1:7" x14ac:dyDescent="0.3">
      <c r="A1421" s="172" t="s">
        <v>3665</v>
      </c>
      <c r="B1421" s="115" t="s">
        <v>3666</v>
      </c>
      <c r="C1421" s="116">
        <v>0</v>
      </c>
      <c r="E1421" s="154"/>
      <c r="F1421" s="154"/>
      <c r="G1421" s="154"/>
    </row>
    <row r="1422" spans="1:7" x14ac:dyDescent="0.3">
      <c r="A1422" s="172" t="s">
        <v>636</v>
      </c>
      <c r="B1422" s="115" t="s">
        <v>637</v>
      </c>
      <c r="C1422" s="116">
        <v>0</v>
      </c>
      <c r="E1422" s="154"/>
      <c r="F1422" s="154"/>
      <c r="G1422" s="154"/>
    </row>
    <row r="1423" spans="1:7" x14ac:dyDescent="0.3">
      <c r="A1423" s="172" t="s">
        <v>3667</v>
      </c>
      <c r="B1423" s="115" t="s">
        <v>3668</v>
      </c>
      <c r="C1423" s="116">
        <v>66898.97</v>
      </c>
      <c r="E1423" s="154"/>
      <c r="F1423" s="154"/>
      <c r="G1423" s="154"/>
    </row>
    <row r="1424" spans="1:7" x14ac:dyDescent="0.3">
      <c r="A1424" s="172" t="s">
        <v>3669</v>
      </c>
      <c r="B1424" s="115" t="s">
        <v>3670</v>
      </c>
      <c r="C1424" s="116">
        <v>61298.98</v>
      </c>
      <c r="E1424" s="154"/>
      <c r="F1424" s="154"/>
      <c r="G1424" s="154"/>
    </row>
    <row r="1425" spans="1:7" x14ac:dyDescent="0.3">
      <c r="A1425" s="172" t="s">
        <v>3671</v>
      </c>
      <c r="B1425" s="115" t="s">
        <v>3672</v>
      </c>
      <c r="C1425" s="116">
        <v>0</v>
      </c>
      <c r="E1425" s="154"/>
      <c r="F1425" s="154"/>
      <c r="G1425" s="154"/>
    </row>
    <row r="1426" spans="1:7" x14ac:dyDescent="0.3">
      <c r="A1426" s="172" t="s">
        <v>3673</v>
      </c>
      <c r="B1426" s="115" t="s">
        <v>3674</v>
      </c>
      <c r="C1426" s="116">
        <v>0</v>
      </c>
      <c r="E1426" s="154"/>
      <c r="F1426" s="154"/>
      <c r="G1426" s="154"/>
    </row>
    <row r="1427" spans="1:7" x14ac:dyDescent="0.3">
      <c r="A1427" s="172" t="s">
        <v>3675</v>
      </c>
      <c r="B1427" s="115" t="s">
        <v>3676</v>
      </c>
      <c r="C1427" s="116">
        <v>3555807.7</v>
      </c>
      <c r="E1427" s="154"/>
      <c r="F1427" s="154"/>
      <c r="G1427" s="154"/>
    </row>
    <row r="1428" spans="1:7" x14ac:dyDescent="0.3">
      <c r="A1428" s="172" t="s">
        <v>3677</v>
      </c>
      <c r="B1428" s="115" t="s">
        <v>3678</v>
      </c>
      <c r="C1428" s="116">
        <v>586770</v>
      </c>
      <c r="E1428" s="154"/>
      <c r="F1428" s="154"/>
      <c r="G1428" s="154"/>
    </row>
    <row r="1429" spans="1:7" x14ac:dyDescent="0.3">
      <c r="A1429" s="172" t="s">
        <v>3679</v>
      </c>
      <c r="B1429" s="115" t="s">
        <v>3680</v>
      </c>
      <c r="C1429" s="116">
        <v>-15600</v>
      </c>
      <c r="E1429" s="154"/>
      <c r="F1429" s="154"/>
      <c r="G1429" s="154"/>
    </row>
    <row r="1430" spans="1:7" x14ac:dyDescent="0.3">
      <c r="A1430" s="172" t="s">
        <v>3681</v>
      </c>
      <c r="B1430" s="115" t="s">
        <v>3682</v>
      </c>
      <c r="C1430" s="116">
        <v>346330</v>
      </c>
      <c r="E1430" s="154"/>
      <c r="F1430" s="154"/>
      <c r="G1430" s="154"/>
    </row>
    <row r="1431" spans="1:7" x14ac:dyDescent="0.3">
      <c r="A1431" s="172" t="s">
        <v>3683</v>
      </c>
      <c r="B1431" s="115" t="s">
        <v>3684</v>
      </c>
      <c r="C1431" s="116">
        <v>14160.01</v>
      </c>
      <c r="E1431" s="154"/>
      <c r="F1431" s="154"/>
      <c r="G1431" s="154"/>
    </row>
    <row r="1432" spans="1:7" x14ac:dyDescent="0.3">
      <c r="A1432" s="172" t="s">
        <v>3685</v>
      </c>
      <c r="B1432" s="115" t="s">
        <v>3686</v>
      </c>
      <c r="C1432" s="116">
        <v>5913113.8600000003</v>
      </c>
      <c r="E1432" s="154"/>
      <c r="F1432" s="154"/>
      <c r="G1432" s="154"/>
    </row>
    <row r="1433" spans="1:7" x14ac:dyDescent="0.3">
      <c r="A1433" s="172" t="s">
        <v>3687</v>
      </c>
      <c r="B1433" s="115" t="s">
        <v>3688</v>
      </c>
      <c r="C1433" s="116">
        <v>17421408.800000001</v>
      </c>
      <c r="E1433" s="154"/>
      <c r="F1433" s="154"/>
      <c r="G1433" s="154"/>
    </row>
    <row r="1434" spans="1:7" x14ac:dyDescent="0.3">
      <c r="A1434" s="172" t="s">
        <v>3689</v>
      </c>
      <c r="B1434" s="115" t="s">
        <v>3690</v>
      </c>
      <c r="C1434" s="116">
        <v>17451532.050000001</v>
      </c>
      <c r="E1434" s="154"/>
      <c r="F1434" s="154"/>
      <c r="G1434" s="154"/>
    </row>
    <row r="1435" spans="1:7" x14ac:dyDescent="0.3">
      <c r="A1435" s="172" t="s">
        <v>3691</v>
      </c>
      <c r="B1435" s="115" t="s">
        <v>3692</v>
      </c>
      <c r="C1435" s="116">
        <v>61663</v>
      </c>
      <c r="E1435" s="154"/>
      <c r="F1435" s="154"/>
      <c r="G1435" s="154"/>
    </row>
    <row r="1436" spans="1:7" x14ac:dyDescent="0.3">
      <c r="A1436" s="172" t="s">
        <v>3693</v>
      </c>
      <c r="B1436" s="115" t="s">
        <v>3694</v>
      </c>
      <c r="C1436" s="116">
        <v>676982.5</v>
      </c>
      <c r="E1436" s="154"/>
      <c r="F1436" s="154"/>
      <c r="G1436" s="154"/>
    </row>
    <row r="1437" spans="1:7" x14ac:dyDescent="0.3">
      <c r="A1437" s="172" t="s">
        <v>973</v>
      </c>
      <c r="B1437" s="115" t="s">
        <v>974</v>
      </c>
      <c r="C1437" s="116">
        <v>-12064721.630000001</v>
      </c>
      <c r="E1437" s="154"/>
      <c r="F1437" s="154"/>
      <c r="G1437" s="154"/>
    </row>
    <row r="1438" spans="1:7" x14ac:dyDescent="0.3">
      <c r="A1438" s="172" t="s">
        <v>3695</v>
      </c>
      <c r="B1438" s="115" t="s">
        <v>3696</v>
      </c>
      <c r="C1438" s="116">
        <v>181950</v>
      </c>
      <c r="E1438" s="154"/>
      <c r="F1438" s="154"/>
      <c r="G1438" s="154"/>
    </row>
    <row r="1439" spans="1:7" x14ac:dyDescent="0.3">
      <c r="A1439" s="172" t="s">
        <v>3697</v>
      </c>
      <c r="B1439" s="115" t="s">
        <v>3698</v>
      </c>
      <c r="C1439" s="116">
        <v>201875</v>
      </c>
      <c r="E1439" s="154"/>
      <c r="F1439" s="154"/>
      <c r="G1439" s="154"/>
    </row>
    <row r="1440" spans="1:7" x14ac:dyDescent="0.3">
      <c r="A1440" s="172" t="s">
        <v>3699</v>
      </c>
      <c r="B1440" s="115" t="s">
        <v>3700</v>
      </c>
      <c r="C1440" s="116">
        <v>-294.93</v>
      </c>
      <c r="E1440" s="154"/>
      <c r="F1440" s="154"/>
      <c r="G1440" s="154"/>
    </row>
    <row r="1441" spans="1:7" x14ac:dyDescent="0.3">
      <c r="A1441" s="172" t="s">
        <v>3701</v>
      </c>
      <c r="B1441" s="115" t="s">
        <v>3702</v>
      </c>
      <c r="C1441" s="116">
        <v>186942</v>
      </c>
      <c r="E1441" s="154"/>
      <c r="F1441" s="154"/>
      <c r="G1441" s="154"/>
    </row>
    <row r="1442" spans="1:7" x14ac:dyDescent="0.3">
      <c r="A1442" s="172" t="s">
        <v>3703</v>
      </c>
      <c r="B1442" s="115" t="s">
        <v>3704</v>
      </c>
      <c r="C1442" s="116">
        <v>156765</v>
      </c>
      <c r="E1442" s="154"/>
      <c r="F1442" s="154"/>
      <c r="G1442" s="154"/>
    </row>
    <row r="1443" spans="1:7" x14ac:dyDescent="0.3">
      <c r="A1443" s="172" t="s">
        <v>3705</v>
      </c>
      <c r="B1443" s="115" t="s">
        <v>3706</v>
      </c>
      <c r="C1443" s="116">
        <v>1713650</v>
      </c>
      <c r="E1443" s="154"/>
      <c r="F1443" s="154"/>
      <c r="G1443" s="154"/>
    </row>
    <row r="1444" spans="1:7" x14ac:dyDescent="0.3">
      <c r="A1444" s="172" t="s">
        <v>3707</v>
      </c>
      <c r="B1444" s="115" t="s">
        <v>3708</v>
      </c>
      <c r="C1444" s="116">
        <v>187640</v>
      </c>
      <c r="E1444" s="154"/>
      <c r="F1444" s="154"/>
      <c r="G1444" s="154"/>
    </row>
    <row r="1445" spans="1:7" x14ac:dyDescent="0.3">
      <c r="A1445" s="172" t="s">
        <v>3709</v>
      </c>
      <c r="B1445" s="115" t="s">
        <v>3710</v>
      </c>
      <c r="C1445" s="116">
        <v>182509</v>
      </c>
      <c r="E1445" s="154"/>
      <c r="F1445" s="154"/>
      <c r="G1445" s="154"/>
    </row>
    <row r="1446" spans="1:7" x14ac:dyDescent="0.3">
      <c r="A1446" s="172" t="s">
        <v>3711</v>
      </c>
      <c r="B1446" s="115" t="s">
        <v>3712</v>
      </c>
      <c r="C1446" s="116">
        <v>45416.800000000003</v>
      </c>
      <c r="E1446" s="154"/>
      <c r="F1446" s="154"/>
      <c r="G1446" s="154"/>
    </row>
    <row r="1447" spans="1:7" x14ac:dyDescent="0.3">
      <c r="A1447" s="172" t="s">
        <v>3713</v>
      </c>
      <c r="B1447" s="115" t="s">
        <v>3714</v>
      </c>
      <c r="C1447" s="116">
        <v>-969722.2</v>
      </c>
      <c r="E1447" s="154"/>
      <c r="F1447" s="154"/>
      <c r="G1447" s="154"/>
    </row>
    <row r="1448" spans="1:7" x14ac:dyDescent="0.3">
      <c r="A1448" s="172" t="s">
        <v>3715</v>
      </c>
      <c r="B1448" s="115" t="s">
        <v>3716</v>
      </c>
      <c r="C1448" s="116">
        <v>72623.91</v>
      </c>
      <c r="E1448" s="154"/>
      <c r="F1448" s="154"/>
      <c r="G1448" s="154"/>
    </row>
    <row r="1449" spans="1:7" x14ac:dyDescent="0.3">
      <c r="A1449" s="172" t="s">
        <v>3717</v>
      </c>
      <c r="B1449" s="115" t="s">
        <v>3718</v>
      </c>
      <c r="C1449" s="116">
        <v>354868.64</v>
      </c>
      <c r="E1449" s="154"/>
      <c r="F1449" s="154"/>
      <c r="G1449" s="154"/>
    </row>
    <row r="1450" spans="1:7" x14ac:dyDescent="0.3">
      <c r="A1450" s="172" t="s">
        <v>3719</v>
      </c>
      <c r="B1450" s="115" t="s">
        <v>3720</v>
      </c>
      <c r="C1450" s="116">
        <v>483855.01</v>
      </c>
      <c r="E1450" s="154"/>
      <c r="F1450" s="154"/>
      <c r="G1450" s="154"/>
    </row>
    <row r="1451" spans="1:7" x14ac:dyDescent="0.3">
      <c r="A1451" s="172" t="s">
        <v>3721</v>
      </c>
      <c r="B1451" s="115" t="s">
        <v>3722</v>
      </c>
      <c r="C1451" s="116">
        <v>0</v>
      </c>
      <c r="E1451" s="154"/>
      <c r="F1451" s="154"/>
      <c r="G1451" s="154"/>
    </row>
    <row r="1452" spans="1:7" x14ac:dyDescent="0.3">
      <c r="A1452" s="172" t="s">
        <v>3723</v>
      </c>
      <c r="B1452" s="115" t="s">
        <v>3724</v>
      </c>
      <c r="C1452" s="116">
        <v>64684507.380000003</v>
      </c>
      <c r="E1452" s="154"/>
      <c r="F1452" s="154"/>
      <c r="G1452" s="154"/>
    </row>
    <row r="1453" spans="1:7" x14ac:dyDescent="0.3">
      <c r="A1453" s="172" t="s">
        <v>3725</v>
      </c>
      <c r="B1453" s="115" t="s">
        <v>3726</v>
      </c>
      <c r="C1453" s="116">
        <v>25906</v>
      </c>
      <c r="E1453" s="154"/>
      <c r="F1453" s="154"/>
      <c r="G1453" s="154"/>
    </row>
    <row r="1454" spans="1:7" x14ac:dyDescent="0.3">
      <c r="A1454" s="172" t="s">
        <v>3727</v>
      </c>
      <c r="B1454" s="115" t="s">
        <v>3728</v>
      </c>
      <c r="C1454" s="116">
        <v>111138.55</v>
      </c>
      <c r="E1454" s="154"/>
      <c r="F1454" s="154"/>
      <c r="G1454" s="154"/>
    </row>
    <row r="1455" spans="1:7" x14ac:dyDescent="0.3">
      <c r="A1455" s="172" t="s">
        <v>3729</v>
      </c>
      <c r="B1455" s="115" t="s">
        <v>3730</v>
      </c>
      <c r="C1455" s="116">
        <v>14402.84</v>
      </c>
      <c r="E1455" s="154"/>
      <c r="F1455" s="154"/>
      <c r="G1455" s="154"/>
    </row>
    <row r="1456" spans="1:7" x14ac:dyDescent="0.3">
      <c r="A1456" s="172" t="s">
        <v>3731</v>
      </c>
      <c r="B1456" s="115" t="s">
        <v>3732</v>
      </c>
      <c r="C1456" s="116">
        <v>0</v>
      </c>
      <c r="E1456" s="154"/>
      <c r="F1456" s="154"/>
      <c r="G1456" s="154"/>
    </row>
    <row r="1457" spans="1:7" x14ac:dyDescent="0.3">
      <c r="A1457" s="172" t="s">
        <v>3733</v>
      </c>
      <c r="B1457" s="115" t="s">
        <v>3734</v>
      </c>
      <c r="C1457" s="116">
        <v>3245</v>
      </c>
      <c r="E1457" s="154"/>
      <c r="F1457" s="154"/>
      <c r="G1457" s="154"/>
    </row>
    <row r="1458" spans="1:7" x14ac:dyDescent="0.3">
      <c r="A1458" s="172" t="s">
        <v>3735</v>
      </c>
      <c r="B1458" s="115" t="s">
        <v>3736</v>
      </c>
      <c r="C1458" s="116">
        <v>4000</v>
      </c>
      <c r="E1458" s="154"/>
      <c r="F1458" s="154"/>
      <c r="G1458" s="154"/>
    </row>
    <row r="1459" spans="1:7" x14ac:dyDescent="0.3">
      <c r="A1459" s="172" t="s">
        <v>3737</v>
      </c>
      <c r="B1459" s="115" t="s">
        <v>3738</v>
      </c>
      <c r="C1459" s="116">
        <v>69399</v>
      </c>
      <c r="E1459" s="154"/>
      <c r="F1459" s="154"/>
      <c r="G1459" s="154"/>
    </row>
    <row r="1460" spans="1:7" x14ac:dyDescent="0.3">
      <c r="A1460" s="172" t="s">
        <v>3739</v>
      </c>
      <c r="B1460" s="115" t="s">
        <v>3740</v>
      </c>
      <c r="C1460" s="116">
        <v>508121.65</v>
      </c>
      <c r="E1460" s="154"/>
      <c r="F1460" s="154"/>
      <c r="G1460" s="154"/>
    </row>
    <row r="1461" spans="1:7" x14ac:dyDescent="0.3">
      <c r="A1461" s="172" t="s">
        <v>3741</v>
      </c>
      <c r="B1461" s="115" t="s">
        <v>3742</v>
      </c>
      <c r="C1461" s="116">
        <v>107796</v>
      </c>
      <c r="E1461" s="154"/>
      <c r="F1461" s="154"/>
      <c r="G1461" s="154"/>
    </row>
    <row r="1462" spans="1:7" x14ac:dyDescent="0.3">
      <c r="A1462" s="172" t="s">
        <v>3743</v>
      </c>
      <c r="B1462" s="115" t="s">
        <v>3744</v>
      </c>
      <c r="C1462" s="116">
        <v>0</v>
      </c>
      <c r="E1462" s="154"/>
      <c r="F1462" s="154"/>
      <c r="G1462" s="154"/>
    </row>
    <row r="1463" spans="1:7" x14ac:dyDescent="0.3">
      <c r="A1463" s="172" t="s">
        <v>3745</v>
      </c>
      <c r="B1463" s="115" t="s">
        <v>3746</v>
      </c>
      <c r="C1463" s="116">
        <v>0</v>
      </c>
      <c r="E1463" s="154"/>
      <c r="F1463" s="154"/>
      <c r="G1463" s="154"/>
    </row>
    <row r="1464" spans="1:7" x14ac:dyDescent="0.3">
      <c r="A1464" s="172" t="s">
        <v>3747</v>
      </c>
      <c r="B1464" s="115" t="s">
        <v>3748</v>
      </c>
      <c r="C1464" s="116">
        <v>0</v>
      </c>
      <c r="E1464" s="154"/>
      <c r="F1464" s="154"/>
      <c r="G1464" s="154"/>
    </row>
    <row r="1465" spans="1:7" x14ac:dyDescent="0.3">
      <c r="A1465" s="172" t="s">
        <v>3749</v>
      </c>
      <c r="B1465" s="115" t="s">
        <v>3750</v>
      </c>
      <c r="C1465" s="116">
        <v>0</v>
      </c>
      <c r="E1465" s="154"/>
      <c r="F1465" s="154"/>
      <c r="G1465" s="154"/>
    </row>
    <row r="1466" spans="1:7" x14ac:dyDescent="0.3">
      <c r="A1466" s="172" t="s">
        <v>3751</v>
      </c>
      <c r="B1466" s="115" t="s">
        <v>3752</v>
      </c>
      <c r="C1466" s="116">
        <v>24024.16</v>
      </c>
      <c r="E1466" s="154"/>
      <c r="F1466" s="154"/>
      <c r="G1466" s="154"/>
    </row>
    <row r="1467" spans="1:7" x14ac:dyDescent="0.3">
      <c r="A1467" s="172" t="s">
        <v>3753</v>
      </c>
      <c r="B1467" s="115" t="s">
        <v>3754</v>
      </c>
      <c r="C1467" s="116">
        <v>60112.28</v>
      </c>
      <c r="E1467" s="154"/>
      <c r="F1467" s="154"/>
      <c r="G1467" s="154"/>
    </row>
    <row r="1468" spans="1:7" x14ac:dyDescent="0.3">
      <c r="A1468" s="172" t="s">
        <v>3755</v>
      </c>
      <c r="B1468" s="115" t="s">
        <v>3756</v>
      </c>
      <c r="C1468" s="116">
        <v>0</v>
      </c>
      <c r="E1468" s="154"/>
      <c r="F1468" s="154"/>
      <c r="G1468" s="154"/>
    </row>
    <row r="1469" spans="1:7" x14ac:dyDescent="0.3">
      <c r="A1469" s="172" t="s">
        <v>3757</v>
      </c>
      <c r="B1469" s="115" t="s">
        <v>3758</v>
      </c>
      <c r="C1469" s="116">
        <v>0</v>
      </c>
      <c r="E1469" s="154"/>
      <c r="F1469" s="154"/>
      <c r="G1469" s="154"/>
    </row>
    <row r="1470" spans="1:7" x14ac:dyDescent="0.3">
      <c r="A1470" s="172" t="s">
        <v>3759</v>
      </c>
      <c r="B1470" s="115" t="s">
        <v>3760</v>
      </c>
      <c r="C1470" s="116">
        <v>0</v>
      </c>
      <c r="E1470" s="154"/>
      <c r="F1470" s="154"/>
      <c r="G1470" s="154"/>
    </row>
    <row r="1471" spans="1:7" x14ac:dyDescent="0.3">
      <c r="A1471" s="172" t="s">
        <v>3761</v>
      </c>
      <c r="B1471" s="115" t="s">
        <v>3762</v>
      </c>
      <c r="C1471" s="116">
        <v>0</v>
      </c>
      <c r="E1471" s="154"/>
      <c r="F1471" s="154"/>
      <c r="G1471" s="154"/>
    </row>
    <row r="1472" spans="1:7" x14ac:dyDescent="0.3">
      <c r="A1472" s="172" t="s">
        <v>3763</v>
      </c>
      <c r="B1472" s="115" t="s">
        <v>3764</v>
      </c>
      <c r="C1472" s="116">
        <v>0</v>
      </c>
      <c r="E1472" s="154"/>
      <c r="F1472" s="154"/>
      <c r="G1472" s="154"/>
    </row>
    <row r="1473" spans="1:7" x14ac:dyDescent="0.3">
      <c r="A1473" s="172" t="s">
        <v>3765</v>
      </c>
      <c r="B1473" s="115" t="s">
        <v>3766</v>
      </c>
      <c r="C1473" s="116">
        <v>0</v>
      </c>
      <c r="E1473" s="154"/>
      <c r="F1473" s="154"/>
      <c r="G1473" s="154"/>
    </row>
    <row r="1474" spans="1:7" x14ac:dyDescent="0.3">
      <c r="A1474" s="172" t="s">
        <v>3767</v>
      </c>
      <c r="B1474" s="115" t="s">
        <v>3768</v>
      </c>
      <c r="C1474" s="116">
        <v>0</v>
      </c>
      <c r="E1474" s="154"/>
      <c r="F1474" s="154"/>
      <c r="G1474" s="154"/>
    </row>
    <row r="1475" spans="1:7" x14ac:dyDescent="0.3">
      <c r="A1475" s="172" t="s">
        <v>548</v>
      </c>
      <c r="B1475" s="115" t="s">
        <v>549</v>
      </c>
      <c r="C1475" s="116">
        <v>0</v>
      </c>
      <c r="E1475" s="154"/>
      <c r="F1475" s="154"/>
      <c r="G1475" s="154"/>
    </row>
    <row r="1476" spans="1:7" x14ac:dyDescent="0.3">
      <c r="A1476" s="172" t="s">
        <v>3769</v>
      </c>
      <c r="B1476" s="115" t="s">
        <v>3770</v>
      </c>
      <c r="C1476" s="116">
        <v>0</v>
      </c>
      <c r="E1476" s="154"/>
      <c r="F1476" s="154"/>
      <c r="G1476" s="154"/>
    </row>
    <row r="1477" spans="1:7" x14ac:dyDescent="0.3">
      <c r="A1477" s="172" t="s">
        <v>3771</v>
      </c>
      <c r="B1477" s="115" t="s">
        <v>3772</v>
      </c>
      <c r="C1477" s="116">
        <v>28500</v>
      </c>
      <c r="E1477" s="154"/>
      <c r="F1477" s="154"/>
      <c r="G1477" s="154"/>
    </row>
    <row r="1478" spans="1:7" x14ac:dyDescent="0.3">
      <c r="A1478" s="172" t="s">
        <v>3773</v>
      </c>
      <c r="B1478" s="115" t="s">
        <v>3774</v>
      </c>
      <c r="C1478" s="116">
        <v>0</v>
      </c>
      <c r="E1478" s="154"/>
      <c r="F1478" s="154"/>
      <c r="G1478" s="154"/>
    </row>
    <row r="1479" spans="1:7" x14ac:dyDescent="0.3">
      <c r="A1479" s="172" t="s">
        <v>3775</v>
      </c>
      <c r="B1479" s="115" t="s">
        <v>3776</v>
      </c>
      <c r="C1479" s="116">
        <v>0</v>
      </c>
      <c r="E1479" s="154"/>
      <c r="F1479" s="154"/>
      <c r="G1479" s="154"/>
    </row>
    <row r="1480" spans="1:7" x14ac:dyDescent="0.3">
      <c r="A1480" s="172" t="s">
        <v>3777</v>
      </c>
      <c r="B1480" s="115" t="s">
        <v>3778</v>
      </c>
      <c r="C1480" s="116">
        <v>0</v>
      </c>
      <c r="E1480" s="154"/>
      <c r="F1480" s="154"/>
      <c r="G1480" s="154"/>
    </row>
    <row r="1481" spans="1:7" x14ac:dyDescent="0.3">
      <c r="A1481" s="172" t="s">
        <v>3779</v>
      </c>
      <c r="B1481" s="115" t="s">
        <v>3780</v>
      </c>
      <c r="C1481" s="116">
        <v>0</v>
      </c>
      <c r="E1481" s="154"/>
      <c r="F1481" s="154"/>
      <c r="G1481" s="154"/>
    </row>
    <row r="1482" spans="1:7" x14ac:dyDescent="0.3">
      <c r="A1482" s="172" t="s">
        <v>3781</v>
      </c>
      <c r="B1482" s="115" t="s">
        <v>3782</v>
      </c>
      <c r="C1482" s="116">
        <v>12525</v>
      </c>
      <c r="E1482" s="154"/>
      <c r="F1482" s="154"/>
      <c r="G1482" s="154"/>
    </row>
    <row r="1483" spans="1:7" x14ac:dyDescent="0.3">
      <c r="A1483" s="172" t="s">
        <v>3783</v>
      </c>
      <c r="B1483" s="115" t="s">
        <v>3784</v>
      </c>
      <c r="C1483" s="116">
        <v>0</v>
      </c>
      <c r="E1483" s="154"/>
      <c r="F1483" s="154"/>
      <c r="G1483" s="154"/>
    </row>
    <row r="1484" spans="1:7" x14ac:dyDescent="0.3">
      <c r="A1484" s="172" t="s">
        <v>3785</v>
      </c>
      <c r="B1484" s="115" t="s">
        <v>3786</v>
      </c>
      <c r="C1484" s="116">
        <v>0</v>
      </c>
      <c r="E1484" s="154"/>
      <c r="F1484" s="154"/>
      <c r="G1484" s="154"/>
    </row>
    <row r="1485" spans="1:7" x14ac:dyDescent="0.3">
      <c r="A1485" s="172" t="s">
        <v>3787</v>
      </c>
      <c r="B1485" s="115" t="s">
        <v>3788</v>
      </c>
      <c r="C1485" s="116">
        <v>0</v>
      </c>
      <c r="E1485" s="154"/>
      <c r="F1485" s="154"/>
      <c r="G1485" s="154"/>
    </row>
    <row r="1486" spans="1:7" x14ac:dyDescent="0.3">
      <c r="A1486" s="172" t="s">
        <v>3789</v>
      </c>
      <c r="B1486" s="115" t="s">
        <v>3790</v>
      </c>
      <c r="C1486" s="116">
        <v>0</v>
      </c>
      <c r="E1486" s="154"/>
      <c r="F1486" s="154"/>
      <c r="G1486" s="154"/>
    </row>
    <row r="1487" spans="1:7" x14ac:dyDescent="0.3">
      <c r="A1487" s="172" t="s">
        <v>3791</v>
      </c>
      <c r="B1487" s="115" t="s">
        <v>3792</v>
      </c>
      <c r="C1487" s="116">
        <v>0</v>
      </c>
      <c r="E1487" s="154"/>
      <c r="F1487" s="154"/>
      <c r="G1487" s="154"/>
    </row>
    <row r="1488" spans="1:7" x14ac:dyDescent="0.3">
      <c r="A1488" s="172" t="s">
        <v>3793</v>
      </c>
      <c r="B1488" s="115" t="s">
        <v>3794</v>
      </c>
      <c r="C1488" s="116">
        <v>0</v>
      </c>
      <c r="E1488" s="154"/>
      <c r="F1488" s="154"/>
      <c r="G1488" s="154"/>
    </row>
    <row r="1489" spans="1:7" x14ac:dyDescent="0.3">
      <c r="A1489" s="172" t="s">
        <v>3795</v>
      </c>
      <c r="B1489" s="115" t="s">
        <v>3796</v>
      </c>
      <c r="C1489" s="116">
        <v>0</v>
      </c>
      <c r="E1489" s="154"/>
      <c r="F1489" s="154"/>
      <c r="G1489" s="154"/>
    </row>
    <row r="1490" spans="1:7" x14ac:dyDescent="0.3">
      <c r="A1490" s="172" t="s">
        <v>3797</v>
      </c>
      <c r="B1490" s="115" t="s">
        <v>3798</v>
      </c>
      <c r="C1490" s="116">
        <v>0</v>
      </c>
      <c r="E1490" s="154"/>
      <c r="F1490" s="154"/>
      <c r="G1490" s="154"/>
    </row>
    <row r="1491" spans="1:7" x14ac:dyDescent="0.3">
      <c r="A1491" s="172" t="s">
        <v>3799</v>
      </c>
      <c r="B1491" s="115" t="s">
        <v>3800</v>
      </c>
      <c r="C1491" s="116">
        <v>0</v>
      </c>
      <c r="E1491" s="154"/>
      <c r="F1491" s="154"/>
      <c r="G1491" s="154"/>
    </row>
    <row r="1492" spans="1:7" x14ac:dyDescent="0.3">
      <c r="A1492" s="172" t="s">
        <v>3801</v>
      </c>
      <c r="B1492" s="115" t="s">
        <v>3802</v>
      </c>
      <c r="C1492" s="116">
        <v>0</v>
      </c>
      <c r="E1492" s="154"/>
      <c r="F1492" s="154"/>
      <c r="G1492" s="154"/>
    </row>
    <row r="1493" spans="1:7" x14ac:dyDescent="0.3">
      <c r="A1493" s="172" t="s">
        <v>949</v>
      </c>
      <c r="B1493" s="115" t="s">
        <v>950</v>
      </c>
      <c r="C1493" s="116">
        <v>0</v>
      </c>
      <c r="E1493" s="154"/>
      <c r="F1493" s="154"/>
      <c r="G1493" s="154"/>
    </row>
    <row r="1494" spans="1:7" x14ac:dyDescent="0.3">
      <c r="A1494" s="172" t="s">
        <v>3803</v>
      </c>
      <c r="B1494" s="115" t="s">
        <v>3804</v>
      </c>
      <c r="C1494" s="116">
        <v>0</v>
      </c>
      <c r="E1494" s="154"/>
      <c r="F1494" s="154"/>
      <c r="G1494" s="154"/>
    </row>
    <row r="1495" spans="1:7" x14ac:dyDescent="0.3">
      <c r="A1495" s="173" t="s">
        <v>3805</v>
      </c>
      <c r="B1495" s="20" t="s">
        <v>3806</v>
      </c>
      <c r="C1495" s="116">
        <v>0</v>
      </c>
      <c r="E1495" s="154"/>
      <c r="F1495" s="154"/>
      <c r="G1495" s="154"/>
    </row>
    <row r="1496" spans="1:7" x14ac:dyDescent="0.3">
      <c r="A1496" s="172" t="s">
        <v>3807</v>
      </c>
      <c r="B1496" s="115" t="s">
        <v>3808</v>
      </c>
      <c r="C1496" s="116">
        <v>0</v>
      </c>
      <c r="E1496" s="154"/>
      <c r="F1496" s="154"/>
      <c r="G1496" s="154"/>
    </row>
    <row r="1497" spans="1:7" x14ac:dyDescent="0.3">
      <c r="A1497" s="172" t="s">
        <v>3809</v>
      </c>
      <c r="B1497" s="115" t="s">
        <v>3810</v>
      </c>
      <c r="C1497" s="116">
        <v>0</v>
      </c>
      <c r="E1497" s="154"/>
      <c r="F1497" s="154"/>
      <c r="G1497" s="154"/>
    </row>
    <row r="1498" spans="1:7" x14ac:dyDescent="0.3">
      <c r="A1498" s="172" t="s">
        <v>3811</v>
      </c>
      <c r="B1498" s="115" t="s">
        <v>3812</v>
      </c>
      <c r="C1498" s="116">
        <v>0</v>
      </c>
      <c r="E1498" s="154"/>
      <c r="F1498" s="154"/>
      <c r="G1498" s="154"/>
    </row>
    <row r="1499" spans="1:7" x14ac:dyDescent="0.3">
      <c r="A1499" s="172" t="s">
        <v>3813</v>
      </c>
      <c r="B1499" s="115" t="s">
        <v>3814</v>
      </c>
      <c r="C1499" s="116">
        <v>0</v>
      </c>
      <c r="E1499" s="154"/>
      <c r="F1499" s="154"/>
      <c r="G1499" s="154"/>
    </row>
    <row r="1500" spans="1:7" x14ac:dyDescent="0.3">
      <c r="A1500" s="172" t="s">
        <v>3815</v>
      </c>
      <c r="B1500" s="115" t="s">
        <v>3816</v>
      </c>
      <c r="C1500" s="116">
        <v>0</v>
      </c>
      <c r="E1500" s="154"/>
      <c r="F1500" s="154"/>
      <c r="G1500" s="154"/>
    </row>
    <row r="1501" spans="1:7" x14ac:dyDescent="0.3">
      <c r="A1501" s="172" t="s">
        <v>3817</v>
      </c>
      <c r="B1501" s="115" t="s">
        <v>3818</v>
      </c>
      <c r="C1501" s="116">
        <v>0</v>
      </c>
      <c r="E1501" s="154"/>
      <c r="F1501" s="154"/>
      <c r="G1501" s="154"/>
    </row>
    <row r="1502" spans="1:7" x14ac:dyDescent="0.3">
      <c r="A1502" s="172" t="s">
        <v>3819</v>
      </c>
      <c r="B1502" s="115" t="s">
        <v>3820</v>
      </c>
      <c r="C1502" s="116">
        <v>0</v>
      </c>
      <c r="E1502" s="154"/>
      <c r="F1502" s="154"/>
      <c r="G1502" s="154"/>
    </row>
    <row r="1503" spans="1:7" x14ac:dyDescent="0.3">
      <c r="A1503" s="172" t="s">
        <v>3821</v>
      </c>
      <c r="B1503" s="115" t="s">
        <v>3822</v>
      </c>
      <c r="C1503" s="116">
        <v>0</v>
      </c>
      <c r="E1503" s="154"/>
      <c r="F1503" s="154"/>
      <c r="G1503" s="154"/>
    </row>
    <row r="1504" spans="1:7" x14ac:dyDescent="0.3">
      <c r="A1504" s="172" t="s">
        <v>3823</v>
      </c>
      <c r="B1504" s="115" t="s">
        <v>3824</v>
      </c>
      <c r="C1504" s="116">
        <v>0</v>
      </c>
      <c r="E1504" s="154"/>
      <c r="F1504" s="154"/>
      <c r="G1504" s="154"/>
    </row>
    <row r="1505" spans="1:7" x14ac:dyDescent="0.3">
      <c r="A1505" s="172" t="s">
        <v>3825</v>
      </c>
      <c r="B1505" s="115" t="s">
        <v>3826</v>
      </c>
      <c r="C1505" s="116">
        <v>0</v>
      </c>
      <c r="E1505" s="154"/>
      <c r="F1505" s="154"/>
      <c r="G1505" s="154"/>
    </row>
    <row r="1506" spans="1:7" x14ac:dyDescent="0.3">
      <c r="A1506" s="172" t="s">
        <v>3827</v>
      </c>
      <c r="B1506" s="115" t="s">
        <v>3828</v>
      </c>
      <c r="C1506" s="116">
        <v>-0.01</v>
      </c>
      <c r="E1506" s="154"/>
      <c r="F1506" s="154"/>
      <c r="G1506" s="154"/>
    </row>
    <row r="1507" spans="1:7" x14ac:dyDescent="0.3">
      <c r="A1507" s="172" t="s">
        <v>3829</v>
      </c>
      <c r="B1507" s="115" t="s">
        <v>3830</v>
      </c>
      <c r="C1507" s="116">
        <v>0</v>
      </c>
      <c r="E1507" s="154"/>
      <c r="F1507" s="154"/>
      <c r="G1507" s="154"/>
    </row>
    <row r="1508" spans="1:7" x14ac:dyDescent="0.3">
      <c r="A1508" s="172" t="s">
        <v>3831</v>
      </c>
      <c r="B1508" s="115" t="s">
        <v>3832</v>
      </c>
      <c r="C1508" s="116">
        <v>0</v>
      </c>
      <c r="E1508" s="154"/>
      <c r="F1508" s="154"/>
      <c r="G1508" s="154"/>
    </row>
    <row r="1509" spans="1:7" x14ac:dyDescent="0.3">
      <c r="A1509" s="172" t="s">
        <v>3833</v>
      </c>
      <c r="B1509" s="115" t="s">
        <v>3834</v>
      </c>
      <c r="C1509" s="116">
        <v>0</v>
      </c>
      <c r="E1509" s="154"/>
      <c r="F1509" s="154"/>
      <c r="G1509" s="154"/>
    </row>
    <row r="1510" spans="1:7" x14ac:dyDescent="0.3">
      <c r="A1510" s="172" t="s">
        <v>584</v>
      </c>
      <c r="B1510" s="115" t="s">
        <v>585</v>
      </c>
      <c r="C1510" s="116">
        <v>0</v>
      </c>
      <c r="E1510" s="154"/>
      <c r="F1510" s="154"/>
      <c r="G1510" s="154"/>
    </row>
    <row r="1511" spans="1:7" x14ac:dyDescent="0.3">
      <c r="A1511" s="172" t="s">
        <v>3835</v>
      </c>
      <c r="B1511" s="115" t="s">
        <v>3836</v>
      </c>
      <c r="C1511" s="116">
        <v>0</v>
      </c>
      <c r="E1511" s="154"/>
      <c r="F1511" s="154"/>
      <c r="G1511" s="154"/>
    </row>
    <row r="1512" spans="1:7" x14ac:dyDescent="0.3">
      <c r="A1512" s="172" t="s">
        <v>3837</v>
      </c>
      <c r="B1512" s="115" t="s">
        <v>3838</v>
      </c>
      <c r="C1512" s="116">
        <v>0</v>
      </c>
      <c r="E1512" s="154"/>
      <c r="F1512" s="154"/>
      <c r="G1512" s="154"/>
    </row>
    <row r="1513" spans="1:7" x14ac:dyDescent="0.3">
      <c r="A1513" s="172" t="s">
        <v>3839</v>
      </c>
      <c r="B1513" s="115" t="s">
        <v>3840</v>
      </c>
      <c r="C1513" s="116">
        <v>0</v>
      </c>
      <c r="E1513" s="154"/>
      <c r="F1513" s="154"/>
      <c r="G1513" s="154"/>
    </row>
    <row r="1514" spans="1:7" x14ac:dyDescent="0.3">
      <c r="A1514" s="172" t="s">
        <v>3841</v>
      </c>
      <c r="B1514" s="115" t="s">
        <v>3842</v>
      </c>
      <c r="C1514" s="116">
        <v>0</v>
      </c>
      <c r="E1514" s="154"/>
      <c r="F1514" s="154"/>
      <c r="G1514" s="154"/>
    </row>
    <row r="1515" spans="1:7" x14ac:dyDescent="0.3">
      <c r="A1515" s="172" t="s">
        <v>3843</v>
      </c>
      <c r="B1515" s="115" t="s">
        <v>3844</v>
      </c>
      <c r="C1515" s="116">
        <v>0</v>
      </c>
      <c r="E1515" s="154"/>
      <c r="F1515" s="154"/>
      <c r="G1515" s="154"/>
    </row>
    <row r="1516" spans="1:7" x14ac:dyDescent="0.3">
      <c r="A1516" s="172" t="s">
        <v>3845</v>
      </c>
      <c r="B1516" s="115" t="s">
        <v>3846</v>
      </c>
      <c r="C1516" s="116">
        <v>0</v>
      </c>
      <c r="E1516" s="154"/>
      <c r="F1516" s="154"/>
      <c r="G1516" s="154"/>
    </row>
    <row r="1517" spans="1:7" x14ac:dyDescent="0.3">
      <c r="A1517" s="172" t="s">
        <v>3847</v>
      </c>
      <c r="B1517" s="115" t="s">
        <v>3848</v>
      </c>
      <c r="C1517" s="116">
        <v>0</v>
      </c>
      <c r="E1517" s="154"/>
      <c r="F1517" s="154"/>
      <c r="G1517" s="154"/>
    </row>
    <row r="1518" spans="1:7" x14ac:dyDescent="0.3">
      <c r="A1518" s="172" t="s">
        <v>3849</v>
      </c>
      <c r="B1518" s="115" t="s">
        <v>3850</v>
      </c>
      <c r="C1518" s="116">
        <v>0</v>
      </c>
      <c r="E1518" s="154"/>
      <c r="F1518" s="154"/>
      <c r="G1518" s="154"/>
    </row>
    <row r="1519" spans="1:7" x14ac:dyDescent="0.3">
      <c r="A1519" s="172" t="s">
        <v>3851</v>
      </c>
      <c r="B1519" s="115" t="s">
        <v>3852</v>
      </c>
      <c r="C1519" s="116">
        <v>0</v>
      </c>
      <c r="E1519" s="154"/>
      <c r="F1519" s="154"/>
      <c r="G1519" s="154"/>
    </row>
    <row r="1520" spans="1:7" x14ac:dyDescent="0.3">
      <c r="A1520" s="172" t="s">
        <v>3853</v>
      </c>
      <c r="B1520" s="115" t="s">
        <v>3854</v>
      </c>
      <c r="C1520" s="116">
        <v>0</v>
      </c>
      <c r="E1520" s="154"/>
      <c r="F1520" s="154"/>
      <c r="G1520" s="154"/>
    </row>
    <row r="1521" spans="1:7" x14ac:dyDescent="0.3">
      <c r="A1521" s="172" t="s">
        <v>3855</v>
      </c>
      <c r="B1521" s="115" t="s">
        <v>3856</v>
      </c>
      <c r="C1521" s="116">
        <v>0</v>
      </c>
      <c r="E1521" s="154"/>
      <c r="F1521" s="154"/>
      <c r="G1521" s="154"/>
    </row>
    <row r="1522" spans="1:7" x14ac:dyDescent="0.3">
      <c r="A1522" s="172" t="s">
        <v>3857</v>
      </c>
      <c r="B1522" s="115" t="s">
        <v>3858</v>
      </c>
      <c r="C1522" s="116">
        <v>0</v>
      </c>
      <c r="E1522" s="154"/>
      <c r="F1522" s="154"/>
      <c r="G1522" s="154"/>
    </row>
    <row r="1523" spans="1:7" x14ac:dyDescent="0.3">
      <c r="A1523" s="172" t="s">
        <v>3859</v>
      </c>
      <c r="B1523" s="115" t="s">
        <v>3860</v>
      </c>
      <c r="C1523" s="116">
        <v>0</v>
      </c>
      <c r="E1523" s="154"/>
      <c r="F1523" s="154"/>
      <c r="G1523" s="154"/>
    </row>
    <row r="1524" spans="1:7" x14ac:dyDescent="0.3">
      <c r="A1524" s="172" t="s">
        <v>3861</v>
      </c>
      <c r="B1524" s="115" t="s">
        <v>3862</v>
      </c>
      <c r="C1524" s="116">
        <v>276837.09999999998</v>
      </c>
      <c r="E1524" s="154"/>
      <c r="F1524" s="154"/>
      <c r="G1524" s="154"/>
    </row>
    <row r="1525" spans="1:7" x14ac:dyDescent="0.3">
      <c r="A1525" s="172" t="s">
        <v>3863</v>
      </c>
      <c r="B1525" s="115" t="s">
        <v>3864</v>
      </c>
      <c r="C1525" s="116">
        <v>55569.3</v>
      </c>
      <c r="E1525" s="154"/>
      <c r="F1525" s="154"/>
      <c r="G1525" s="154"/>
    </row>
    <row r="1526" spans="1:7" x14ac:dyDescent="0.3">
      <c r="A1526" s="172" t="s">
        <v>3865</v>
      </c>
      <c r="B1526" s="115" t="s">
        <v>3866</v>
      </c>
      <c r="C1526" s="116">
        <v>0</v>
      </c>
      <c r="E1526" s="154"/>
      <c r="F1526" s="154"/>
      <c r="G1526" s="154"/>
    </row>
    <row r="1527" spans="1:7" x14ac:dyDescent="0.3">
      <c r="A1527" s="172" t="s">
        <v>3867</v>
      </c>
      <c r="B1527" s="115" t="s">
        <v>3868</v>
      </c>
      <c r="C1527" s="116">
        <v>-15184709984</v>
      </c>
      <c r="E1527" s="154"/>
      <c r="F1527" s="154"/>
      <c r="G1527" s="154"/>
    </row>
    <row r="1528" spans="1:7" x14ac:dyDescent="0.3">
      <c r="A1528" s="172" t="s">
        <v>3869</v>
      </c>
      <c r="B1528" s="115" t="s">
        <v>3870</v>
      </c>
      <c r="C1528" s="116">
        <v>0</v>
      </c>
      <c r="E1528" s="154"/>
      <c r="F1528" s="154"/>
      <c r="G1528" s="154"/>
    </row>
    <row r="1529" spans="1:7" x14ac:dyDescent="0.3">
      <c r="A1529" s="172" t="s">
        <v>3871</v>
      </c>
      <c r="B1529" s="115" t="s">
        <v>3872</v>
      </c>
      <c r="C1529" s="116">
        <v>0</v>
      </c>
      <c r="E1529" s="154"/>
      <c r="F1529" s="154"/>
      <c r="G1529" s="154"/>
    </row>
    <row r="1530" spans="1:7" x14ac:dyDescent="0.3">
      <c r="A1530" s="172" t="s">
        <v>3873</v>
      </c>
      <c r="B1530" s="115" t="s">
        <v>1382</v>
      </c>
      <c r="C1530" s="116">
        <v>0</v>
      </c>
      <c r="E1530" s="154"/>
      <c r="F1530" s="154"/>
      <c r="G1530" s="154"/>
    </row>
    <row r="1531" spans="1:7" x14ac:dyDescent="0.3">
      <c r="A1531" s="172" t="s">
        <v>873</v>
      </c>
      <c r="B1531" s="115" t="s">
        <v>874</v>
      </c>
      <c r="C1531" s="116">
        <v>-3035681.74</v>
      </c>
      <c r="E1531" s="154"/>
      <c r="F1531" s="154"/>
      <c r="G1531" s="154"/>
    </row>
    <row r="1532" spans="1:7" x14ac:dyDescent="0.3">
      <c r="A1532" s="172" t="s">
        <v>3874</v>
      </c>
      <c r="B1532" s="115" t="s">
        <v>3875</v>
      </c>
      <c r="C1532" s="116">
        <v>5544.66</v>
      </c>
      <c r="E1532" s="154"/>
      <c r="F1532" s="154"/>
      <c r="G1532" s="154"/>
    </row>
    <row r="1533" spans="1:7" x14ac:dyDescent="0.3">
      <c r="A1533" s="172" t="s">
        <v>3876</v>
      </c>
      <c r="B1533" s="115" t="s">
        <v>3877</v>
      </c>
      <c r="C1533" s="116">
        <v>42862.51</v>
      </c>
      <c r="E1533" s="154"/>
      <c r="F1533" s="154"/>
      <c r="G1533" s="154"/>
    </row>
    <row r="1534" spans="1:7" x14ac:dyDescent="0.3">
      <c r="A1534" s="172" t="s">
        <v>3878</v>
      </c>
      <c r="B1534" s="115" t="s">
        <v>3879</v>
      </c>
      <c r="C1534" s="116">
        <v>4774763.7699999996</v>
      </c>
      <c r="E1534" s="154"/>
      <c r="F1534" s="154"/>
      <c r="G1534" s="154"/>
    </row>
    <row r="1535" spans="1:7" x14ac:dyDescent="0.3">
      <c r="A1535" s="172" t="s">
        <v>3880</v>
      </c>
      <c r="B1535" s="115" t="s">
        <v>3881</v>
      </c>
      <c r="C1535" s="116">
        <v>0</v>
      </c>
      <c r="E1535" s="154"/>
      <c r="F1535" s="154"/>
      <c r="G1535" s="154"/>
    </row>
    <row r="1536" spans="1:7" x14ac:dyDescent="0.3">
      <c r="A1536" s="172" t="s">
        <v>3882</v>
      </c>
      <c r="B1536" s="115" t="s">
        <v>3883</v>
      </c>
      <c r="C1536" s="116">
        <v>31215.53</v>
      </c>
      <c r="E1536" s="154"/>
      <c r="F1536" s="154"/>
      <c r="G1536" s="154"/>
    </row>
    <row r="1537" spans="1:7" x14ac:dyDescent="0.3">
      <c r="A1537" s="172" t="s">
        <v>3884</v>
      </c>
      <c r="B1537" s="115" t="s">
        <v>3885</v>
      </c>
      <c r="C1537" s="116">
        <v>652113.6</v>
      </c>
      <c r="E1537" s="154"/>
      <c r="F1537" s="154"/>
      <c r="G1537" s="154"/>
    </row>
    <row r="1538" spans="1:7" x14ac:dyDescent="0.3">
      <c r="A1538" s="172" t="s">
        <v>3886</v>
      </c>
      <c r="B1538" s="115" t="s">
        <v>3887</v>
      </c>
      <c r="C1538" s="116">
        <v>25792</v>
      </c>
      <c r="E1538" s="154"/>
      <c r="F1538" s="154"/>
      <c r="G1538" s="154"/>
    </row>
    <row r="1539" spans="1:7" x14ac:dyDescent="0.3">
      <c r="A1539" s="172" t="s">
        <v>3888</v>
      </c>
      <c r="B1539" s="115" t="s">
        <v>3889</v>
      </c>
      <c r="C1539" s="116">
        <v>1322708.67</v>
      </c>
      <c r="E1539" s="154"/>
      <c r="F1539" s="154"/>
      <c r="G1539" s="154"/>
    </row>
    <row r="1540" spans="1:7" x14ac:dyDescent="0.3">
      <c r="A1540" s="172" t="s">
        <v>3890</v>
      </c>
      <c r="B1540" s="115" t="s">
        <v>3891</v>
      </c>
      <c r="C1540" s="116">
        <v>60191</v>
      </c>
      <c r="E1540" s="154"/>
      <c r="F1540" s="154"/>
      <c r="G1540" s="154"/>
    </row>
    <row r="1541" spans="1:7" x14ac:dyDescent="0.3">
      <c r="A1541" s="172" t="s">
        <v>3892</v>
      </c>
      <c r="B1541" s="115" t="s">
        <v>3893</v>
      </c>
      <c r="C1541" s="116">
        <v>640060.54</v>
      </c>
      <c r="E1541" s="154"/>
      <c r="F1541" s="154"/>
      <c r="G1541" s="154"/>
    </row>
    <row r="1542" spans="1:7" x14ac:dyDescent="0.3">
      <c r="A1542" s="172" t="s">
        <v>3894</v>
      </c>
      <c r="B1542" s="115" t="s">
        <v>3895</v>
      </c>
      <c r="C1542" s="116">
        <v>243228.37</v>
      </c>
      <c r="E1542" s="154"/>
      <c r="F1542" s="154"/>
      <c r="G1542" s="154"/>
    </row>
    <row r="1543" spans="1:7" x14ac:dyDescent="0.3">
      <c r="A1543" s="172" t="s">
        <v>3896</v>
      </c>
      <c r="B1543" s="115" t="s">
        <v>3897</v>
      </c>
      <c r="C1543" s="116">
        <v>442327.5</v>
      </c>
      <c r="E1543" s="154"/>
      <c r="F1543" s="154"/>
      <c r="G1543" s="154"/>
    </row>
    <row r="1544" spans="1:7" x14ac:dyDescent="0.3">
      <c r="A1544" s="172" t="s">
        <v>3898</v>
      </c>
      <c r="B1544" s="115" t="s">
        <v>3899</v>
      </c>
      <c r="C1544" s="116">
        <v>7372707.8700000001</v>
      </c>
      <c r="E1544" s="154"/>
      <c r="F1544" s="154"/>
      <c r="G1544" s="154"/>
    </row>
    <row r="1545" spans="1:7" x14ac:dyDescent="0.3">
      <c r="A1545" s="172" t="s">
        <v>3900</v>
      </c>
      <c r="B1545" s="115" t="s">
        <v>3901</v>
      </c>
      <c r="C1545" s="116">
        <v>387443.4</v>
      </c>
      <c r="E1545" s="154"/>
      <c r="F1545" s="154"/>
      <c r="G1545" s="154"/>
    </row>
    <row r="1546" spans="1:7" x14ac:dyDescent="0.3">
      <c r="A1546" s="172" t="s">
        <v>3902</v>
      </c>
      <c r="B1546" s="115" t="s">
        <v>1889</v>
      </c>
      <c r="C1546" s="116">
        <v>1028532.5</v>
      </c>
      <c r="E1546" s="154"/>
      <c r="F1546" s="154"/>
      <c r="G1546" s="154"/>
    </row>
    <row r="1547" spans="1:7" x14ac:dyDescent="0.3">
      <c r="A1547" s="172" t="s">
        <v>3903</v>
      </c>
      <c r="B1547" s="115" t="s">
        <v>3904</v>
      </c>
      <c r="C1547" s="116">
        <v>680085.8</v>
      </c>
      <c r="E1547" s="154"/>
      <c r="F1547" s="154"/>
      <c r="G1547" s="154"/>
    </row>
    <row r="1548" spans="1:7" x14ac:dyDescent="0.3">
      <c r="A1548" s="172" t="s">
        <v>3905</v>
      </c>
      <c r="B1548" s="115" t="s">
        <v>3906</v>
      </c>
      <c r="C1548" s="116">
        <v>71060</v>
      </c>
      <c r="E1548" s="154"/>
      <c r="F1548" s="154"/>
      <c r="G1548" s="154"/>
    </row>
    <row r="1549" spans="1:7" x14ac:dyDescent="0.3">
      <c r="A1549" s="172" t="s">
        <v>3907</v>
      </c>
      <c r="B1549" s="115" t="s">
        <v>3908</v>
      </c>
      <c r="C1549" s="116">
        <v>122928.13</v>
      </c>
      <c r="E1549" s="154"/>
      <c r="F1549" s="154"/>
      <c r="G1549" s="154"/>
    </row>
    <row r="1550" spans="1:7" x14ac:dyDescent="0.3">
      <c r="A1550" s="172" t="s">
        <v>3909</v>
      </c>
      <c r="B1550" s="115" t="s">
        <v>3910</v>
      </c>
      <c r="C1550" s="116">
        <v>80746.679999999993</v>
      </c>
      <c r="E1550" s="154"/>
      <c r="F1550" s="154"/>
      <c r="G1550" s="154"/>
    </row>
    <row r="1551" spans="1:7" x14ac:dyDescent="0.3">
      <c r="A1551" s="172" t="s">
        <v>3911</v>
      </c>
      <c r="B1551" s="115" t="s">
        <v>3912</v>
      </c>
      <c r="C1551" s="116">
        <v>239450</v>
      </c>
      <c r="E1551" s="154"/>
      <c r="F1551" s="154"/>
      <c r="G1551" s="154"/>
    </row>
    <row r="1552" spans="1:7" x14ac:dyDescent="0.3">
      <c r="A1552" s="172" t="s">
        <v>3913</v>
      </c>
      <c r="B1552" s="115" t="s">
        <v>3914</v>
      </c>
      <c r="C1552" s="116">
        <v>316496.75</v>
      </c>
      <c r="E1552" s="154"/>
      <c r="F1552" s="154"/>
      <c r="G1552" s="154"/>
    </row>
    <row r="1553" spans="1:7" x14ac:dyDescent="0.3">
      <c r="A1553" s="172" t="s">
        <v>3915</v>
      </c>
      <c r="B1553" s="115" t="s">
        <v>3916</v>
      </c>
      <c r="C1553" s="116">
        <v>55569.3</v>
      </c>
      <c r="E1553" s="154"/>
      <c r="F1553" s="154"/>
      <c r="G1553" s="154"/>
    </row>
    <row r="1554" spans="1:7" x14ac:dyDescent="0.3">
      <c r="A1554" s="172" t="s">
        <v>3917</v>
      </c>
      <c r="B1554" s="115" t="s">
        <v>3918</v>
      </c>
      <c r="C1554" s="116">
        <v>135912.82999999999</v>
      </c>
      <c r="E1554" s="154"/>
      <c r="F1554" s="154"/>
      <c r="G1554" s="154"/>
    </row>
    <row r="1555" spans="1:7" x14ac:dyDescent="0.3">
      <c r="A1555" s="172" t="s">
        <v>3919</v>
      </c>
      <c r="B1555" s="115" t="s">
        <v>3920</v>
      </c>
      <c r="C1555" s="116">
        <v>37873</v>
      </c>
      <c r="E1555" s="154"/>
      <c r="F1555" s="154"/>
      <c r="G1555" s="154"/>
    </row>
    <row r="1556" spans="1:7" x14ac:dyDescent="0.3">
      <c r="A1556" s="172" t="s">
        <v>3921</v>
      </c>
      <c r="B1556" s="115" t="s">
        <v>3922</v>
      </c>
      <c r="C1556" s="116">
        <v>113447</v>
      </c>
      <c r="E1556" s="154"/>
      <c r="F1556" s="154"/>
      <c r="G1556" s="154"/>
    </row>
    <row r="1557" spans="1:7" x14ac:dyDescent="0.3">
      <c r="A1557" s="172" t="s">
        <v>3923</v>
      </c>
      <c r="B1557" s="115" t="s">
        <v>3924</v>
      </c>
      <c r="C1557" s="116">
        <v>3886476.77</v>
      </c>
      <c r="E1557" s="154"/>
      <c r="F1557" s="154"/>
      <c r="G1557" s="154"/>
    </row>
    <row r="1558" spans="1:7" x14ac:dyDescent="0.3">
      <c r="A1558" s="172" t="s">
        <v>3925</v>
      </c>
      <c r="B1558" s="115" t="s">
        <v>3926</v>
      </c>
      <c r="C1558" s="116">
        <v>980136.93</v>
      </c>
      <c r="E1558" s="154"/>
      <c r="F1558" s="154"/>
      <c r="G1558" s="154"/>
    </row>
    <row r="1559" spans="1:7" x14ac:dyDescent="0.3">
      <c r="A1559" s="172" t="s">
        <v>3927</v>
      </c>
      <c r="B1559" s="115" t="s">
        <v>3928</v>
      </c>
      <c r="C1559" s="116">
        <v>-287263.45</v>
      </c>
      <c r="E1559" s="154"/>
      <c r="F1559" s="154"/>
      <c r="G1559" s="154"/>
    </row>
    <row r="1560" spans="1:7" x14ac:dyDescent="0.3">
      <c r="A1560" s="172" t="s">
        <v>3929</v>
      </c>
      <c r="B1560" s="115" t="s">
        <v>3930</v>
      </c>
      <c r="C1560" s="116">
        <v>-3375000000.02</v>
      </c>
      <c r="E1560" s="154"/>
      <c r="F1560" s="154"/>
      <c r="G1560" s="154"/>
    </row>
    <row r="1561" spans="1:7" x14ac:dyDescent="0.3">
      <c r="A1561" s="172" t="s">
        <v>3931</v>
      </c>
      <c r="B1561" s="115" t="s">
        <v>3932</v>
      </c>
      <c r="C1561" s="116">
        <v>9056.66</v>
      </c>
      <c r="E1561" s="154"/>
      <c r="F1561" s="154"/>
      <c r="G1561" s="154"/>
    </row>
    <row r="1562" spans="1:7" x14ac:dyDescent="0.3">
      <c r="A1562" s="172" t="s">
        <v>3933</v>
      </c>
      <c r="B1562" s="115" t="s">
        <v>3934</v>
      </c>
      <c r="C1562" s="116">
        <v>-33333294</v>
      </c>
      <c r="E1562" s="154"/>
      <c r="F1562" s="154"/>
      <c r="G1562" s="154"/>
    </row>
    <row r="1563" spans="1:7" x14ac:dyDescent="0.3">
      <c r="A1563" s="172" t="s">
        <v>3935</v>
      </c>
      <c r="B1563" s="115" t="s">
        <v>3936</v>
      </c>
      <c r="C1563" s="116">
        <v>1371375</v>
      </c>
      <c r="E1563" s="154"/>
      <c r="F1563" s="154"/>
      <c r="G1563" s="154"/>
    </row>
    <row r="1564" spans="1:7" x14ac:dyDescent="0.3">
      <c r="A1564" s="172" t="s">
        <v>3937</v>
      </c>
      <c r="B1564" s="115" t="s">
        <v>3938</v>
      </c>
      <c r="C1564" s="116">
        <v>316384.5</v>
      </c>
      <c r="E1564" s="154"/>
      <c r="F1564" s="154"/>
      <c r="G1564" s="154"/>
    </row>
    <row r="1565" spans="1:7" x14ac:dyDescent="0.3">
      <c r="A1565" s="172" t="s">
        <v>514</v>
      </c>
      <c r="B1565" s="115" t="s">
        <v>515</v>
      </c>
      <c r="C1565" s="116">
        <v>27110584.16</v>
      </c>
      <c r="E1565" s="154"/>
      <c r="F1565" s="154"/>
      <c r="G1565" s="154"/>
    </row>
    <row r="1566" spans="1:7" x14ac:dyDescent="0.3">
      <c r="A1566" s="172" t="s">
        <v>3939</v>
      </c>
      <c r="B1566" s="115" t="s">
        <v>3940</v>
      </c>
      <c r="C1566" s="116">
        <v>961259.4</v>
      </c>
      <c r="E1566" s="154"/>
      <c r="F1566" s="154"/>
      <c r="G1566" s="154"/>
    </row>
    <row r="1567" spans="1:7" x14ac:dyDescent="0.3">
      <c r="A1567" s="172" t="s">
        <v>3941</v>
      </c>
      <c r="B1567" s="115" t="s">
        <v>3942</v>
      </c>
      <c r="C1567" s="116">
        <v>46450</v>
      </c>
      <c r="E1567" s="154"/>
      <c r="F1567" s="154"/>
      <c r="G1567" s="154"/>
    </row>
    <row r="1568" spans="1:7" x14ac:dyDescent="0.3">
      <c r="A1568" s="172" t="s">
        <v>3943</v>
      </c>
      <c r="B1568" s="115" t="s">
        <v>3944</v>
      </c>
      <c r="C1568" s="116">
        <v>20684</v>
      </c>
      <c r="E1568" s="154"/>
      <c r="F1568" s="154"/>
      <c r="G1568" s="154"/>
    </row>
    <row r="1569" spans="1:7" x14ac:dyDescent="0.3">
      <c r="A1569" s="172" t="s">
        <v>3945</v>
      </c>
      <c r="B1569" s="115" t="s">
        <v>3946</v>
      </c>
      <c r="C1569" s="116">
        <v>75529.25</v>
      </c>
      <c r="E1569" s="154"/>
      <c r="F1569" s="154"/>
      <c r="G1569" s="154"/>
    </row>
    <row r="1570" spans="1:7" x14ac:dyDescent="0.3">
      <c r="A1570" s="172" t="s">
        <v>3947</v>
      </c>
      <c r="B1570" s="115" t="s">
        <v>3948</v>
      </c>
      <c r="C1570" s="116">
        <v>0</v>
      </c>
      <c r="E1570" s="154"/>
      <c r="F1570" s="154"/>
      <c r="G1570" s="154"/>
    </row>
    <row r="1571" spans="1:7" x14ac:dyDescent="0.3">
      <c r="A1571" s="172" t="s">
        <v>3949</v>
      </c>
      <c r="B1571" s="115" t="s">
        <v>3950</v>
      </c>
      <c r="C1571" s="116">
        <v>-0.46</v>
      </c>
      <c r="E1571" s="154"/>
      <c r="F1571" s="154"/>
      <c r="G1571" s="154"/>
    </row>
    <row r="1572" spans="1:7" x14ac:dyDescent="0.3">
      <c r="A1572" s="172" t="s">
        <v>3951</v>
      </c>
      <c r="B1572" s="115" t="s">
        <v>3952</v>
      </c>
      <c r="C1572" s="116">
        <v>88170</v>
      </c>
      <c r="E1572" s="154"/>
      <c r="F1572" s="154"/>
      <c r="G1572" s="154"/>
    </row>
    <row r="1573" spans="1:7" x14ac:dyDescent="0.3">
      <c r="A1573" s="172" t="s">
        <v>3953</v>
      </c>
      <c r="B1573" s="115" t="s">
        <v>3954</v>
      </c>
      <c r="C1573" s="116">
        <v>83670.75</v>
      </c>
      <c r="E1573" s="154"/>
      <c r="F1573" s="154"/>
      <c r="G1573" s="154"/>
    </row>
    <row r="1574" spans="1:7" x14ac:dyDescent="0.3">
      <c r="A1574" s="172" t="s">
        <v>3955</v>
      </c>
      <c r="B1574" s="115" t="s">
        <v>3956</v>
      </c>
      <c r="C1574" s="116">
        <v>7000</v>
      </c>
      <c r="E1574" s="154"/>
      <c r="F1574" s="154"/>
      <c r="G1574" s="154"/>
    </row>
    <row r="1575" spans="1:7" x14ac:dyDescent="0.3">
      <c r="A1575" s="172" t="s">
        <v>3957</v>
      </c>
      <c r="B1575" s="115" t="s">
        <v>3958</v>
      </c>
      <c r="C1575" s="116">
        <v>56542.3</v>
      </c>
      <c r="E1575" s="154"/>
      <c r="F1575" s="154"/>
      <c r="G1575" s="154"/>
    </row>
    <row r="1576" spans="1:7" x14ac:dyDescent="0.3">
      <c r="A1576" s="172" t="s">
        <v>3959</v>
      </c>
      <c r="B1576" s="115" t="s">
        <v>3960</v>
      </c>
      <c r="C1576" s="116">
        <v>94256.78</v>
      </c>
      <c r="E1576" s="154"/>
      <c r="F1576" s="154"/>
      <c r="G1576" s="154"/>
    </row>
    <row r="1577" spans="1:7" x14ac:dyDescent="0.3">
      <c r="A1577" s="172" t="s">
        <v>3961</v>
      </c>
      <c r="B1577" s="115" t="s">
        <v>3962</v>
      </c>
      <c r="C1577" s="116">
        <v>55569.3</v>
      </c>
      <c r="E1577" s="154"/>
      <c r="F1577" s="154"/>
      <c r="G1577" s="154"/>
    </row>
    <row r="1578" spans="1:7" x14ac:dyDescent="0.3">
      <c r="A1578" s="172" t="s">
        <v>3963</v>
      </c>
      <c r="B1578" s="115" t="s">
        <v>3964</v>
      </c>
      <c r="C1578" s="116">
        <v>0</v>
      </c>
      <c r="E1578" s="154"/>
      <c r="F1578" s="154"/>
      <c r="G1578" s="154"/>
    </row>
    <row r="1579" spans="1:7" x14ac:dyDescent="0.3">
      <c r="A1579" s="172" t="s">
        <v>3965</v>
      </c>
      <c r="B1579" s="115" t="s">
        <v>3966</v>
      </c>
      <c r="C1579" s="116">
        <v>356490</v>
      </c>
      <c r="E1579" s="154"/>
      <c r="F1579" s="154"/>
      <c r="G1579" s="154"/>
    </row>
    <row r="1580" spans="1:7" x14ac:dyDescent="0.3">
      <c r="A1580" s="172" t="s">
        <v>3967</v>
      </c>
      <c r="B1580" s="115" t="s">
        <v>3968</v>
      </c>
      <c r="C1580" s="116">
        <v>111138.55</v>
      </c>
      <c r="E1580" s="154"/>
      <c r="F1580" s="154"/>
      <c r="G1580" s="154"/>
    </row>
    <row r="1581" spans="1:7" x14ac:dyDescent="0.3">
      <c r="A1581" s="172" t="s">
        <v>3969</v>
      </c>
      <c r="B1581" s="115" t="s">
        <v>3970</v>
      </c>
      <c r="C1581" s="116">
        <v>294082.2</v>
      </c>
      <c r="E1581" s="154"/>
      <c r="F1581" s="154"/>
      <c r="G1581" s="154"/>
    </row>
    <row r="1582" spans="1:7" x14ac:dyDescent="0.3">
      <c r="A1582" s="172" t="s">
        <v>3971</v>
      </c>
      <c r="B1582" s="115" t="s">
        <v>3972</v>
      </c>
      <c r="C1582" s="116">
        <v>4168078.91</v>
      </c>
      <c r="E1582" s="154"/>
      <c r="F1582" s="154"/>
      <c r="G1582" s="154"/>
    </row>
    <row r="1583" spans="1:7" x14ac:dyDescent="0.3">
      <c r="A1583" s="172" t="s">
        <v>3973</v>
      </c>
      <c r="B1583" s="115" t="s">
        <v>3974</v>
      </c>
      <c r="C1583" s="116">
        <v>178939.28</v>
      </c>
      <c r="E1583" s="154"/>
      <c r="F1583" s="154"/>
      <c r="G1583" s="154"/>
    </row>
    <row r="1584" spans="1:7" x14ac:dyDescent="0.3">
      <c r="A1584" s="172" t="s">
        <v>3975</v>
      </c>
      <c r="B1584" s="115" t="s">
        <v>3976</v>
      </c>
      <c r="C1584" s="116">
        <v>123487.3</v>
      </c>
      <c r="E1584" s="154"/>
      <c r="F1584" s="154"/>
      <c r="G1584" s="154"/>
    </row>
    <row r="1585" spans="1:7" x14ac:dyDescent="0.3">
      <c r="A1585" s="172" t="s">
        <v>3977</v>
      </c>
      <c r="B1585" s="115" t="s">
        <v>3978</v>
      </c>
      <c r="C1585" s="116">
        <v>77507.460000000006</v>
      </c>
      <c r="E1585" s="154"/>
      <c r="F1585" s="154"/>
      <c r="G1585" s="154"/>
    </row>
    <row r="1586" spans="1:7" x14ac:dyDescent="0.3">
      <c r="A1586" s="172" t="s">
        <v>998</v>
      </c>
      <c r="B1586" s="115" t="s">
        <v>999</v>
      </c>
      <c r="C1586" s="116">
        <v>-12879.59</v>
      </c>
      <c r="E1586" s="154"/>
      <c r="F1586" s="154"/>
      <c r="G1586" s="154"/>
    </row>
    <row r="1587" spans="1:7" x14ac:dyDescent="0.3">
      <c r="A1587" s="172" t="s">
        <v>3979</v>
      </c>
      <c r="B1587" s="115" t="s">
        <v>3980</v>
      </c>
      <c r="C1587" s="116">
        <v>154470.38</v>
      </c>
      <c r="E1587" s="154"/>
      <c r="F1587" s="154"/>
      <c r="G1587" s="154"/>
    </row>
    <row r="1588" spans="1:7" x14ac:dyDescent="0.3">
      <c r="A1588" s="172" t="s">
        <v>3981</v>
      </c>
      <c r="B1588" s="115" t="s">
        <v>3982</v>
      </c>
      <c r="C1588" s="116">
        <v>55000</v>
      </c>
      <c r="E1588" s="154"/>
      <c r="F1588" s="154"/>
      <c r="G1588" s="154"/>
    </row>
    <row r="1589" spans="1:7" x14ac:dyDescent="0.3">
      <c r="A1589" s="172" t="s">
        <v>3983</v>
      </c>
      <c r="B1589" s="115" t="s">
        <v>3984</v>
      </c>
      <c r="C1589" s="116">
        <v>0</v>
      </c>
      <c r="E1589" s="154"/>
      <c r="F1589" s="154"/>
      <c r="G1589" s="154"/>
    </row>
    <row r="1590" spans="1:7" x14ac:dyDescent="0.3">
      <c r="A1590" s="172" t="s">
        <v>3985</v>
      </c>
      <c r="B1590" s="115" t="s">
        <v>3986</v>
      </c>
      <c r="C1590" s="116">
        <v>0</v>
      </c>
      <c r="E1590" s="154"/>
      <c r="F1590" s="154"/>
      <c r="G1590" s="154"/>
    </row>
    <row r="1591" spans="1:7" x14ac:dyDescent="0.3">
      <c r="A1591" s="172" t="s">
        <v>3987</v>
      </c>
      <c r="B1591" s="115" t="s">
        <v>3988</v>
      </c>
      <c r="C1591" s="116">
        <v>0</v>
      </c>
      <c r="E1591" s="154"/>
      <c r="F1591" s="154"/>
      <c r="G1591" s="154"/>
    </row>
    <row r="1592" spans="1:7" x14ac:dyDescent="0.3">
      <c r="A1592" s="172" t="s">
        <v>3989</v>
      </c>
      <c r="B1592" s="115" t="s">
        <v>3990</v>
      </c>
      <c r="C1592" s="116">
        <v>0</v>
      </c>
      <c r="E1592" s="154"/>
      <c r="F1592" s="154"/>
      <c r="G1592" s="154"/>
    </row>
    <row r="1593" spans="1:7" x14ac:dyDescent="0.3">
      <c r="A1593" s="172" t="s">
        <v>3991</v>
      </c>
      <c r="B1593" s="115" t="s">
        <v>3992</v>
      </c>
      <c r="C1593" s="116">
        <v>0</v>
      </c>
      <c r="E1593" s="154"/>
      <c r="F1593" s="154"/>
      <c r="G1593" s="154"/>
    </row>
    <row r="1594" spans="1:7" x14ac:dyDescent="0.3">
      <c r="A1594" s="172" t="s">
        <v>984</v>
      </c>
      <c r="B1594" s="115" t="s">
        <v>985</v>
      </c>
      <c r="C1594" s="116">
        <v>0</v>
      </c>
      <c r="E1594" s="154"/>
      <c r="F1594" s="154"/>
      <c r="G1594" s="154"/>
    </row>
    <row r="1595" spans="1:7" x14ac:dyDescent="0.3">
      <c r="A1595" s="172" t="s">
        <v>3993</v>
      </c>
      <c r="B1595" s="115" t="s">
        <v>3994</v>
      </c>
      <c r="C1595" s="116">
        <v>0</v>
      </c>
      <c r="E1595" s="154"/>
      <c r="F1595" s="154"/>
      <c r="G1595" s="154"/>
    </row>
    <row r="1596" spans="1:7" x14ac:dyDescent="0.3">
      <c r="A1596" s="172" t="s">
        <v>3995</v>
      </c>
      <c r="B1596" s="115" t="s">
        <v>3996</v>
      </c>
      <c r="C1596" s="116">
        <v>0.27</v>
      </c>
      <c r="E1596" s="154"/>
      <c r="F1596" s="154"/>
      <c r="G1596" s="154"/>
    </row>
    <row r="1597" spans="1:7" x14ac:dyDescent="0.3">
      <c r="A1597" s="172" t="s">
        <v>3997</v>
      </c>
      <c r="B1597" s="115" t="s">
        <v>3998</v>
      </c>
      <c r="C1597" s="116">
        <v>0</v>
      </c>
      <c r="E1597" s="154"/>
      <c r="F1597" s="154"/>
      <c r="G1597" s="154"/>
    </row>
    <row r="1598" spans="1:7" x14ac:dyDescent="0.3">
      <c r="A1598" s="172" t="s">
        <v>3999</v>
      </c>
      <c r="B1598" s="115" t="s">
        <v>4000</v>
      </c>
      <c r="C1598" s="116">
        <v>0</v>
      </c>
      <c r="E1598" s="154"/>
      <c r="F1598" s="154"/>
      <c r="G1598" s="154"/>
    </row>
    <row r="1599" spans="1:7" x14ac:dyDescent="0.3">
      <c r="A1599" s="172" t="s">
        <v>4001</v>
      </c>
      <c r="B1599" s="115" t="s">
        <v>4002</v>
      </c>
      <c r="C1599" s="116">
        <v>0</v>
      </c>
      <c r="E1599" s="154"/>
      <c r="F1599" s="154"/>
      <c r="G1599" s="154"/>
    </row>
    <row r="1600" spans="1:7" x14ac:dyDescent="0.3">
      <c r="A1600" s="172" t="s">
        <v>4003</v>
      </c>
      <c r="B1600" s="115" t="s">
        <v>4004</v>
      </c>
      <c r="C1600" s="116">
        <v>0</v>
      </c>
      <c r="E1600" s="154"/>
      <c r="F1600" s="154"/>
      <c r="G1600" s="154"/>
    </row>
    <row r="1601" spans="1:7" x14ac:dyDescent="0.3">
      <c r="A1601" s="172" t="s">
        <v>4005</v>
      </c>
      <c r="B1601" s="115" t="s">
        <v>4006</v>
      </c>
      <c r="C1601" s="116">
        <v>0</v>
      </c>
      <c r="E1601" s="154"/>
      <c r="F1601" s="154"/>
      <c r="G1601" s="154"/>
    </row>
    <row r="1602" spans="1:7" x14ac:dyDescent="0.3">
      <c r="A1602" s="172" t="s">
        <v>4007</v>
      </c>
      <c r="B1602" s="115" t="s">
        <v>4008</v>
      </c>
      <c r="C1602" s="116">
        <v>0</v>
      </c>
      <c r="E1602" s="154"/>
      <c r="F1602" s="154"/>
      <c r="G1602" s="154"/>
    </row>
    <row r="1603" spans="1:7" x14ac:dyDescent="0.3">
      <c r="A1603" s="172" t="s">
        <v>4009</v>
      </c>
      <c r="B1603" s="115" t="s">
        <v>4010</v>
      </c>
      <c r="C1603" s="116">
        <v>0</v>
      </c>
      <c r="E1603" s="154"/>
      <c r="F1603" s="154"/>
      <c r="G1603" s="154"/>
    </row>
    <row r="1604" spans="1:7" x14ac:dyDescent="0.3">
      <c r="A1604" s="172" t="s">
        <v>4011</v>
      </c>
      <c r="B1604" s="115" t="s">
        <v>4012</v>
      </c>
      <c r="C1604" s="116">
        <v>0</v>
      </c>
      <c r="E1604" s="154"/>
      <c r="F1604" s="154"/>
      <c r="G1604" s="154"/>
    </row>
    <row r="1605" spans="1:7" x14ac:dyDescent="0.3">
      <c r="A1605" s="172" t="s">
        <v>4013</v>
      </c>
      <c r="B1605" s="115" t="s">
        <v>4014</v>
      </c>
      <c r="C1605" s="116">
        <v>0</v>
      </c>
      <c r="E1605" s="154"/>
      <c r="F1605" s="154"/>
      <c r="G1605" s="154"/>
    </row>
    <row r="1606" spans="1:7" x14ac:dyDescent="0.3">
      <c r="A1606" s="172" t="s">
        <v>4015</v>
      </c>
      <c r="B1606" s="115" t="s">
        <v>4016</v>
      </c>
      <c r="C1606" s="116">
        <v>0</v>
      </c>
      <c r="E1606" s="154"/>
      <c r="F1606" s="154"/>
      <c r="G1606" s="154"/>
    </row>
    <row r="1607" spans="1:7" x14ac:dyDescent="0.3">
      <c r="A1607" s="172" t="s">
        <v>554</v>
      </c>
      <c r="B1607" s="115" t="s">
        <v>555</v>
      </c>
      <c r="C1607" s="116">
        <v>0</v>
      </c>
      <c r="E1607" s="154"/>
      <c r="F1607" s="154"/>
      <c r="G1607" s="154"/>
    </row>
    <row r="1608" spans="1:7" x14ac:dyDescent="0.3">
      <c r="A1608" s="172" t="s">
        <v>4017</v>
      </c>
      <c r="B1608" s="115" t="s">
        <v>4018</v>
      </c>
      <c r="C1608" s="116">
        <v>0</v>
      </c>
      <c r="E1608" s="154"/>
      <c r="F1608" s="154"/>
      <c r="G1608" s="154"/>
    </row>
    <row r="1609" spans="1:7" x14ac:dyDescent="0.3">
      <c r="A1609" s="172" t="s">
        <v>4019</v>
      </c>
      <c r="B1609" s="115" t="s">
        <v>4020</v>
      </c>
      <c r="C1609" s="116">
        <v>0</v>
      </c>
      <c r="E1609" s="154"/>
      <c r="F1609" s="154"/>
      <c r="G1609" s="154"/>
    </row>
    <row r="1610" spans="1:7" x14ac:dyDescent="0.3">
      <c r="A1610" s="173" t="s">
        <v>4021</v>
      </c>
      <c r="B1610" s="20" t="s">
        <v>4022</v>
      </c>
      <c r="C1610" s="116">
        <v>0</v>
      </c>
      <c r="E1610" s="154"/>
      <c r="F1610" s="154"/>
      <c r="G1610" s="154"/>
    </row>
    <row r="1611" spans="1:7" x14ac:dyDescent="0.3">
      <c r="A1611" s="172" t="s">
        <v>745</v>
      </c>
      <c r="B1611" s="115" t="s">
        <v>746</v>
      </c>
      <c r="C1611" s="116">
        <v>70000</v>
      </c>
      <c r="E1611" s="154"/>
      <c r="F1611" s="154"/>
      <c r="G1611" s="154"/>
    </row>
    <row r="1612" spans="1:7" x14ac:dyDescent="0.3">
      <c r="A1612" s="172" t="s">
        <v>4023</v>
      </c>
      <c r="B1612" s="115" t="s">
        <v>4024</v>
      </c>
      <c r="C1612" s="116">
        <v>0</v>
      </c>
      <c r="E1612" s="154"/>
      <c r="F1612" s="154"/>
      <c r="G1612" s="154"/>
    </row>
    <row r="1613" spans="1:7" x14ac:dyDescent="0.3">
      <c r="A1613" s="172" t="s">
        <v>4025</v>
      </c>
      <c r="B1613" s="115" t="s">
        <v>4026</v>
      </c>
      <c r="C1613" s="116">
        <v>0</v>
      </c>
      <c r="E1613" s="154"/>
      <c r="F1613" s="154"/>
      <c r="G1613" s="154"/>
    </row>
    <row r="1614" spans="1:7" x14ac:dyDescent="0.3">
      <c r="A1614" s="172" t="s">
        <v>4027</v>
      </c>
      <c r="B1614" s="115" t="s">
        <v>4028</v>
      </c>
      <c r="C1614" s="116">
        <v>0</v>
      </c>
      <c r="E1614" s="154"/>
      <c r="F1614" s="154"/>
      <c r="G1614" s="154"/>
    </row>
    <row r="1615" spans="1:7" x14ac:dyDescent="0.3">
      <c r="A1615" s="172" t="s">
        <v>4029</v>
      </c>
      <c r="B1615" s="115" t="s">
        <v>4030</v>
      </c>
      <c r="C1615" s="116">
        <v>0</v>
      </c>
      <c r="E1615" s="154"/>
      <c r="F1615" s="154"/>
      <c r="G1615" s="154"/>
    </row>
    <row r="1616" spans="1:7" x14ac:dyDescent="0.3">
      <c r="A1616" s="172" t="s">
        <v>4031</v>
      </c>
      <c r="B1616" s="115" t="s">
        <v>4032</v>
      </c>
      <c r="C1616" s="116">
        <v>0</v>
      </c>
      <c r="E1616" s="154"/>
      <c r="F1616" s="154"/>
      <c r="G1616" s="154"/>
    </row>
    <row r="1617" spans="1:7" x14ac:dyDescent="0.3">
      <c r="A1617" s="172" t="s">
        <v>4033</v>
      </c>
      <c r="B1617" s="115" t="s">
        <v>4034</v>
      </c>
      <c r="C1617" s="116">
        <v>0</v>
      </c>
      <c r="E1617" s="154"/>
      <c r="F1617" s="154"/>
      <c r="G1617" s="154"/>
    </row>
    <row r="1618" spans="1:7" x14ac:dyDescent="0.3">
      <c r="A1618" s="172" t="s">
        <v>556</v>
      </c>
      <c r="B1618" s="115" t="s">
        <v>557</v>
      </c>
      <c r="C1618" s="116">
        <v>0</v>
      </c>
      <c r="E1618" s="154"/>
      <c r="F1618" s="154"/>
      <c r="G1618" s="154"/>
    </row>
    <row r="1619" spans="1:7" x14ac:dyDescent="0.3">
      <c r="A1619" s="172" t="s">
        <v>4035</v>
      </c>
      <c r="B1619" s="115" t="s">
        <v>4036</v>
      </c>
      <c r="C1619" s="116">
        <v>0</v>
      </c>
      <c r="E1619" s="154"/>
      <c r="F1619" s="154"/>
      <c r="G1619" s="154"/>
    </row>
    <row r="1620" spans="1:7" x14ac:dyDescent="0.3">
      <c r="A1620" s="172" t="s">
        <v>4037</v>
      </c>
      <c r="B1620" s="115" t="s">
        <v>4038</v>
      </c>
      <c r="C1620" s="116">
        <v>0</v>
      </c>
      <c r="E1620" s="154"/>
      <c r="F1620" s="154"/>
      <c r="G1620" s="154"/>
    </row>
    <row r="1621" spans="1:7" x14ac:dyDescent="0.3">
      <c r="A1621" s="172" t="s">
        <v>4039</v>
      </c>
      <c r="B1621" s="115" t="s">
        <v>4040</v>
      </c>
      <c r="C1621" s="116">
        <v>0</v>
      </c>
      <c r="E1621" s="154"/>
      <c r="F1621" s="154"/>
      <c r="G1621" s="154"/>
    </row>
    <row r="1622" spans="1:7" x14ac:dyDescent="0.3">
      <c r="A1622" s="172" t="s">
        <v>4041</v>
      </c>
      <c r="B1622" s="115" t="s">
        <v>4042</v>
      </c>
      <c r="C1622" s="116">
        <v>0</v>
      </c>
      <c r="E1622" s="154"/>
      <c r="F1622" s="154"/>
      <c r="G1622" s="154"/>
    </row>
    <row r="1623" spans="1:7" x14ac:dyDescent="0.3">
      <c r="A1623" s="172" t="s">
        <v>4043</v>
      </c>
      <c r="B1623" s="115" t="s">
        <v>4044</v>
      </c>
      <c r="C1623" s="116">
        <v>0</v>
      </c>
      <c r="E1623" s="154"/>
      <c r="F1623" s="154"/>
      <c r="G1623" s="154"/>
    </row>
    <row r="1624" spans="1:7" x14ac:dyDescent="0.3">
      <c r="A1624" s="172" t="s">
        <v>4045</v>
      </c>
      <c r="B1624" s="115" t="s">
        <v>4046</v>
      </c>
      <c r="C1624" s="116">
        <v>0</v>
      </c>
      <c r="E1624" s="154"/>
      <c r="F1624" s="154"/>
      <c r="G1624" s="154"/>
    </row>
    <row r="1625" spans="1:7" x14ac:dyDescent="0.3">
      <c r="A1625" s="172" t="s">
        <v>4047</v>
      </c>
      <c r="B1625" s="115" t="s">
        <v>4048</v>
      </c>
      <c r="C1625" s="116">
        <v>0</v>
      </c>
      <c r="E1625" s="154"/>
      <c r="F1625" s="154"/>
      <c r="G1625" s="154"/>
    </row>
    <row r="1626" spans="1:7" x14ac:dyDescent="0.3">
      <c r="A1626" s="172" t="s">
        <v>4049</v>
      </c>
      <c r="B1626" s="115" t="s">
        <v>4050</v>
      </c>
      <c r="C1626" s="116">
        <v>0</v>
      </c>
      <c r="E1626" s="154"/>
      <c r="F1626" s="154"/>
      <c r="G1626" s="154"/>
    </row>
    <row r="1627" spans="1:7" x14ac:dyDescent="0.3">
      <c r="A1627" s="172" t="s">
        <v>4051</v>
      </c>
      <c r="B1627" s="115" t="s">
        <v>4052</v>
      </c>
      <c r="C1627" s="116">
        <v>0</v>
      </c>
      <c r="E1627" s="154"/>
      <c r="F1627" s="154"/>
      <c r="G1627" s="154"/>
    </row>
    <row r="1628" spans="1:7" x14ac:dyDescent="0.3">
      <c r="A1628" s="172" t="s">
        <v>4053</v>
      </c>
      <c r="B1628" s="115" t="s">
        <v>4054</v>
      </c>
      <c r="C1628" s="116">
        <v>0</v>
      </c>
      <c r="E1628" s="154"/>
      <c r="F1628" s="154"/>
      <c r="G1628" s="154"/>
    </row>
    <row r="1629" spans="1:7" x14ac:dyDescent="0.3">
      <c r="A1629" s="172" t="s">
        <v>4055</v>
      </c>
      <c r="B1629" s="115" t="s">
        <v>4056</v>
      </c>
      <c r="C1629" s="116">
        <v>0.01</v>
      </c>
      <c r="E1629" s="154"/>
      <c r="F1629" s="154"/>
      <c r="G1629" s="154"/>
    </row>
    <row r="1630" spans="1:7" x14ac:dyDescent="0.3">
      <c r="A1630" s="172" t="s">
        <v>4057</v>
      </c>
      <c r="B1630" s="115" t="s">
        <v>4058</v>
      </c>
      <c r="C1630" s="116">
        <v>5920849.9000000004</v>
      </c>
      <c r="E1630" s="154"/>
      <c r="F1630" s="154"/>
      <c r="G1630" s="154"/>
    </row>
    <row r="1631" spans="1:7" x14ac:dyDescent="0.3">
      <c r="A1631" s="172" t="s">
        <v>4059</v>
      </c>
      <c r="B1631" s="115" t="s">
        <v>4060</v>
      </c>
      <c r="C1631" s="116">
        <v>0</v>
      </c>
      <c r="E1631" s="154"/>
      <c r="F1631" s="154"/>
      <c r="G1631" s="154"/>
    </row>
    <row r="1632" spans="1:7" x14ac:dyDescent="0.3">
      <c r="A1632" s="172" t="s">
        <v>4061</v>
      </c>
      <c r="B1632" s="115" t="s">
        <v>4062</v>
      </c>
      <c r="C1632" s="116">
        <v>1259064874.2</v>
      </c>
      <c r="E1632" s="154"/>
      <c r="F1632" s="154"/>
      <c r="G1632" s="154"/>
    </row>
    <row r="1633" spans="1:7" x14ac:dyDescent="0.3">
      <c r="A1633" s="172" t="s">
        <v>4063</v>
      </c>
      <c r="B1633" s="115" t="s">
        <v>4064</v>
      </c>
      <c r="C1633" s="116">
        <v>-1379336.74</v>
      </c>
      <c r="E1633" s="154"/>
      <c r="F1633" s="154"/>
      <c r="G1633" s="154"/>
    </row>
    <row r="1634" spans="1:7" x14ac:dyDescent="0.3">
      <c r="A1634" s="172" t="s">
        <v>4065</v>
      </c>
      <c r="B1634" s="115" t="s">
        <v>4066</v>
      </c>
      <c r="C1634" s="116">
        <v>596744</v>
      </c>
      <c r="E1634" s="154"/>
      <c r="F1634" s="154"/>
      <c r="G1634" s="154"/>
    </row>
    <row r="1635" spans="1:7" x14ac:dyDescent="0.3">
      <c r="A1635" s="172" t="s">
        <v>4067</v>
      </c>
      <c r="B1635" s="115" t="s">
        <v>4068</v>
      </c>
      <c r="C1635" s="116">
        <v>49000.07</v>
      </c>
      <c r="E1635" s="154"/>
      <c r="F1635" s="154"/>
      <c r="G1635" s="154"/>
    </row>
    <row r="1636" spans="1:7" x14ac:dyDescent="0.3">
      <c r="A1636" s="172" t="s">
        <v>4069</v>
      </c>
      <c r="B1636" s="115" t="s">
        <v>4070</v>
      </c>
      <c r="C1636" s="116">
        <v>18295222.879999999</v>
      </c>
      <c r="E1636" s="154"/>
      <c r="F1636" s="154"/>
      <c r="G1636" s="154"/>
    </row>
    <row r="1637" spans="1:7" x14ac:dyDescent="0.3">
      <c r="A1637" s="172" t="s">
        <v>897</v>
      </c>
      <c r="B1637" s="115" t="s">
        <v>898</v>
      </c>
      <c r="C1637" s="116">
        <v>-175000</v>
      </c>
      <c r="E1637" s="154"/>
      <c r="F1637" s="154"/>
      <c r="G1637" s="154"/>
    </row>
    <row r="1638" spans="1:7" x14ac:dyDescent="0.3">
      <c r="A1638" s="172" t="s">
        <v>4071</v>
      </c>
      <c r="B1638" s="115" t="s">
        <v>4072</v>
      </c>
      <c r="C1638" s="116">
        <v>242431</v>
      </c>
      <c r="E1638" s="154"/>
      <c r="F1638" s="154"/>
      <c r="G1638" s="154"/>
    </row>
    <row r="1639" spans="1:7" x14ac:dyDescent="0.3">
      <c r="A1639" s="172" t="s">
        <v>4073</v>
      </c>
      <c r="B1639" s="115" t="s">
        <v>4074</v>
      </c>
      <c r="C1639" s="116">
        <v>52748.43</v>
      </c>
      <c r="E1639" s="154"/>
      <c r="F1639" s="154"/>
      <c r="G1639" s="154"/>
    </row>
    <row r="1640" spans="1:7" x14ac:dyDescent="0.3">
      <c r="A1640" s="172" t="s">
        <v>4075</v>
      </c>
      <c r="B1640" s="115" t="s">
        <v>4076</v>
      </c>
      <c r="C1640" s="116">
        <v>114882</v>
      </c>
      <c r="E1640" s="154"/>
      <c r="F1640" s="154"/>
      <c r="G1640" s="154"/>
    </row>
    <row r="1641" spans="1:7" x14ac:dyDescent="0.3">
      <c r="A1641" s="172" t="s">
        <v>4077</v>
      </c>
      <c r="B1641" s="115" t="s">
        <v>4078</v>
      </c>
      <c r="C1641" s="116">
        <v>0</v>
      </c>
      <c r="E1641" s="154"/>
      <c r="F1641" s="154"/>
      <c r="G1641" s="154"/>
    </row>
    <row r="1642" spans="1:7" x14ac:dyDescent="0.3">
      <c r="A1642" s="172" t="s">
        <v>4079</v>
      </c>
      <c r="B1642" s="115" t="s">
        <v>4080</v>
      </c>
      <c r="C1642" s="116">
        <v>74193666.560000002</v>
      </c>
      <c r="E1642" s="154"/>
      <c r="F1642" s="154"/>
      <c r="G1642" s="154"/>
    </row>
    <row r="1643" spans="1:7" x14ac:dyDescent="0.3">
      <c r="A1643" s="172" t="s">
        <v>4081</v>
      </c>
      <c r="B1643" s="115" t="s">
        <v>4082</v>
      </c>
      <c r="C1643" s="116">
        <v>3862128</v>
      </c>
      <c r="E1643" s="154"/>
      <c r="F1643" s="154"/>
      <c r="G1643" s="154"/>
    </row>
    <row r="1644" spans="1:7" x14ac:dyDescent="0.3">
      <c r="A1644" s="172" t="s">
        <v>4083</v>
      </c>
      <c r="B1644" s="115" t="s">
        <v>4084</v>
      </c>
      <c r="C1644" s="116">
        <v>176484</v>
      </c>
      <c r="E1644" s="154"/>
      <c r="F1644" s="154"/>
      <c r="G1644" s="154"/>
    </row>
    <row r="1645" spans="1:7" x14ac:dyDescent="0.3">
      <c r="A1645" s="172" t="s">
        <v>4085</v>
      </c>
      <c r="B1645" s="115" t="s">
        <v>4086</v>
      </c>
      <c r="C1645" s="116">
        <v>498338.35</v>
      </c>
      <c r="E1645" s="154"/>
      <c r="F1645" s="154"/>
      <c r="G1645" s="154"/>
    </row>
    <row r="1646" spans="1:7" x14ac:dyDescent="0.3">
      <c r="A1646" s="172" t="s">
        <v>4087</v>
      </c>
      <c r="B1646" s="115" t="s">
        <v>4088</v>
      </c>
      <c r="C1646" s="116">
        <v>731387.35</v>
      </c>
      <c r="E1646" s="154"/>
      <c r="F1646" s="154"/>
      <c r="G1646" s="154"/>
    </row>
    <row r="1647" spans="1:7" x14ac:dyDescent="0.3">
      <c r="A1647" s="172" t="s">
        <v>4089</v>
      </c>
      <c r="B1647" s="115" t="s">
        <v>4090</v>
      </c>
      <c r="C1647" s="116">
        <v>0</v>
      </c>
      <c r="E1647" s="154"/>
      <c r="F1647" s="154"/>
      <c r="G1647" s="154"/>
    </row>
    <row r="1648" spans="1:7" x14ac:dyDescent="0.3">
      <c r="A1648" s="172" t="s">
        <v>4091</v>
      </c>
      <c r="B1648" s="115" t="s">
        <v>4092</v>
      </c>
      <c r="C1648" s="116">
        <v>-898069500</v>
      </c>
      <c r="E1648" s="154"/>
      <c r="F1648" s="154"/>
      <c r="G1648" s="154"/>
    </row>
    <row r="1649" spans="1:7" x14ac:dyDescent="0.3">
      <c r="A1649" s="172" t="s">
        <v>4093</v>
      </c>
      <c r="B1649" s="115" t="s">
        <v>4094</v>
      </c>
      <c r="C1649" s="116">
        <v>601845</v>
      </c>
      <c r="E1649" s="154"/>
      <c r="F1649" s="154"/>
      <c r="G1649" s="154"/>
    </row>
    <row r="1650" spans="1:7" x14ac:dyDescent="0.3">
      <c r="A1650" s="172" t="s">
        <v>4095</v>
      </c>
      <c r="B1650" s="115" t="s">
        <v>4096</v>
      </c>
      <c r="C1650" s="116">
        <v>32175</v>
      </c>
      <c r="E1650" s="154"/>
      <c r="F1650" s="154"/>
      <c r="G1650" s="154"/>
    </row>
    <row r="1651" spans="1:7" x14ac:dyDescent="0.3">
      <c r="A1651" s="172" t="s">
        <v>4097</v>
      </c>
      <c r="B1651" s="115" t="s">
        <v>4098</v>
      </c>
      <c r="C1651" s="116">
        <v>75491.25</v>
      </c>
      <c r="E1651" s="154"/>
      <c r="F1651" s="154"/>
      <c r="G1651" s="154"/>
    </row>
    <row r="1652" spans="1:7" x14ac:dyDescent="0.3">
      <c r="A1652" s="172" t="s">
        <v>4099</v>
      </c>
      <c r="B1652" s="115" t="s">
        <v>4100</v>
      </c>
      <c r="C1652" s="116">
        <v>249464.5</v>
      </c>
      <c r="E1652" s="154"/>
      <c r="F1652" s="154"/>
      <c r="G1652" s="154"/>
    </row>
    <row r="1653" spans="1:7" x14ac:dyDescent="0.3">
      <c r="A1653" s="172" t="s">
        <v>4101</v>
      </c>
      <c r="B1653" s="115" t="s">
        <v>4102</v>
      </c>
      <c r="C1653" s="116">
        <v>22217.87</v>
      </c>
      <c r="E1653" s="154"/>
      <c r="F1653" s="154"/>
      <c r="G1653" s="154"/>
    </row>
    <row r="1654" spans="1:7" x14ac:dyDescent="0.3">
      <c r="A1654" s="172" t="s">
        <v>4103</v>
      </c>
      <c r="B1654" s="115" t="s">
        <v>4104</v>
      </c>
      <c r="C1654" s="116">
        <v>109521.25</v>
      </c>
      <c r="E1654" s="154"/>
      <c r="F1654" s="154"/>
      <c r="G1654" s="154"/>
    </row>
    <row r="1655" spans="1:7" x14ac:dyDescent="0.3">
      <c r="A1655" s="172" t="s">
        <v>4105</v>
      </c>
      <c r="B1655" s="115" t="s">
        <v>4106</v>
      </c>
      <c r="C1655" s="116">
        <v>156080.65</v>
      </c>
      <c r="E1655" s="154"/>
      <c r="F1655" s="154"/>
      <c r="G1655" s="154"/>
    </row>
    <row r="1656" spans="1:7" x14ac:dyDescent="0.3">
      <c r="A1656" s="172" t="s">
        <v>4107</v>
      </c>
      <c r="B1656" s="115" t="s">
        <v>4108</v>
      </c>
      <c r="C1656" s="116">
        <v>379399</v>
      </c>
      <c r="E1656" s="154"/>
      <c r="F1656" s="154"/>
      <c r="G1656" s="154"/>
    </row>
    <row r="1657" spans="1:7" x14ac:dyDescent="0.3">
      <c r="A1657" s="172" t="s">
        <v>4109</v>
      </c>
      <c r="B1657" s="115" t="s">
        <v>4110</v>
      </c>
      <c r="C1657" s="116">
        <v>11760.67</v>
      </c>
      <c r="E1657" s="154"/>
      <c r="F1657" s="154"/>
      <c r="G1657" s="154"/>
    </row>
    <row r="1658" spans="1:7" x14ac:dyDescent="0.3">
      <c r="A1658" s="172" t="s">
        <v>4111</v>
      </c>
      <c r="B1658" s="115" t="s">
        <v>4112</v>
      </c>
      <c r="C1658" s="116">
        <v>113337.78</v>
      </c>
      <c r="E1658" s="154"/>
      <c r="F1658" s="154"/>
      <c r="G1658" s="154"/>
    </row>
    <row r="1659" spans="1:7" x14ac:dyDescent="0.3">
      <c r="A1659" s="172" t="s">
        <v>4113</v>
      </c>
      <c r="B1659" s="115" t="s">
        <v>4114</v>
      </c>
      <c r="C1659" s="116">
        <v>165532</v>
      </c>
      <c r="E1659" s="154"/>
      <c r="F1659" s="154"/>
      <c r="G1659" s="154"/>
    </row>
    <row r="1660" spans="1:7" x14ac:dyDescent="0.3">
      <c r="A1660" s="172" t="s">
        <v>4115</v>
      </c>
      <c r="B1660" s="115" t="s">
        <v>4116</v>
      </c>
      <c r="C1660" s="116">
        <v>7535</v>
      </c>
      <c r="E1660" s="154"/>
      <c r="F1660" s="154"/>
      <c r="G1660" s="154"/>
    </row>
    <row r="1661" spans="1:7" x14ac:dyDescent="0.3">
      <c r="A1661" s="172" t="s">
        <v>4117</v>
      </c>
      <c r="B1661" s="115" t="s">
        <v>4118</v>
      </c>
      <c r="C1661" s="116">
        <v>48060</v>
      </c>
      <c r="E1661" s="154"/>
      <c r="F1661" s="154"/>
      <c r="G1661" s="154"/>
    </row>
    <row r="1662" spans="1:7" x14ac:dyDescent="0.3">
      <c r="A1662" s="172" t="s">
        <v>4119</v>
      </c>
      <c r="B1662" s="115" t="s">
        <v>4120</v>
      </c>
      <c r="C1662" s="116">
        <v>944093.1</v>
      </c>
      <c r="E1662" s="154"/>
      <c r="F1662" s="154"/>
      <c r="G1662" s="154"/>
    </row>
    <row r="1663" spans="1:7" x14ac:dyDescent="0.3">
      <c r="A1663" s="172" t="s">
        <v>4121</v>
      </c>
      <c r="B1663" s="115" t="s">
        <v>4122</v>
      </c>
      <c r="C1663" s="116">
        <v>1142380</v>
      </c>
      <c r="E1663" s="154"/>
      <c r="F1663" s="154"/>
      <c r="G1663" s="154"/>
    </row>
    <row r="1664" spans="1:7" x14ac:dyDescent="0.3">
      <c r="A1664" s="172" t="s">
        <v>4123</v>
      </c>
      <c r="B1664" s="115" t="s">
        <v>4124</v>
      </c>
      <c r="C1664" s="116">
        <v>17190</v>
      </c>
      <c r="E1664" s="154"/>
      <c r="F1664" s="154"/>
      <c r="G1664" s="154"/>
    </row>
    <row r="1665" spans="1:7" x14ac:dyDescent="0.3">
      <c r="A1665" s="172" t="s">
        <v>4125</v>
      </c>
      <c r="B1665" s="115" t="s">
        <v>4126</v>
      </c>
      <c r="C1665" s="116">
        <v>30982.1</v>
      </c>
      <c r="E1665" s="154"/>
      <c r="F1665" s="154"/>
      <c r="G1665" s="154"/>
    </row>
    <row r="1666" spans="1:7" x14ac:dyDescent="0.3">
      <c r="A1666" s="172" t="s">
        <v>1062</v>
      </c>
      <c r="B1666" s="115" t="s">
        <v>1063</v>
      </c>
      <c r="C1666" s="116">
        <v>-13743105.310000001</v>
      </c>
      <c r="E1666" s="154"/>
      <c r="F1666" s="154"/>
      <c r="G1666" s="154"/>
    </row>
    <row r="1667" spans="1:7" x14ac:dyDescent="0.3">
      <c r="A1667" s="172" t="s">
        <v>4127</v>
      </c>
      <c r="B1667" s="115" t="s">
        <v>4128</v>
      </c>
      <c r="C1667" s="116">
        <v>317785.21999999997</v>
      </c>
      <c r="E1667" s="154"/>
      <c r="F1667" s="154"/>
      <c r="G1667" s="154"/>
    </row>
    <row r="1668" spans="1:7" x14ac:dyDescent="0.3">
      <c r="A1668" s="172" t="s">
        <v>4129</v>
      </c>
      <c r="B1668" s="115" t="s">
        <v>4130</v>
      </c>
      <c r="C1668" s="116">
        <v>3700</v>
      </c>
      <c r="E1668" s="154"/>
      <c r="F1668" s="154"/>
      <c r="G1668" s="154"/>
    </row>
    <row r="1669" spans="1:7" x14ac:dyDescent="0.3">
      <c r="A1669" s="172" t="s">
        <v>4131</v>
      </c>
      <c r="B1669" s="115" t="s">
        <v>4132</v>
      </c>
      <c r="C1669" s="116">
        <v>704032628</v>
      </c>
      <c r="E1669" s="154"/>
      <c r="F1669" s="154"/>
      <c r="G1669" s="154"/>
    </row>
    <row r="1670" spans="1:7" x14ac:dyDescent="0.3">
      <c r="A1670" s="172" t="s">
        <v>4133</v>
      </c>
      <c r="B1670" s="115" t="s">
        <v>4134</v>
      </c>
      <c r="C1670" s="116">
        <v>5130</v>
      </c>
      <c r="E1670" s="154"/>
      <c r="F1670" s="154"/>
      <c r="G1670" s="154"/>
    </row>
    <row r="1671" spans="1:7" x14ac:dyDescent="0.3">
      <c r="A1671" s="172" t="s">
        <v>741</v>
      </c>
      <c r="B1671" s="115" t="s">
        <v>742</v>
      </c>
      <c r="C1671" s="116">
        <v>0</v>
      </c>
      <c r="E1671" s="154"/>
      <c r="F1671" s="154"/>
      <c r="G1671" s="154"/>
    </row>
    <row r="1672" spans="1:7" x14ac:dyDescent="0.3">
      <c r="A1672" s="172" t="s">
        <v>4135</v>
      </c>
      <c r="B1672" s="115" t="s">
        <v>4136</v>
      </c>
      <c r="C1672" s="116">
        <v>30011.79</v>
      </c>
      <c r="E1672" s="154"/>
      <c r="F1672" s="154"/>
      <c r="G1672" s="154"/>
    </row>
    <row r="1673" spans="1:7" x14ac:dyDescent="0.3">
      <c r="A1673" s="172" t="s">
        <v>4137</v>
      </c>
      <c r="B1673" s="115" t="s">
        <v>4138</v>
      </c>
      <c r="C1673" s="116">
        <v>22951.47</v>
      </c>
      <c r="E1673" s="154"/>
      <c r="F1673" s="154"/>
      <c r="G1673" s="154"/>
    </row>
    <row r="1674" spans="1:7" x14ac:dyDescent="0.3">
      <c r="A1674" s="172" t="s">
        <v>4139</v>
      </c>
      <c r="B1674" s="115" t="s">
        <v>4140</v>
      </c>
      <c r="C1674" s="116">
        <v>67588.5</v>
      </c>
      <c r="E1674" s="154"/>
      <c r="F1674" s="154"/>
      <c r="G1674" s="154"/>
    </row>
    <row r="1675" spans="1:7" x14ac:dyDescent="0.3">
      <c r="A1675" s="172" t="s">
        <v>4141</v>
      </c>
      <c r="B1675" s="115" t="s">
        <v>4142</v>
      </c>
      <c r="C1675" s="116">
        <v>106656.46</v>
      </c>
      <c r="E1675" s="154"/>
      <c r="F1675" s="154"/>
      <c r="G1675" s="154"/>
    </row>
    <row r="1676" spans="1:7" x14ac:dyDescent="0.3">
      <c r="A1676" s="172" t="s">
        <v>4143</v>
      </c>
      <c r="B1676" s="115" t="s">
        <v>4144</v>
      </c>
      <c r="C1676" s="116">
        <v>81666.289999999994</v>
      </c>
      <c r="E1676" s="154"/>
      <c r="F1676" s="154"/>
      <c r="G1676" s="154"/>
    </row>
    <row r="1677" spans="1:7" x14ac:dyDescent="0.3">
      <c r="A1677" s="172" t="s">
        <v>4145</v>
      </c>
      <c r="B1677" s="115" t="s">
        <v>2208</v>
      </c>
      <c r="C1677" s="116">
        <v>0</v>
      </c>
      <c r="E1677" s="154"/>
      <c r="F1677" s="154"/>
      <c r="G1677" s="154"/>
    </row>
    <row r="1678" spans="1:7" x14ac:dyDescent="0.3">
      <c r="A1678" s="172" t="s">
        <v>4146</v>
      </c>
      <c r="B1678" s="115" t="s">
        <v>4147</v>
      </c>
      <c r="C1678" s="116">
        <v>0</v>
      </c>
      <c r="E1678" s="154"/>
      <c r="F1678" s="154"/>
      <c r="G1678" s="154"/>
    </row>
    <row r="1679" spans="1:7" x14ac:dyDescent="0.3">
      <c r="A1679" s="172" t="s">
        <v>4148</v>
      </c>
      <c r="B1679" s="115" t="s">
        <v>4149</v>
      </c>
      <c r="C1679" s="116">
        <v>0</v>
      </c>
      <c r="E1679" s="154"/>
      <c r="F1679" s="154"/>
      <c r="G1679" s="154"/>
    </row>
    <row r="1680" spans="1:7" x14ac:dyDescent="0.3">
      <c r="A1680" s="172" t="s">
        <v>4150</v>
      </c>
      <c r="B1680" s="115" t="s">
        <v>4151</v>
      </c>
      <c r="C1680" s="116">
        <v>0</v>
      </c>
      <c r="E1680" s="154"/>
      <c r="F1680" s="154"/>
      <c r="G1680" s="154"/>
    </row>
    <row r="1681" spans="1:7" x14ac:dyDescent="0.3">
      <c r="A1681" s="172" t="s">
        <v>4152</v>
      </c>
      <c r="B1681" s="115" t="s">
        <v>4153</v>
      </c>
      <c r="C1681" s="116">
        <v>2050</v>
      </c>
      <c r="E1681" s="154"/>
      <c r="F1681" s="154"/>
      <c r="G1681" s="154"/>
    </row>
    <row r="1682" spans="1:7" x14ac:dyDescent="0.3">
      <c r="A1682" s="172" t="s">
        <v>4154</v>
      </c>
      <c r="B1682" s="115" t="s">
        <v>4155</v>
      </c>
      <c r="C1682" s="116">
        <v>0</v>
      </c>
      <c r="E1682" s="154"/>
      <c r="F1682" s="154"/>
      <c r="G1682" s="154"/>
    </row>
    <row r="1683" spans="1:7" x14ac:dyDescent="0.3">
      <c r="A1683" s="172" t="s">
        <v>4156</v>
      </c>
      <c r="B1683" s="115" t="s">
        <v>4157</v>
      </c>
      <c r="C1683" s="116">
        <v>0</v>
      </c>
      <c r="E1683" s="154"/>
      <c r="F1683" s="154"/>
      <c r="G1683" s="154"/>
    </row>
    <row r="1684" spans="1:7" x14ac:dyDescent="0.3">
      <c r="A1684" s="172" t="s">
        <v>4158</v>
      </c>
      <c r="B1684" s="115" t="s">
        <v>4159</v>
      </c>
      <c r="C1684" s="116">
        <v>111138.55</v>
      </c>
      <c r="E1684" s="154"/>
      <c r="F1684" s="154"/>
      <c r="G1684" s="154"/>
    </row>
    <row r="1685" spans="1:7" x14ac:dyDescent="0.3">
      <c r="A1685" s="172" t="s">
        <v>4160</v>
      </c>
      <c r="B1685" s="115" t="s">
        <v>4161</v>
      </c>
      <c r="C1685" s="116">
        <v>0</v>
      </c>
      <c r="E1685" s="154"/>
      <c r="F1685" s="154"/>
      <c r="G1685" s="154"/>
    </row>
    <row r="1686" spans="1:7" x14ac:dyDescent="0.3">
      <c r="A1686" s="172" t="s">
        <v>4162</v>
      </c>
      <c r="B1686" s="115" t="s">
        <v>4163</v>
      </c>
      <c r="C1686" s="116">
        <v>0</v>
      </c>
      <c r="E1686" s="154"/>
      <c r="F1686" s="154"/>
      <c r="G1686" s="154"/>
    </row>
    <row r="1687" spans="1:7" x14ac:dyDescent="0.3">
      <c r="A1687" s="172" t="s">
        <v>4164</v>
      </c>
      <c r="B1687" s="115" t="s">
        <v>4165</v>
      </c>
      <c r="C1687" s="116">
        <v>0</v>
      </c>
      <c r="E1687" s="154"/>
      <c r="F1687" s="154"/>
      <c r="G1687" s="154"/>
    </row>
    <row r="1688" spans="1:7" x14ac:dyDescent="0.3">
      <c r="A1688" s="172" t="s">
        <v>4166</v>
      </c>
      <c r="B1688" s="115" t="s">
        <v>4167</v>
      </c>
      <c r="C1688" s="116">
        <v>0</v>
      </c>
      <c r="E1688" s="154"/>
      <c r="F1688" s="154"/>
      <c r="G1688" s="154"/>
    </row>
    <row r="1689" spans="1:7" x14ac:dyDescent="0.3">
      <c r="A1689" s="172" t="s">
        <v>4168</v>
      </c>
      <c r="B1689" s="115" t="s">
        <v>4169</v>
      </c>
      <c r="C1689" s="116">
        <v>0</v>
      </c>
      <c r="E1689" s="154"/>
      <c r="F1689" s="154"/>
      <c r="G1689" s="154"/>
    </row>
    <row r="1690" spans="1:7" x14ac:dyDescent="0.3">
      <c r="A1690" s="172" t="s">
        <v>4170</v>
      </c>
      <c r="B1690" s="115" t="s">
        <v>4171</v>
      </c>
      <c r="C1690" s="116">
        <v>0</v>
      </c>
      <c r="E1690" s="154"/>
      <c r="F1690" s="154"/>
      <c r="G1690" s="154"/>
    </row>
    <row r="1691" spans="1:7" x14ac:dyDescent="0.3">
      <c r="A1691" s="172" t="s">
        <v>4172</v>
      </c>
      <c r="B1691" s="115" t="s">
        <v>4173</v>
      </c>
      <c r="C1691" s="116">
        <v>0</v>
      </c>
      <c r="E1691" s="154"/>
      <c r="F1691" s="154"/>
      <c r="G1691" s="154"/>
    </row>
    <row r="1692" spans="1:7" x14ac:dyDescent="0.3">
      <c r="A1692" s="172" t="s">
        <v>4174</v>
      </c>
      <c r="B1692" s="115" t="s">
        <v>4175</v>
      </c>
      <c r="C1692" s="116">
        <v>0</v>
      </c>
      <c r="E1692" s="154"/>
      <c r="F1692" s="154"/>
      <c r="G1692" s="154"/>
    </row>
    <row r="1693" spans="1:7" x14ac:dyDescent="0.3">
      <c r="A1693" s="172" t="s">
        <v>4176</v>
      </c>
      <c r="B1693" s="115" t="s">
        <v>4177</v>
      </c>
      <c r="C1693" s="116">
        <v>0</v>
      </c>
      <c r="E1693" s="154"/>
      <c r="F1693" s="154"/>
      <c r="G1693" s="154"/>
    </row>
    <row r="1694" spans="1:7" x14ac:dyDescent="0.3">
      <c r="A1694" s="172" t="s">
        <v>4178</v>
      </c>
      <c r="B1694" s="115" t="s">
        <v>4179</v>
      </c>
      <c r="C1694" s="116">
        <v>0</v>
      </c>
      <c r="E1694" s="154"/>
      <c r="F1694" s="154"/>
      <c r="G1694" s="154"/>
    </row>
    <row r="1695" spans="1:7" x14ac:dyDescent="0.3">
      <c r="A1695" s="172" t="s">
        <v>4180</v>
      </c>
      <c r="B1695" s="115" t="s">
        <v>4181</v>
      </c>
      <c r="C1695" s="116">
        <v>166303.01999999999</v>
      </c>
      <c r="E1695" s="154"/>
      <c r="F1695" s="154"/>
      <c r="G1695" s="154"/>
    </row>
    <row r="1696" spans="1:7" x14ac:dyDescent="0.3">
      <c r="A1696" s="172" t="s">
        <v>4182</v>
      </c>
      <c r="B1696" s="115" t="s">
        <v>4183</v>
      </c>
      <c r="C1696" s="116">
        <v>0</v>
      </c>
      <c r="E1696" s="154"/>
      <c r="F1696" s="154"/>
      <c r="G1696" s="154"/>
    </row>
    <row r="1697" spans="1:7" x14ac:dyDescent="0.3">
      <c r="A1697" s="172" t="s">
        <v>4184</v>
      </c>
      <c r="B1697" s="115" t="s">
        <v>4185</v>
      </c>
      <c r="C1697" s="116">
        <v>0</v>
      </c>
      <c r="E1697" s="154"/>
      <c r="F1697" s="154"/>
      <c r="G1697" s="154"/>
    </row>
    <row r="1698" spans="1:7" x14ac:dyDescent="0.3">
      <c r="A1698" s="172" t="s">
        <v>4186</v>
      </c>
      <c r="B1698" s="115" t="s">
        <v>4187</v>
      </c>
      <c r="C1698" s="116">
        <v>0</v>
      </c>
      <c r="E1698" s="154"/>
      <c r="F1698" s="154"/>
      <c r="G1698" s="154"/>
    </row>
    <row r="1699" spans="1:7" x14ac:dyDescent="0.3">
      <c r="A1699" s="172" t="s">
        <v>4188</v>
      </c>
      <c r="B1699" s="115" t="s">
        <v>4189</v>
      </c>
      <c r="C1699" s="116">
        <v>0</v>
      </c>
      <c r="E1699" s="154"/>
      <c r="F1699" s="154"/>
      <c r="G1699" s="154"/>
    </row>
    <row r="1700" spans="1:7" x14ac:dyDescent="0.3">
      <c r="A1700" s="172" t="s">
        <v>4190</v>
      </c>
      <c r="B1700" s="115" t="s">
        <v>4191</v>
      </c>
      <c r="C1700" s="116">
        <v>0</v>
      </c>
      <c r="E1700" s="154"/>
      <c r="F1700" s="154"/>
      <c r="G1700" s="154"/>
    </row>
    <row r="1701" spans="1:7" x14ac:dyDescent="0.3">
      <c r="A1701" s="172" t="s">
        <v>4192</v>
      </c>
      <c r="B1701" s="115" t="s">
        <v>4193</v>
      </c>
      <c r="C1701" s="116">
        <v>0</v>
      </c>
      <c r="E1701" s="154"/>
      <c r="F1701" s="154"/>
      <c r="G1701" s="154"/>
    </row>
    <row r="1702" spans="1:7" x14ac:dyDescent="0.3">
      <c r="A1702" s="172" t="s">
        <v>4194</v>
      </c>
      <c r="B1702" s="115" t="s">
        <v>4195</v>
      </c>
      <c r="C1702" s="116">
        <v>0</v>
      </c>
      <c r="E1702" s="154"/>
      <c r="F1702" s="154"/>
      <c r="G1702" s="154"/>
    </row>
    <row r="1703" spans="1:7" x14ac:dyDescent="0.3">
      <c r="A1703" s="172" t="s">
        <v>4196</v>
      </c>
      <c r="B1703" s="115" t="s">
        <v>4197</v>
      </c>
      <c r="C1703" s="116">
        <v>0</v>
      </c>
      <c r="E1703" s="154"/>
      <c r="F1703" s="154"/>
      <c r="G1703" s="154"/>
    </row>
    <row r="1704" spans="1:7" x14ac:dyDescent="0.3">
      <c r="A1704" s="172" t="s">
        <v>4198</v>
      </c>
      <c r="B1704" s="115" t="s">
        <v>4199</v>
      </c>
      <c r="C1704" s="116">
        <v>0</v>
      </c>
      <c r="E1704" s="154"/>
      <c r="F1704" s="154"/>
      <c r="G1704" s="154"/>
    </row>
    <row r="1705" spans="1:7" x14ac:dyDescent="0.3">
      <c r="A1705" s="172" t="s">
        <v>4200</v>
      </c>
      <c r="B1705" s="115" t="s">
        <v>4201</v>
      </c>
      <c r="C1705" s="116">
        <v>0</v>
      </c>
      <c r="E1705" s="154"/>
      <c r="F1705" s="154"/>
      <c r="G1705" s="154"/>
    </row>
    <row r="1706" spans="1:7" x14ac:dyDescent="0.3">
      <c r="A1706" s="172" t="s">
        <v>4202</v>
      </c>
      <c r="B1706" s="115" t="s">
        <v>4203</v>
      </c>
      <c r="C1706" s="116">
        <v>0</v>
      </c>
      <c r="E1706" s="154"/>
      <c r="F1706" s="154"/>
      <c r="G1706" s="154"/>
    </row>
    <row r="1707" spans="1:7" x14ac:dyDescent="0.3">
      <c r="A1707" s="172" t="s">
        <v>4204</v>
      </c>
      <c r="B1707" s="115" t="s">
        <v>4205</v>
      </c>
      <c r="C1707" s="116">
        <v>4668</v>
      </c>
      <c r="E1707" s="154"/>
      <c r="F1707" s="154"/>
      <c r="G1707" s="154"/>
    </row>
    <row r="1708" spans="1:7" x14ac:dyDescent="0.3">
      <c r="A1708" s="172" t="s">
        <v>4206</v>
      </c>
      <c r="B1708" s="115" t="s">
        <v>4207</v>
      </c>
      <c r="C1708" s="116">
        <v>0</v>
      </c>
      <c r="E1708" s="154"/>
      <c r="F1708" s="154"/>
      <c r="G1708" s="154"/>
    </row>
    <row r="1709" spans="1:7" x14ac:dyDescent="0.3">
      <c r="A1709" s="172" t="s">
        <v>4208</v>
      </c>
      <c r="B1709" s="115" t="s">
        <v>4209</v>
      </c>
      <c r="C1709" s="116">
        <v>0</v>
      </c>
      <c r="E1709" s="154"/>
      <c r="F1709" s="154"/>
      <c r="G1709" s="154"/>
    </row>
    <row r="1710" spans="1:7" x14ac:dyDescent="0.3">
      <c r="A1710" s="172" t="s">
        <v>4210</v>
      </c>
      <c r="B1710" s="115" t="s">
        <v>4211</v>
      </c>
      <c r="C1710" s="116">
        <v>0</v>
      </c>
      <c r="E1710" s="154"/>
      <c r="F1710" s="154"/>
      <c r="G1710" s="154"/>
    </row>
    <row r="1711" spans="1:7" x14ac:dyDescent="0.3">
      <c r="A1711" s="172" t="s">
        <v>658</v>
      </c>
      <c r="B1711" s="115" t="s">
        <v>659</v>
      </c>
      <c r="C1711" s="116">
        <v>0</v>
      </c>
      <c r="E1711" s="154"/>
      <c r="F1711" s="154"/>
      <c r="G1711" s="154"/>
    </row>
    <row r="1712" spans="1:7" x14ac:dyDescent="0.3">
      <c r="A1712" s="172" t="s">
        <v>4212</v>
      </c>
      <c r="B1712" s="115" t="s">
        <v>4213</v>
      </c>
      <c r="C1712" s="116">
        <v>0</v>
      </c>
      <c r="E1712" s="154"/>
      <c r="F1712" s="154"/>
      <c r="G1712" s="154"/>
    </row>
    <row r="1713" spans="1:7" x14ac:dyDescent="0.3">
      <c r="A1713" s="172" t="s">
        <v>4214</v>
      </c>
      <c r="B1713" s="115" t="s">
        <v>4215</v>
      </c>
      <c r="C1713" s="116">
        <v>0</v>
      </c>
      <c r="E1713" s="154"/>
      <c r="F1713" s="154"/>
      <c r="G1713" s="154"/>
    </row>
    <row r="1714" spans="1:7" x14ac:dyDescent="0.3">
      <c r="A1714" s="172" t="s">
        <v>4216</v>
      </c>
      <c r="B1714" s="115" t="s">
        <v>4217</v>
      </c>
      <c r="C1714" s="116">
        <v>0</v>
      </c>
      <c r="E1714" s="154"/>
      <c r="F1714" s="154"/>
      <c r="G1714" s="154"/>
    </row>
    <row r="1715" spans="1:7" x14ac:dyDescent="0.3">
      <c r="A1715" s="172" t="s">
        <v>4218</v>
      </c>
      <c r="B1715" s="115" t="s">
        <v>4219</v>
      </c>
      <c r="C1715" s="116">
        <v>0</v>
      </c>
      <c r="E1715" s="154"/>
      <c r="F1715" s="154"/>
      <c r="G1715" s="154"/>
    </row>
    <row r="1716" spans="1:7" x14ac:dyDescent="0.3">
      <c r="A1716" s="172" t="s">
        <v>4220</v>
      </c>
      <c r="B1716" s="115" t="s">
        <v>4221</v>
      </c>
      <c r="C1716" s="116">
        <v>0</v>
      </c>
      <c r="E1716" s="154"/>
      <c r="F1716" s="154"/>
      <c r="G1716" s="154"/>
    </row>
    <row r="1717" spans="1:7" x14ac:dyDescent="0.3">
      <c r="A1717" s="172" t="s">
        <v>4222</v>
      </c>
      <c r="B1717" s="115" t="s">
        <v>4223</v>
      </c>
      <c r="C1717" s="116">
        <v>0</v>
      </c>
      <c r="E1717" s="154"/>
      <c r="F1717" s="154"/>
      <c r="G1717" s="154"/>
    </row>
    <row r="1718" spans="1:7" x14ac:dyDescent="0.3">
      <c r="A1718" s="172" t="s">
        <v>4224</v>
      </c>
      <c r="B1718" s="115" t="s">
        <v>4225</v>
      </c>
      <c r="C1718" s="116">
        <v>0</v>
      </c>
      <c r="E1718" s="154"/>
      <c r="F1718" s="154"/>
      <c r="G1718" s="154"/>
    </row>
    <row r="1719" spans="1:7" x14ac:dyDescent="0.3">
      <c r="A1719" s="172" t="s">
        <v>4226</v>
      </c>
      <c r="B1719" s="115" t="s">
        <v>4227</v>
      </c>
      <c r="C1719" s="116">
        <v>0</v>
      </c>
      <c r="E1719" s="154"/>
      <c r="F1719" s="154"/>
      <c r="G1719" s="154"/>
    </row>
    <row r="1720" spans="1:7" x14ac:dyDescent="0.3">
      <c r="A1720" s="172" t="s">
        <v>4228</v>
      </c>
      <c r="B1720" s="115" t="s">
        <v>4229</v>
      </c>
      <c r="C1720" s="116">
        <v>37229534.549999997</v>
      </c>
      <c r="E1720" s="154"/>
      <c r="F1720" s="154"/>
      <c r="G1720" s="154"/>
    </row>
    <row r="1721" spans="1:7" x14ac:dyDescent="0.3">
      <c r="A1721" s="172" t="s">
        <v>4230</v>
      </c>
      <c r="B1721" s="115" t="s">
        <v>4231</v>
      </c>
      <c r="C1721" s="116">
        <v>8938378008.4899998</v>
      </c>
      <c r="E1721" s="154"/>
      <c r="F1721" s="154"/>
      <c r="G1721" s="154"/>
    </row>
    <row r="1722" spans="1:7" x14ac:dyDescent="0.3">
      <c r="A1722" s="172" t="s">
        <v>4232</v>
      </c>
      <c r="B1722" s="115" t="s">
        <v>4233</v>
      </c>
      <c r="C1722" s="116">
        <v>109320.82</v>
      </c>
      <c r="E1722" s="154"/>
      <c r="F1722" s="154"/>
      <c r="G1722" s="154"/>
    </row>
    <row r="1723" spans="1:7" x14ac:dyDescent="0.3">
      <c r="A1723" s="172" t="s">
        <v>4234</v>
      </c>
      <c r="B1723" s="115" t="s">
        <v>4235</v>
      </c>
      <c r="C1723" s="116">
        <v>13791926.84</v>
      </c>
      <c r="E1723" s="154"/>
      <c r="F1723" s="154"/>
      <c r="G1723" s="154"/>
    </row>
    <row r="1724" spans="1:7" x14ac:dyDescent="0.3">
      <c r="A1724" s="172" t="s">
        <v>4236</v>
      </c>
      <c r="B1724" s="115" t="s">
        <v>4237</v>
      </c>
      <c r="C1724" s="116">
        <v>-27004109.59</v>
      </c>
      <c r="E1724" s="154"/>
      <c r="F1724" s="154"/>
      <c r="G1724" s="154"/>
    </row>
    <row r="1725" spans="1:7" x14ac:dyDescent="0.3">
      <c r="A1725" s="172" t="s">
        <v>4238</v>
      </c>
      <c r="B1725" s="115" t="s">
        <v>4239</v>
      </c>
      <c r="C1725" s="116">
        <v>451065</v>
      </c>
      <c r="E1725" s="154"/>
      <c r="F1725" s="154"/>
      <c r="G1725" s="154"/>
    </row>
    <row r="1726" spans="1:7" x14ac:dyDescent="0.3">
      <c r="A1726" s="172" t="s">
        <v>4240</v>
      </c>
      <c r="B1726" s="115" t="s">
        <v>4241</v>
      </c>
      <c r="C1726" s="116">
        <v>71613</v>
      </c>
      <c r="E1726" s="154"/>
      <c r="F1726" s="154"/>
      <c r="G1726" s="154"/>
    </row>
    <row r="1727" spans="1:7" x14ac:dyDescent="0.3">
      <c r="A1727" s="172" t="s">
        <v>4242</v>
      </c>
      <c r="B1727" s="115" t="s">
        <v>4243</v>
      </c>
      <c r="C1727" s="116">
        <v>25000.01</v>
      </c>
      <c r="E1727" s="154"/>
      <c r="F1727" s="154"/>
      <c r="G1727" s="154"/>
    </row>
    <row r="1728" spans="1:7" x14ac:dyDescent="0.3">
      <c r="A1728" s="172" t="s">
        <v>4244</v>
      </c>
      <c r="B1728" s="115" t="s">
        <v>4245</v>
      </c>
      <c r="C1728" s="116">
        <v>148222.54</v>
      </c>
      <c r="E1728" s="154"/>
      <c r="F1728" s="154"/>
      <c r="G1728" s="154"/>
    </row>
    <row r="1729" spans="1:7" x14ac:dyDescent="0.3">
      <c r="A1729" s="172" t="s">
        <v>4246</v>
      </c>
      <c r="B1729" s="115" t="s">
        <v>4247</v>
      </c>
      <c r="C1729" s="116">
        <v>273001.15999999997</v>
      </c>
      <c r="E1729" s="154"/>
      <c r="F1729" s="154"/>
      <c r="G1729" s="154"/>
    </row>
    <row r="1730" spans="1:7" x14ac:dyDescent="0.3">
      <c r="A1730" s="172" t="s">
        <v>4248</v>
      </c>
      <c r="B1730" s="115" t="s">
        <v>4249</v>
      </c>
      <c r="C1730" s="116">
        <v>93875</v>
      </c>
      <c r="E1730" s="154"/>
      <c r="F1730" s="154"/>
      <c r="G1730" s="154"/>
    </row>
    <row r="1731" spans="1:7" x14ac:dyDescent="0.3">
      <c r="A1731" s="172" t="s">
        <v>4250</v>
      </c>
      <c r="B1731" s="115" t="s">
        <v>4251</v>
      </c>
      <c r="C1731" s="116">
        <v>253256</v>
      </c>
      <c r="E1731" s="154"/>
      <c r="F1731" s="154"/>
      <c r="G1731" s="154"/>
    </row>
    <row r="1732" spans="1:7" x14ac:dyDescent="0.3">
      <c r="A1732" s="172" t="s">
        <v>4252</v>
      </c>
      <c r="B1732" s="115" t="s">
        <v>4253</v>
      </c>
      <c r="C1732" s="116">
        <v>113118.13</v>
      </c>
      <c r="E1732" s="154"/>
      <c r="F1732" s="154"/>
      <c r="G1732" s="154"/>
    </row>
    <row r="1733" spans="1:7" x14ac:dyDescent="0.3">
      <c r="A1733" s="172" t="s">
        <v>4254</v>
      </c>
      <c r="B1733" s="115" t="s">
        <v>4255</v>
      </c>
      <c r="C1733" s="116">
        <v>13745</v>
      </c>
      <c r="E1733" s="154"/>
      <c r="F1733" s="154"/>
      <c r="G1733" s="154"/>
    </row>
    <row r="1734" spans="1:7" x14ac:dyDescent="0.3">
      <c r="A1734" s="172" t="s">
        <v>4256</v>
      </c>
      <c r="B1734" s="115" t="s">
        <v>4257</v>
      </c>
      <c r="C1734" s="116">
        <v>143890.42000000001</v>
      </c>
      <c r="E1734" s="154"/>
      <c r="F1734" s="154"/>
      <c r="G1734" s="154"/>
    </row>
    <row r="1735" spans="1:7" x14ac:dyDescent="0.3">
      <c r="A1735" s="172" t="s">
        <v>4258</v>
      </c>
      <c r="B1735" s="115" t="s">
        <v>4259</v>
      </c>
      <c r="C1735" s="116">
        <v>833992.8</v>
      </c>
      <c r="E1735" s="154"/>
      <c r="F1735" s="154"/>
      <c r="G1735" s="154"/>
    </row>
    <row r="1736" spans="1:7" x14ac:dyDescent="0.3">
      <c r="A1736" s="172" t="s">
        <v>4260</v>
      </c>
      <c r="B1736" s="115" t="s">
        <v>4261</v>
      </c>
      <c r="C1736" s="116">
        <v>543556.5</v>
      </c>
      <c r="E1736" s="154"/>
      <c r="F1736" s="154"/>
      <c r="G1736" s="154"/>
    </row>
    <row r="1737" spans="1:7" x14ac:dyDescent="0.3">
      <c r="A1737" s="172" t="s">
        <v>4262</v>
      </c>
      <c r="B1737" s="115" t="s">
        <v>4263</v>
      </c>
      <c r="C1737" s="116">
        <v>0</v>
      </c>
      <c r="E1737" s="154"/>
      <c r="F1737" s="154"/>
      <c r="G1737" s="154"/>
    </row>
    <row r="1738" spans="1:7" x14ac:dyDescent="0.3">
      <c r="A1738" s="172" t="s">
        <v>4264</v>
      </c>
      <c r="B1738" s="115" t="s">
        <v>4265</v>
      </c>
      <c r="C1738" s="116">
        <v>12646666.65</v>
      </c>
      <c r="E1738" s="154"/>
      <c r="F1738" s="154"/>
      <c r="G1738" s="154"/>
    </row>
    <row r="1739" spans="1:7" x14ac:dyDescent="0.3">
      <c r="A1739" s="172" t="s">
        <v>4266</v>
      </c>
      <c r="B1739" s="115" t="s">
        <v>4267</v>
      </c>
      <c r="C1739" s="116">
        <v>53386</v>
      </c>
      <c r="E1739" s="154"/>
      <c r="F1739" s="154"/>
      <c r="G1739" s="154"/>
    </row>
    <row r="1740" spans="1:7" x14ac:dyDescent="0.3">
      <c r="A1740" s="172" t="s">
        <v>4268</v>
      </c>
      <c r="B1740" s="115" t="s">
        <v>4269</v>
      </c>
      <c r="C1740" s="116">
        <v>0</v>
      </c>
      <c r="E1740" s="154"/>
      <c r="F1740" s="154"/>
      <c r="G1740" s="154"/>
    </row>
    <row r="1741" spans="1:7" x14ac:dyDescent="0.3">
      <c r="A1741" s="172" t="s">
        <v>4270</v>
      </c>
      <c r="B1741" s="115" t="s">
        <v>4271</v>
      </c>
      <c r="C1741" s="116">
        <v>16050</v>
      </c>
      <c r="E1741" s="154"/>
      <c r="F1741" s="154"/>
      <c r="G1741" s="154"/>
    </row>
    <row r="1742" spans="1:7" x14ac:dyDescent="0.3">
      <c r="A1742" s="172" t="s">
        <v>4272</v>
      </c>
      <c r="B1742" s="115" t="s">
        <v>4273</v>
      </c>
      <c r="C1742" s="116">
        <v>0</v>
      </c>
      <c r="E1742" s="154"/>
      <c r="F1742" s="154"/>
      <c r="G1742" s="154"/>
    </row>
    <row r="1743" spans="1:7" x14ac:dyDescent="0.3">
      <c r="A1743" s="172" t="s">
        <v>4274</v>
      </c>
      <c r="B1743" s="115" t="s">
        <v>4275</v>
      </c>
      <c r="C1743" s="116">
        <v>501614</v>
      </c>
      <c r="E1743" s="154"/>
      <c r="F1743" s="154"/>
      <c r="G1743" s="154"/>
    </row>
    <row r="1744" spans="1:7" x14ac:dyDescent="0.3">
      <c r="A1744" s="172" t="s">
        <v>4276</v>
      </c>
      <c r="B1744" s="115" t="s">
        <v>4277</v>
      </c>
      <c r="C1744" s="116">
        <v>55569.3</v>
      </c>
      <c r="E1744" s="154"/>
      <c r="F1744" s="154"/>
      <c r="G1744" s="154"/>
    </row>
    <row r="1745" spans="1:7" x14ac:dyDescent="0.3">
      <c r="A1745" s="172" t="s">
        <v>4278</v>
      </c>
      <c r="B1745" s="115" t="s">
        <v>4279</v>
      </c>
      <c r="C1745" s="116">
        <v>37382.5</v>
      </c>
      <c r="E1745" s="154"/>
      <c r="F1745" s="154"/>
      <c r="G1745" s="154"/>
    </row>
    <row r="1746" spans="1:7" x14ac:dyDescent="0.3">
      <c r="A1746" s="172" t="s">
        <v>1000</v>
      </c>
      <c r="B1746" s="115" t="s">
        <v>1001</v>
      </c>
      <c r="C1746" s="116">
        <v>-96388.55</v>
      </c>
      <c r="E1746" s="154"/>
      <c r="F1746" s="154"/>
      <c r="G1746" s="154"/>
    </row>
    <row r="1747" spans="1:7" x14ac:dyDescent="0.3">
      <c r="A1747" s="172" t="s">
        <v>4280</v>
      </c>
      <c r="B1747" s="115" t="s">
        <v>4281</v>
      </c>
      <c r="C1747" s="116">
        <v>567262.18999999994</v>
      </c>
      <c r="E1747" s="154"/>
      <c r="F1747" s="154"/>
      <c r="G1747" s="154"/>
    </row>
    <row r="1748" spans="1:7" x14ac:dyDescent="0.3">
      <c r="A1748" s="172" t="s">
        <v>4282</v>
      </c>
      <c r="B1748" s="115" t="s">
        <v>4283</v>
      </c>
      <c r="C1748" s="116">
        <v>11490</v>
      </c>
      <c r="E1748" s="154"/>
      <c r="F1748" s="154"/>
      <c r="G1748" s="154"/>
    </row>
    <row r="1749" spans="1:7" x14ac:dyDescent="0.3">
      <c r="A1749" s="173" t="s">
        <v>4284</v>
      </c>
      <c r="B1749" s="20" t="s">
        <v>4285</v>
      </c>
      <c r="C1749" s="116">
        <v>167240</v>
      </c>
      <c r="E1749" s="154"/>
      <c r="F1749" s="154"/>
      <c r="G1749" s="154"/>
    </row>
    <row r="1750" spans="1:7" x14ac:dyDescent="0.3">
      <c r="A1750" s="172" t="s">
        <v>4286</v>
      </c>
      <c r="B1750" s="115" t="s">
        <v>4287</v>
      </c>
      <c r="C1750" s="116">
        <v>15055</v>
      </c>
      <c r="E1750" s="154"/>
      <c r="F1750" s="154"/>
      <c r="G1750" s="154"/>
    </row>
    <row r="1751" spans="1:7" x14ac:dyDescent="0.3">
      <c r="A1751" s="173" t="s">
        <v>4288</v>
      </c>
      <c r="B1751" s="20" t="s">
        <v>4289</v>
      </c>
      <c r="C1751" s="116">
        <v>0</v>
      </c>
      <c r="E1751" s="154"/>
      <c r="F1751" s="154"/>
      <c r="G1751" s="154"/>
    </row>
    <row r="1752" spans="1:7" x14ac:dyDescent="0.3">
      <c r="A1752" s="172" t="s">
        <v>4290</v>
      </c>
      <c r="B1752" s="115" t="s">
        <v>4291</v>
      </c>
      <c r="C1752" s="116">
        <v>111138.55</v>
      </c>
      <c r="E1752" s="154"/>
      <c r="F1752" s="154"/>
      <c r="G1752" s="154"/>
    </row>
    <row r="1753" spans="1:7" x14ac:dyDescent="0.3">
      <c r="A1753" s="172" t="s">
        <v>4292</v>
      </c>
      <c r="B1753" s="115" t="s">
        <v>4293</v>
      </c>
      <c r="C1753" s="116">
        <v>72532</v>
      </c>
      <c r="E1753" s="154"/>
      <c r="F1753" s="154"/>
      <c r="G1753" s="154"/>
    </row>
    <row r="1754" spans="1:7" x14ac:dyDescent="0.3">
      <c r="A1754" s="172" t="s">
        <v>4294</v>
      </c>
      <c r="B1754" s="115" t="s">
        <v>4295</v>
      </c>
      <c r="C1754" s="116">
        <v>0</v>
      </c>
      <c r="E1754" s="154"/>
      <c r="F1754" s="154"/>
      <c r="G1754" s="154"/>
    </row>
    <row r="1755" spans="1:7" x14ac:dyDescent="0.3">
      <c r="A1755" s="172" t="s">
        <v>4296</v>
      </c>
      <c r="B1755" s="115" t="s">
        <v>4297</v>
      </c>
      <c r="C1755" s="116">
        <v>0</v>
      </c>
      <c r="E1755" s="154"/>
      <c r="F1755" s="154"/>
      <c r="G1755" s="154"/>
    </row>
    <row r="1756" spans="1:7" x14ac:dyDescent="0.3">
      <c r="A1756" s="172" t="s">
        <v>4298</v>
      </c>
      <c r="B1756" s="115" t="s">
        <v>4299</v>
      </c>
      <c r="C1756" s="116">
        <v>67880.7</v>
      </c>
      <c r="E1756" s="154"/>
      <c r="F1756" s="154"/>
      <c r="G1756" s="154"/>
    </row>
    <row r="1757" spans="1:7" x14ac:dyDescent="0.3">
      <c r="A1757" s="172" t="s">
        <v>4300</v>
      </c>
      <c r="B1757" s="115" t="s">
        <v>4301</v>
      </c>
      <c r="C1757" s="116">
        <v>7748.43</v>
      </c>
      <c r="E1757" s="154"/>
      <c r="F1757" s="154"/>
      <c r="G1757" s="154"/>
    </row>
    <row r="1758" spans="1:7" x14ac:dyDescent="0.3">
      <c r="A1758" s="172" t="s">
        <v>4302</v>
      </c>
      <c r="B1758" s="115" t="s">
        <v>4303</v>
      </c>
      <c r="C1758" s="116">
        <v>0</v>
      </c>
      <c r="E1758" s="154"/>
      <c r="F1758" s="154"/>
      <c r="G1758" s="154"/>
    </row>
    <row r="1759" spans="1:7" x14ac:dyDescent="0.3">
      <c r="A1759" s="172" t="s">
        <v>4304</v>
      </c>
      <c r="B1759" s="115" t="s">
        <v>4305</v>
      </c>
      <c r="C1759" s="116">
        <v>676867.49</v>
      </c>
      <c r="E1759" s="154"/>
      <c r="F1759" s="154"/>
      <c r="G1759" s="154"/>
    </row>
    <row r="1760" spans="1:7" x14ac:dyDescent="0.3">
      <c r="A1760" s="172" t="s">
        <v>4306</v>
      </c>
      <c r="B1760" s="115" t="s">
        <v>4307</v>
      </c>
      <c r="C1760" s="116">
        <v>135095</v>
      </c>
      <c r="E1760" s="154"/>
      <c r="F1760" s="154"/>
      <c r="G1760" s="154"/>
    </row>
    <row r="1761" spans="1:7" x14ac:dyDescent="0.3">
      <c r="A1761" s="172" t="s">
        <v>4308</v>
      </c>
      <c r="B1761" s="115" t="s">
        <v>4309</v>
      </c>
      <c r="C1761" s="116">
        <v>39805</v>
      </c>
      <c r="E1761" s="154"/>
      <c r="F1761" s="154"/>
      <c r="G1761" s="154"/>
    </row>
    <row r="1762" spans="1:7" x14ac:dyDescent="0.3">
      <c r="A1762" s="172" t="s">
        <v>4310</v>
      </c>
      <c r="B1762" s="115" t="s">
        <v>4311</v>
      </c>
      <c r="C1762" s="116">
        <v>111138.55</v>
      </c>
      <c r="E1762" s="154"/>
      <c r="F1762" s="154"/>
      <c r="G1762" s="154"/>
    </row>
    <row r="1763" spans="1:7" x14ac:dyDescent="0.3">
      <c r="A1763" s="172" t="s">
        <v>4312</v>
      </c>
      <c r="B1763" s="115" t="s">
        <v>4313</v>
      </c>
      <c r="C1763" s="116">
        <v>14250</v>
      </c>
      <c r="E1763" s="154"/>
      <c r="F1763" s="154"/>
      <c r="G1763" s="154"/>
    </row>
    <row r="1764" spans="1:7" x14ac:dyDescent="0.3">
      <c r="A1764" s="172" t="s">
        <v>4314</v>
      </c>
      <c r="B1764" s="115" t="s">
        <v>4315</v>
      </c>
      <c r="C1764" s="116">
        <v>127079.5</v>
      </c>
      <c r="E1764" s="154"/>
      <c r="F1764" s="154"/>
      <c r="G1764" s="154"/>
    </row>
    <row r="1765" spans="1:7" x14ac:dyDescent="0.3">
      <c r="A1765" s="172" t="s">
        <v>4316</v>
      </c>
      <c r="B1765" s="115" t="s">
        <v>4317</v>
      </c>
      <c r="C1765" s="116">
        <v>0</v>
      </c>
      <c r="E1765" s="154"/>
      <c r="F1765" s="154"/>
      <c r="G1765" s="154"/>
    </row>
    <row r="1766" spans="1:7" x14ac:dyDescent="0.3">
      <c r="A1766" s="172" t="s">
        <v>4318</v>
      </c>
      <c r="B1766" s="115" t="s">
        <v>4319</v>
      </c>
      <c r="C1766" s="116">
        <v>0</v>
      </c>
      <c r="E1766" s="154"/>
      <c r="F1766" s="154"/>
      <c r="G1766" s="154"/>
    </row>
    <row r="1767" spans="1:7" x14ac:dyDescent="0.3">
      <c r="A1767" s="172" t="s">
        <v>4320</v>
      </c>
      <c r="B1767" s="115" t="s">
        <v>4321</v>
      </c>
      <c r="C1767" s="116">
        <v>263027.5</v>
      </c>
      <c r="E1767" s="154"/>
      <c r="F1767" s="154"/>
      <c r="G1767" s="154"/>
    </row>
    <row r="1768" spans="1:7" x14ac:dyDescent="0.3">
      <c r="A1768" s="172" t="s">
        <v>4322</v>
      </c>
      <c r="B1768" s="115" t="s">
        <v>4323</v>
      </c>
      <c r="C1768" s="116">
        <v>-250704.04</v>
      </c>
      <c r="E1768" s="154"/>
      <c r="F1768" s="154"/>
      <c r="G1768" s="154"/>
    </row>
    <row r="1769" spans="1:7" x14ac:dyDescent="0.3">
      <c r="A1769" s="172" t="s">
        <v>4324</v>
      </c>
      <c r="B1769" s="115" t="s">
        <v>4325</v>
      </c>
      <c r="C1769" s="116">
        <v>0</v>
      </c>
      <c r="E1769" s="154"/>
      <c r="F1769" s="154"/>
      <c r="G1769" s="154"/>
    </row>
    <row r="1770" spans="1:7" x14ac:dyDescent="0.3">
      <c r="A1770" s="172" t="s">
        <v>4326</v>
      </c>
      <c r="B1770" s="115" t="s">
        <v>4327</v>
      </c>
      <c r="C1770" s="116">
        <v>0</v>
      </c>
      <c r="E1770" s="154"/>
      <c r="F1770" s="154"/>
      <c r="G1770" s="154"/>
    </row>
    <row r="1771" spans="1:7" x14ac:dyDescent="0.3">
      <c r="A1771" s="172" t="s">
        <v>4328</v>
      </c>
      <c r="B1771" s="115" t="s">
        <v>4329</v>
      </c>
      <c r="C1771" s="116">
        <v>0</v>
      </c>
      <c r="E1771" s="154"/>
      <c r="F1771" s="154"/>
      <c r="G1771" s="154"/>
    </row>
    <row r="1772" spans="1:7" x14ac:dyDescent="0.3">
      <c r="A1772" s="172" t="s">
        <v>4330</v>
      </c>
      <c r="B1772" s="115" t="s">
        <v>4331</v>
      </c>
      <c r="C1772" s="116">
        <v>0</v>
      </c>
      <c r="E1772" s="154"/>
      <c r="F1772" s="154"/>
      <c r="G1772" s="154"/>
    </row>
    <row r="1773" spans="1:7" x14ac:dyDescent="0.3">
      <c r="A1773" s="172" t="s">
        <v>4332</v>
      </c>
      <c r="B1773" s="115" t="s">
        <v>4333</v>
      </c>
      <c r="C1773" s="116">
        <v>21786243.66</v>
      </c>
      <c r="E1773" s="154"/>
      <c r="F1773" s="154"/>
      <c r="G1773" s="154"/>
    </row>
    <row r="1774" spans="1:7" x14ac:dyDescent="0.3">
      <c r="A1774" s="172" t="s">
        <v>4334</v>
      </c>
      <c r="B1774" s="115" t="s">
        <v>4335</v>
      </c>
      <c r="C1774" s="116">
        <v>0</v>
      </c>
      <c r="E1774" s="154"/>
      <c r="F1774" s="154"/>
      <c r="G1774" s="154"/>
    </row>
    <row r="1775" spans="1:7" x14ac:dyDescent="0.3">
      <c r="A1775" s="172" t="s">
        <v>4336</v>
      </c>
      <c r="B1775" s="115" t="s">
        <v>4337</v>
      </c>
      <c r="C1775" s="116">
        <v>29312.55</v>
      </c>
      <c r="E1775" s="154"/>
      <c r="F1775" s="154"/>
      <c r="G1775" s="154"/>
    </row>
    <row r="1776" spans="1:7" x14ac:dyDescent="0.3">
      <c r="A1776" s="172" t="s">
        <v>4338</v>
      </c>
      <c r="B1776" s="115" t="s">
        <v>4339</v>
      </c>
      <c r="C1776" s="116">
        <v>7000</v>
      </c>
      <c r="E1776" s="154"/>
      <c r="F1776" s="154"/>
      <c r="G1776" s="154"/>
    </row>
    <row r="1777" spans="1:7" x14ac:dyDescent="0.3">
      <c r="A1777" s="172" t="s">
        <v>4340</v>
      </c>
      <c r="B1777" s="115" t="s">
        <v>4341</v>
      </c>
      <c r="C1777" s="116">
        <v>14435.34</v>
      </c>
      <c r="E1777" s="154"/>
      <c r="F1777" s="154"/>
      <c r="G1777" s="154"/>
    </row>
    <row r="1778" spans="1:7" x14ac:dyDescent="0.3">
      <c r="A1778" s="172" t="s">
        <v>4342</v>
      </c>
      <c r="B1778" s="115" t="s">
        <v>4343</v>
      </c>
      <c r="C1778" s="116">
        <v>0</v>
      </c>
      <c r="E1778" s="154"/>
      <c r="F1778" s="154"/>
      <c r="G1778" s="154"/>
    </row>
    <row r="1779" spans="1:7" x14ac:dyDescent="0.3">
      <c r="A1779" s="172" t="s">
        <v>4344</v>
      </c>
      <c r="B1779" s="115" t="s">
        <v>4345</v>
      </c>
      <c r="C1779" s="116">
        <v>0</v>
      </c>
      <c r="E1779" s="154"/>
      <c r="F1779" s="154"/>
      <c r="G1779" s="154"/>
    </row>
    <row r="1780" spans="1:7" x14ac:dyDescent="0.3">
      <c r="A1780" s="172" t="s">
        <v>4346</v>
      </c>
      <c r="B1780" s="115" t="s">
        <v>4347</v>
      </c>
      <c r="C1780" s="116">
        <v>69166</v>
      </c>
      <c r="E1780" s="154"/>
      <c r="F1780" s="154"/>
      <c r="G1780" s="154"/>
    </row>
    <row r="1781" spans="1:7" x14ac:dyDescent="0.3">
      <c r="A1781" s="172" t="s">
        <v>4348</v>
      </c>
      <c r="B1781" s="115" t="s">
        <v>4349</v>
      </c>
      <c r="C1781" s="116">
        <v>0</v>
      </c>
      <c r="E1781" s="154"/>
      <c r="F1781" s="154"/>
      <c r="G1781" s="154"/>
    </row>
    <row r="1782" spans="1:7" x14ac:dyDescent="0.3">
      <c r="A1782" s="172" t="s">
        <v>4350</v>
      </c>
      <c r="B1782" s="115" t="s">
        <v>4351</v>
      </c>
      <c r="C1782" s="116">
        <v>0</v>
      </c>
      <c r="E1782" s="154"/>
      <c r="F1782" s="154"/>
      <c r="G1782" s="154"/>
    </row>
    <row r="1783" spans="1:7" x14ac:dyDescent="0.3">
      <c r="A1783" s="172" t="s">
        <v>4352</v>
      </c>
      <c r="B1783" s="115" t="s">
        <v>4353</v>
      </c>
      <c r="C1783" s="116">
        <v>16300</v>
      </c>
      <c r="E1783" s="154"/>
      <c r="F1783" s="154"/>
      <c r="G1783" s="154"/>
    </row>
    <row r="1784" spans="1:7" x14ac:dyDescent="0.3">
      <c r="A1784" s="172" t="s">
        <v>4354</v>
      </c>
      <c r="B1784" s="115" t="s">
        <v>4355</v>
      </c>
      <c r="C1784" s="116">
        <v>0</v>
      </c>
      <c r="E1784" s="154"/>
      <c r="F1784" s="154"/>
      <c r="G1784" s="154"/>
    </row>
    <row r="1785" spans="1:7" x14ac:dyDescent="0.3">
      <c r="A1785" s="172" t="s">
        <v>4356</v>
      </c>
      <c r="B1785" s="115" t="s">
        <v>4357</v>
      </c>
      <c r="C1785" s="116">
        <v>0</v>
      </c>
      <c r="E1785" s="154"/>
      <c r="F1785" s="154"/>
      <c r="G1785" s="154"/>
    </row>
    <row r="1786" spans="1:7" x14ac:dyDescent="0.3">
      <c r="A1786" s="172" t="s">
        <v>4358</v>
      </c>
      <c r="B1786" s="115" t="s">
        <v>4359</v>
      </c>
      <c r="C1786" s="116">
        <v>0</v>
      </c>
      <c r="E1786" s="154"/>
      <c r="F1786" s="154"/>
      <c r="G1786" s="154"/>
    </row>
    <row r="1787" spans="1:7" x14ac:dyDescent="0.3">
      <c r="A1787" s="172" t="s">
        <v>4360</v>
      </c>
      <c r="B1787" s="115" t="s">
        <v>4361</v>
      </c>
      <c r="C1787" s="116">
        <v>0</v>
      </c>
      <c r="E1787" s="154"/>
      <c r="F1787" s="154"/>
      <c r="G1787" s="154"/>
    </row>
    <row r="1788" spans="1:7" x14ac:dyDescent="0.3">
      <c r="A1788" s="172" t="s">
        <v>4362</v>
      </c>
      <c r="B1788" s="115" t="s">
        <v>4363</v>
      </c>
      <c r="C1788" s="116">
        <v>0</v>
      </c>
      <c r="E1788" s="154"/>
      <c r="F1788" s="154"/>
      <c r="G1788" s="154"/>
    </row>
    <row r="1789" spans="1:7" x14ac:dyDescent="0.3">
      <c r="A1789" s="172" t="s">
        <v>847</v>
      </c>
      <c r="B1789" s="115" t="s">
        <v>848</v>
      </c>
      <c r="C1789" s="116">
        <v>0</v>
      </c>
      <c r="E1789" s="154"/>
      <c r="F1789" s="154"/>
      <c r="G1789" s="154"/>
    </row>
    <row r="1790" spans="1:7" x14ac:dyDescent="0.3">
      <c r="A1790" s="172" t="s">
        <v>4364</v>
      </c>
      <c r="B1790" s="115" t="s">
        <v>4365</v>
      </c>
      <c r="C1790" s="116">
        <v>0</v>
      </c>
      <c r="E1790" s="154"/>
      <c r="F1790" s="154"/>
      <c r="G1790" s="154"/>
    </row>
    <row r="1791" spans="1:7" x14ac:dyDescent="0.3">
      <c r="A1791" s="172" t="s">
        <v>4366</v>
      </c>
      <c r="B1791" s="115" t="s">
        <v>4367</v>
      </c>
      <c r="C1791" s="116">
        <v>0</v>
      </c>
      <c r="E1791" s="154"/>
      <c r="F1791" s="154"/>
      <c r="G1791" s="154"/>
    </row>
    <row r="1792" spans="1:7" x14ac:dyDescent="0.3">
      <c r="A1792" s="172" t="s">
        <v>923</v>
      </c>
      <c r="B1792" s="115" t="s">
        <v>924</v>
      </c>
      <c r="C1792" s="116">
        <v>-1108080.17</v>
      </c>
      <c r="E1792" s="154"/>
      <c r="F1792" s="154"/>
      <c r="G1792" s="154"/>
    </row>
    <row r="1793" spans="1:7" x14ac:dyDescent="0.3">
      <c r="A1793" s="172" t="s">
        <v>4368</v>
      </c>
      <c r="B1793" s="115" t="s">
        <v>4369</v>
      </c>
      <c r="C1793" s="116">
        <v>0</v>
      </c>
      <c r="E1793" s="154"/>
      <c r="F1793" s="154"/>
      <c r="G1793" s="154"/>
    </row>
    <row r="1794" spans="1:7" x14ac:dyDescent="0.3">
      <c r="A1794" s="172" t="s">
        <v>608</v>
      </c>
      <c r="B1794" s="115" t="s">
        <v>609</v>
      </c>
      <c r="C1794" s="116">
        <v>0</v>
      </c>
      <c r="E1794" s="154"/>
      <c r="F1794" s="154"/>
      <c r="G1794" s="154"/>
    </row>
    <row r="1795" spans="1:7" x14ac:dyDescent="0.3">
      <c r="A1795" s="172" t="s">
        <v>4370</v>
      </c>
      <c r="B1795" s="115" t="s">
        <v>4371</v>
      </c>
      <c r="C1795" s="116">
        <v>0</v>
      </c>
      <c r="E1795" s="154"/>
      <c r="F1795" s="154"/>
      <c r="G1795" s="154"/>
    </row>
    <row r="1796" spans="1:7" x14ac:dyDescent="0.3">
      <c r="A1796" s="172" t="s">
        <v>4372</v>
      </c>
      <c r="B1796" s="115" t="s">
        <v>4373</v>
      </c>
      <c r="C1796" s="116">
        <v>0</v>
      </c>
      <c r="E1796" s="154"/>
      <c r="F1796" s="154"/>
      <c r="G1796" s="154"/>
    </row>
    <row r="1797" spans="1:7" x14ac:dyDescent="0.3">
      <c r="A1797" s="172" t="s">
        <v>917</v>
      </c>
      <c r="B1797" s="115" t="s">
        <v>918</v>
      </c>
      <c r="C1797" s="116">
        <v>0</v>
      </c>
      <c r="E1797" s="154"/>
      <c r="F1797" s="154"/>
      <c r="G1797" s="154"/>
    </row>
    <row r="1798" spans="1:7" x14ac:dyDescent="0.3">
      <c r="A1798" s="172" t="s">
        <v>4374</v>
      </c>
      <c r="B1798" s="115" t="s">
        <v>4375</v>
      </c>
      <c r="C1798" s="116">
        <v>0</v>
      </c>
      <c r="E1798" s="154"/>
      <c r="F1798" s="154"/>
      <c r="G1798" s="154"/>
    </row>
    <row r="1799" spans="1:7" x14ac:dyDescent="0.3">
      <c r="A1799" s="172" t="s">
        <v>4376</v>
      </c>
      <c r="B1799" s="115" t="s">
        <v>4377</v>
      </c>
      <c r="C1799" s="116">
        <v>0</v>
      </c>
      <c r="E1799" s="154"/>
      <c r="F1799" s="154"/>
      <c r="G1799" s="154"/>
    </row>
    <row r="1800" spans="1:7" x14ac:dyDescent="0.3">
      <c r="A1800" s="172" t="s">
        <v>4378</v>
      </c>
      <c r="B1800" s="115" t="s">
        <v>4379</v>
      </c>
      <c r="C1800" s="116">
        <v>0</v>
      </c>
      <c r="E1800" s="154"/>
      <c r="F1800" s="154"/>
      <c r="G1800" s="154"/>
    </row>
    <row r="1801" spans="1:7" x14ac:dyDescent="0.3">
      <c r="A1801" s="172" t="s">
        <v>4380</v>
      </c>
      <c r="B1801" s="115" t="s">
        <v>4381</v>
      </c>
      <c r="C1801" s="116">
        <v>0</v>
      </c>
      <c r="E1801" s="154"/>
      <c r="F1801" s="154"/>
      <c r="G1801" s="154"/>
    </row>
    <row r="1802" spans="1:7" x14ac:dyDescent="0.3">
      <c r="A1802" s="172" t="s">
        <v>4382</v>
      </c>
      <c r="B1802" s="115" t="s">
        <v>4383</v>
      </c>
      <c r="C1802" s="116">
        <v>0</v>
      </c>
      <c r="E1802" s="154"/>
      <c r="F1802" s="154"/>
      <c r="G1802" s="154"/>
    </row>
    <row r="1803" spans="1:7" x14ac:dyDescent="0.3">
      <c r="A1803" s="172" t="s">
        <v>4384</v>
      </c>
      <c r="B1803" s="115" t="s">
        <v>4385</v>
      </c>
      <c r="C1803" s="116">
        <v>0</v>
      </c>
      <c r="E1803" s="154"/>
      <c r="F1803" s="154"/>
      <c r="G1803" s="154"/>
    </row>
    <row r="1804" spans="1:7" x14ac:dyDescent="0.3">
      <c r="A1804" s="172" t="s">
        <v>4386</v>
      </c>
      <c r="B1804" s="115" t="s">
        <v>4387</v>
      </c>
      <c r="C1804" s="116">
        <v>0</v>
      </c>
      <c r="E1804" s="154"/>
      <c r="F1804" s="154"/>
      <c r="G1804" s="154"/>
    </row>
    <row r="1805" spans="1:7" x14ac:dyDescent="0.3">
      <c r="A1805" s="172" t="s">
        <v>4388</v>
      </c>
      <c r="B1805" s="115" t="s">
        <v>4389</v>
      </c>
      <c r="C1805" s="116">
        <v>0</v>
      </c>
      <c r="E1805" s="154"/>
      <c r="F1805" s="154"/>
      <c r="G1805" s="154"/>
    </row>
    <row r="1806" spans="1:7" x14ac:dyDescent="0.3">
      <c r="A1806" s="172" t="s">
        <v>4390</v>
      </c>
      <c r="B1806" s="115" t="s">
        <v>4391</v>
      </c>
      <c r="C1806" s="116">
        <v>0</v>
      </c>
      <c r="E1806" s="154"/>
      <c r="F1806" s="154"/>
      <c r="G1806" s="154"/>
    </row>
    <row r="1807" spans="1:7" x14ac:dyDescent="0.3">
      <c r="A1807" s="172" t="s">
        <v>4392</v>
      </c>
      <c r="B1807" s="115" t="s">
        <v>4393</v>
      </c>
      <c r="C1807" s="116">
        <v>0</v>
      </c>
      <c r="E1807" s="154"/>
      <c r="F1807" s="154"/>
      <c r="G1807" s="154"/>
    </row>
    <row r="1808" spans="1:7" x14ac:dyDescent="0.3">
      <c r="A1808" s="172" t="s">
        <v>4394</v>
      </c>
      <c r="B1808" s="115" t="s">
        <v>4395</v>
      </c>
      <c r="C1808" s="116">
        <v>0</v>
      </c>
      <c r="E1808" s="154"/>
      <c r="F1808" s="154"/>
      <c r="G1808" s="154"/>
    </row>
    <row r="1809" spans="1:7" x14ac:dyDescent="0.3">
      <c r="A1809" s="172" t="s">
        <v>674</v>
      </c>
      <c r="B1809" s="115" t="s">
        <v>675</v>
      </c>
      <c r="C1809" s="116">
        <v>0</v>
      </c>
      <c r="E1809" s="154"/>
      <c r="F1809" s="154"/>
      <c r="G1809" s="154"/>
    </row>
    <row r="1810" spans="1:7" x14ac:dyDescent="0.3">
      <c r="A1810" s="172" t="s">
        <v>4396</v>
      </c>
      <c r="B1810" s="115" t="s">
        <v>4397</v>
      </c>
      <c r="C1810" s="116">
        <v>128110.29</v>
      </c>
      <c r="E1810" s="154"/>
      <c r="F1810" s="154"/>
      <c r="G1810" s="154"/>
    </row>
    <row r="1811" spans="1:7" x14ac:dyDescent="0.3">
      <c r="A1811" s="172" t="s">
        <v>4398</v>
      </c>
      <c r="B1811" s="115" t="s">
        <v>4399</v>
      </c>
      <c r="C1811" s="116">
        <v>14495477.27</v>
      </c>
      <c r="E1811" s="154"/>
      <c r="F1811" s="154"/>
      <c r="G1811" s="154"/>
    </row>
    <row r="1812" spans="1:7" x14ac:dyDescent="0.3">
      <c r="A1812" s="172" t="s">
        <v>4400</v>
      </c>
      <c r="B1812" s="115" t="s">
        <v>4401</v>
      </c>
      <c r="C1812" s="116">
        <v>12091355394.530001</v>
      </c>
      <c r="E1812" s="154"/>
      <c r="F1812" s="154"/>
      <c r="G1812" s="154"/>
    </row>
    <row r="1813" spans="1:7" x14ac:dyDescent="0.3">
      <c r="A1813" s="172" t="s">
        <v>652</v>
      </c>
      <c r="B1813" s="115" t="s">
        <v>653</v>
      </c>
      <c r="C1813" s="116">
        <v>-19700</v>
      </c>
      <c r="E1813" s="154"/>
      <c r="F1813" s="154"/>
      <c r="G1813" s="154"/>
    </row>
    <row r="1814" spans="1:7" x14ac:dyDescent="0.3">
      <c r="A1814" s="172" t="s">
        <v>4402</v>
      </c>
      <c r="B1814" s="115" t="s">
        <v>4403</v>
      </c>
      <c r="C1814" s="116">
        <v>223413</v>
      </c>
      <c r="E1814" s="154"/>
      <c r="F1814" s="154"/>
      <c r="G1814" s="154"/>
    </row>
    <row r="1815" spans="1:7" x14ac:dyDescent="0.3">
      <c r="A1815" s="172" t="s">
        <v>4404</v>
      </c>
      <c r="B1815" s="115" t="s">
        <v>4405</v>
      </c>
      <c r="C1815" s="116">
        <v>0</v>
      </c>
      <c r="E1815" s="154"/>
      <c r="F1815" s="154"/>
      <c r="G1815" s="154"/>
    </row>
    <row r="1816" spans="1:7" x14ac:dyDescent="0.3">
      <c r="A1816" s="172" t="s">
        <v>4406</v>
      </c>
      <c r="B1816" s="115" t="s">
        <v>4407</v>
      </c>
      <c r="C1816" s="116">
        <v>51224.800000000003</v>
      </c>
      <c r="E1816" s="154"/>
      <c r="F1816" s="154"/>
      <c r="G1816" s="154"/>
    </row>
    <row r="1817" spans="1:7" x14ac:dyDescent="0.3">
      <c r="A1817" s="172" t="s">
        <v>4408</v>
      </c>
      <c r="B1817" s="115" t="s">
        <v>4409</v>
      </c>
      <c r="C1817" s="116">
        <v>93385.88</v>
      </c>
      <c r="E1817" s="154"/>
      <c r="F1817" s="154"/>
      <c r="G1817" s="154"/>
    </row>
    <row r="1818" spans="1:7" x14ac:dyDescent="0.3">
      <c r="A1818" s="172" t="s">
        <v>4410</v>
      </c>
      <c r="B1818" s="115" t="s">
        <v>4411</v>
      </c>
      <c r="C1818" s="116">
        <v>81574.8</v>
      </c>
      <c r="E1818" s="154"/>
      <c r="F1818" s="154"/>
      <c r="G1818" s="154"/>
    </row>
    <row r="1819" spans="1:7" x14ac:dyDescent="0.3">
      <c r="A1819" s="172" t="s">
        <v>4412</v>
      </c>
      <c r="B1819" s="115" t="s">
        <v>4413</v>
      </c>
      <c r="C1819" s="116">
        <v>0.36</v>
      </c>
      <c r="E1819" s="154"/>
      <c r="F1819" s="154"/>
      <c r="G1819" s="154"/>
    </row>
    <row r="1820" spans="1:7" x14ac:dyDescent="0.3">
      <c r="A1820" s="172" t="s">
        <v>4414</v>
      </c>
      <c r="B1820" s="115" t="s">
        <v>4415</v>
      </c>
      <c r="C1820" s="116">
        <v>1143454.5</v>
      </c>
      <c r="E1820" s="154"/>
      <c r="F1820" s="154"/>
      <c r="G1820" s="154"/>
    </row>
    <row r="1821" spans="1:7" x14ac:dyDescent="0.3">
      <c r="A1821" s="172" t="s">
        <v>4416</v>
      </c>
      <c r="B1821" s="115" t="s">
        <v>4417</v>
      </c>
      <c r="C1821" s="116">
        <v>305589.90000000002</v>
      </c>
      <c r="E1821" s="154"/>
      <c r="F1821" s="154"/>
      <c r="G1821" s="154"/>
    </row>
    <row r="1822" spans="1:7" x14ac:dyDescent="0.3">
      <c r="A1822" s="172" t="s">
        <v>4418</v>
      </c>
      <c r="B1822" s="115" t="s">
        <v>4419</v>
      </c>
      <c r="C1822" s="116">
        <v>77725.070000000007</v>
      </c>
      <c r="E1822" s="154"/>
      <c r="F1822" s="154"/>
      <c r="G1822" s="154"/>
    </row>
    <row r="1823" spans="1:7" x14ac:dyDescent="0.3">
      <c r="A1823" s="172" t="s">
        <v>4420</v>
      </c>
      <c r="B1823" s="115" t="s">
        <v>4421</v>
      </c>
      <c r="C1823" s="116">
        <v>700720.15</v>
      </c>
      <c r="E1823" s="154"/>
      <c r="F1823" s="154"/>
      <c r="G1823" s="154"/>
    </row>
    <row r="1824" spans="1:7" x14ac:dyDescent="0.3">
      <c r="A1824" s="172" t="s">
        <v>4422</v>
      </c>
      <c r="B1824" s="115" t="s">
        <v>4423</v>
      </c>
      <c r="C1824" s="116">
        <v>-2218550.7000000002</v>
      </c>
      <c r="E1824" s="154"/>
      <c r="F1824" s="154"/>
      <c r="G1824" s="154"/>
    </row>
    <row r="1825" spans="1:7" x14ac:dyDescent="0.3">
      <c r="A1825" s="172" t="s">
        <v>4424</v>
      </c>
      <c r="B1825" s="115" t="s">
        <v>4425</v>
      </c>
      <c r="C1825" s="116">
        <v>842987.1</v>
      </c>
      <c r="E1825" s="154"/>
      <c r="F1825" s="154"/>
      <c r="G1825" s="154"/>
    </row>
    <row r="1826" spans="1:7" x14ac:dyDescent="0.3">
      <c r="A1826" s="172" t="s">
        <v>4426</v>
      </c>
      <c r="B1826" s="115" t="s">
        <v>4427</v>
      </c>
      <c r="C1826" s="116">
        <v>274475</v>
      </c>
      <c r="E1826" s="154"/>
      <c r="F1826" s="154"/>
      <c r="G1826" s="154"/>
    </row>
    <row r="1827" spans="1:7" x14ac:dyDescent="0.3">
      <c r="A1827" s="172" t="s">
        <v>4428</v>
      </c>
      <c r="B1827" s="115" t="s">
        <v>4429</v>
      </c>
      <c r="C1827" s="116">
        <v>193682.75</v>
      </c>
      <c r="E1827" s="154"/>
      <c r="F1827" s="154"/>
      <c r="G1827" s="154"/>
    </row>
    <row r="1828" spans="1:7" x14ac:dyDescent="0.3">
      <c r="A1828" s="172" t="s">
        <v>4430</v>
      </c>
      <c r="B1828" s="115" t="s">
        <v>4431</v>
      </c>
      <c r="C1828" s="116">
        <v>30460.85</v>
      </c>
      <c r="E1828" s="154"/>
      <c r="F1828" s="154"/>
      <c r="G1828" s="154"/>
    </row>
    <row r="1829" spans="1:7" x14ac:dyDescent="0.3">
      <c r="A1829" s="172" t="s">
        <v>4432</v>
      </c>
      <c r="B1829" s="115" t="s">
        <v>4433</v>
      </c>
      <c r="C1829" s="116">
        <v>15694306</v>
      </c>
      <c r="E1829" s="154"/>
      <c r="F1829" s="154"/>
      <c r="G1829" s="154"/>
    </row>
    <row r="1830" spans="1:7" x14ac:dyDescent="0.3">
      <c r="A1830" s="172" t="s">
        <v>937</v>
      </c>
      <c r="B1830" s="115" t="s">
        <v>938</v>
      </c>
      <c r="C1830" s="116">
        <v>0</v>
      </c>
      <c r="E1830" s="154"/>
      <c r="F1830" s="154"/>
      <c r="G1830" s="154"/>
    </row>
    <row r="1831" spans="1:7" x14ac:dyDescent="0.3">
      <c r="A1831" s="172" t="s">
        <v>4434</v>
      </c>
      <c r="B1831" s="115" t="s">
        <v>4435</v>
      </c>
      <c r="C1831" s="116">
        <v>1400</v>
      </c>
      <c r="E1831" s="154"/>
      <c r="F1831" s="154"/>
      <c r="G1831" s="154"/>
    </row>
    <row r="1832" spans="1:7" x14ac:dyDescent="0.3">
      <c r="A1832" s="172" t="s">
        <v>4436</v>
      </c>
      <c r="B1832" s="115" t="s">
        <v>4437</v>
      </c>
      <c r="C1832" s="116">
        <v>0</v>
      </c>
      <c r="E1832" s="154"/>
      <c r="F1832" s="154"/>
      <c r="G1832" s="154"/>
    </row>
    <row r="1833" spans="1:7" x14ac:dyDescent="0.3">
      <c r="A1833" s="172" t="s">
        <v>4438</v>
      </c>
      <c r="B1833" s="115" t="s">
        <v>4439</v>
      </c>
      <c r="C1833" s="116">
        <v>148578.37</v>
      </c>
      <c r="E1833" s="154"/>
      <c r="F1833" s="154"/>
      <c r="G1833" s="154"/>
    </row>
    <row r="1834" spans="1:7" x14ac:dyDescent="0.3">
      <c r="A1834" s="172" t="s">
        <v>4440</v>
      </c>
      <c r="B1834" s="115" t="s">
        <v>4441</v>
      </c>
      <c r="C1834" s="116">
        <v>640000</v>
      </c>
      <c r="E1834" s="154"/>
      <c r="F1834" s="154"/>
      <c r="G1834" s="154"/>
    </row>
    <row r="1835" spans="1:7" x14ac:dyDescent="0.3">
      <c r="A1835" s="172" t="s">
        <v>4442</v>
      </c>
      <c r="B1835" s="115" t="s">
        <v>4443</v>
      </c>
      <c r="C1835" s="116">
        <v>173200</v>
      </c>
      <c r="E1835" s="154"/>
      <c r="F1835" s="154"/>
      <c r="G1835" s="154"/>
    </row>
    <row r="1836" spans="1:7" x14ac:dyDescent="0.3">
      <c r="A1836" s="172" t="s">
        <v>4444</v>
      </c>
      <c r="B1836" s="115" t="s">
        <v>4445</v>
      </c>
      <c r="C1836" s="116">
        <v>106333.5</v>
      </c>
      <c r="E1836" s="154"/>
      <c r="F1836" s="154"/>
      <c r="G1836" s="154"/>
    </row>
    <row r="1837" spans="1:7" x14ac:dyDescent="0.3">
      <c r="A1837" s="172" t="s">
        <v>4446</v>
      </c>
      <c r="B1837" s="115" t="s">
        <v>4447</v>
      </c>
      <c r="C1837" s="116">
        <v>241732.99</v>
      </c>
      <c r="E1837" s="154"/>
      <c r="F1837" s="154"/>
      <c r="G1837" s="154"/>
    </row>
    <row r="1838" spans="1:7" x14ac:dyDescent="0.3">
      <c r="A1838" s="172" t="s">
        <v>4448</v>
      </c>
      <c r="B1838" s="115" t="s">
        <v>4449</v>
      </c>
      <c r="C1838" s="116">
        <v>-3757897.98</v>
      </c>
      <c r="E1838" s="154"/>
      <c r="F1838" s="154"/>
      <c r="G1838" s="154"/>
    </row>
    <row r="1839" spans="1:7" x14ac:dyDescent="0.3">
      <c r="A1839" s="172" t="s">
        <v>4450</v>
      </c>
      <c r="B1839" s="115" t="s">
        <v>4451</v>
      </c>
      <c r="C1839" s="116">
        <v>244739</v>
      </c>
      <c r="E1839" s="154"/>
      <c r="F1839" s="154"/>
      <c r="G1839" s="154"/>
    </row>
    <row r="1840" spans="1:7" x14ac:dyDescent="0.3">
      <c r="A1840" s="172" t="s">
        <v>4452</v>
      </c>
      <c r="B1840" s="115" t="s">
        <v>4453</v>
      </c>
      <c r="C1840" s="116">
        <v>158404</v>
      </c>
      <c r="E1840" s="154"/>
      <c r="F1840" s="154"/>
      <c r="G1840" s="154"/>
    </row>
    <row r="1841" spans="1:7" x14ac:dyDescent="0.3">
      <c r="A1841" s="172" t="s">
        <v>4454</v>
      </c>
      <c r="B1841" s="115" t="s">
        <v>4455</v>
      </c>
      <c r="C1841" s="116">
        <v>203920</v>
      </c>
      <c r="E1841" s="154"/>
      <c r="F1841" s="154"/>
      <c r="G1841" s="154"/>
    </row>
    <row r="1842" spans="1:7" x14ac:dyDescent="0.3">
      <c r="A1842" s="172" t="s">
        <v>4456</v>
      </c>
      <c r="B1842" s="115" t="s">
        <v>4457</v>
      </c>
      <c r="C1842" s="116">
        <v>62156.88</v>
      </c>
      <c r="E1842" s="154"/>
      <c r="F1842" s="154"/>
      <c r="G1842" s="154"/>
    </row>
    <row r="1843" spans="1:7" x14ac:dyDescent="0.3">
      <c r="A1843" s="172" t="s">
        <v>4458</v>
      </c>
      <c r="B1843" s="115" t="s">
        <v>4459</v>
      </c>
      <c r="C1843" s="116">
        <v>111138.55</v>
      </c>
      <c r="E1843" s="154"/>
      <c r="F1843" s="154"/>
      <c r="G1843" s="154"/>
    </row>
    <row r="1844" spans="1:7" x14ac:dyDescent="0.3">
      <c r="A1844" s="172" t="s">
        <v>4460</v>
      </c>
      <c r="B1844" s="115" t="s">
        <v>4461</v>
      </c>
      <c r="C1844" s="116">
        <v>27848</v>
      </c>
      <c r="E1844" s="154"/>
      <c r="F1844" s="154"/>
      <c r="G1844" s="154"/>
    </row>
    <row r="1845" spans="1:7" x14ac:dyDescent="0.3">
      <c r="A1845" s="172" t="s">
        <v>4462</v>
      </c>
      <c r="B1845" s="115" t="s">
        <v>4463</v>
      </c>
      <c r="C1845" s="116">
        <v>208025.22</v>
      </c>
      <c r="E1845" s="154"/>
      <c r="F1845" s="154"/>
      <c r="G1845" s="154"/>
    </row>
    <row r="1846" spans="1:7" x14ac:dyDescent="0.3">
      <c r="A1846" s="172" t="s">
        <v>4464</v>
      </c>
      <c r="B1846" s="115" t="s">
        <v>4465</v>
      </c>
      <c r="C1846" s="116">
        <v>0</v>
      </c>
      <c r="E1846" s="154"/>
      <c r="F1846" s="154"/>
      <c r="G1846" s="154"/>
    </row>
    <row r="1847" spans="1:7" x14ac:dyDescent="0.3">
      <c r="A1847" s="172" t="s">
        <v>957</v>
      </c>
      <c r="B1847" s="115" t="s">
        <v>4466</v>
      </c>
      <c r="C1847" s="116">
        <v>-5125799.0999999996</v>
      </c>
      <c r="E1847" s="154"/>
      <c r="F1847" s="154"/>
      <c r="G1847" s="154"/>
    </row>
    <row r="1848" spans="1:7" x14ac:dyDescent="0.3">
      <c r="A1848" s="172" t="s">
        <v>4467</v>
      </c>
      <c r="B1848" s="115" t="s">
        <v>4468</v>
      </c>
      <c r="C1848" s="116">
        <v>0</v>
      </c>
      <c r="E1848" s="154"/>
      <c r="F1848" s="154"/>
      <c r="G1848" s="154"/>
    </row>
    <row r="1849" spans="1:7" x14ac:dyDescent="0.3">
      <c r="A1849" s="172" t="s">
        <v>4469</v>
      </c>
      <c r="B1849" s="115" t="s">
        <v>4470</v>
      </c>
      <c r="C1849" s="116">
        <v>270219.31</v>
      </c>
      <c r="E1849" s="154"/>
      <c r="F1849" s="154"/>
      <c r="G1849" s="154"/>
    </row>
    <row r="1850" spans="1:7" x14ac:dyDescent="0.3">
      <c r="A1850" s="172" t="s">
        <v>4471</v>
      </c>
      <c r="B1850" s="115" t="s">
        <v>4472</v>
      </c>
      <c r="C1850" s="116">
        <v>15243</v>
      </c>
      <c r="E1850" s="154"/>
      <c r="F1850" s="154"/>
      <c r="G1850" s="154"/>
    </row>
    <row r="1851" spans="1:7" x14ac:dyDescent="0.3">
      <c r="A1851" s="172" t="s">
        <v>4473</v>
      </c>
      <c r="B1851" s="115" t="s">
        <v>4474</v>
      </c>
      <c r="C1851" s="116">
        <v>279674.8</v>
      </c>
      <c r="E1851" s="154"/>
      <c r="F1851" s="154"/>
      <c r="G1851" s="154"/>
    </row>
    <row r="1852" spans="1:7" x14ac:dyDescent="0.3">
      <c r="A1852" s="172" t="s">
        <v>4475</v>
      </c>
      <c r="B1852" s="115" t="s">
        <v>4476</v>
      </c>
      <c r="C1852" s="116">
        <v>-56347055</v>
      </c>
      <c r="E1852" s="154"/>
      <c r="F1852" s="154"/>
      <c r="G1852" s="154"/>
    </row>
    <row r="1853" spans="1:7" x14ac:dyDescent="0.3">
      <c r="A1853" s="172" t="s">
        <v>4477</v>
      </c>
      <c r="B1853" s="115" t="s">
        <v>4478</v>
      </c>
      <c r="C1853" s="116">
        <v>13661.5</v>
      </c>
      <c r="E1853" s="154"/>
      <c r="F1853" s="154"/>
      <c r="G1853" s="154"/>
    </row>
    <row r="1854" spans="1:7" x14ac:dyDescent="0.3">
      <c r="A1854" s="172" t="s">
        <v>4479</v>
      </c>
      <c r="B1854" s="115" t="s">
        <v>4480</v>
      </c>
      <c r="C1854" s="116">
        <v>345371.97</v>
      </c>
      <c r="E1854" s="154"/>
      <c r="F1854" s="154"/>
      <c r="G1854" s="154"/>
    </row>
    <row r="1855" spans="1:7" x14ac:dyDescent="0.3">
      <c r="A1855" s="172" t="s">
        <v>4481</v>
      </c>
      <c r="B1855" s="115" t="s">
        <v>4482</v>
      </c>
      <c r="C1855" s="116">
        <v>0</v>
      </c>
      <c r="E1855" s="154"/>
      <c r="F1855" s="154"/>
      <c r="G1855" s="154"/>
    </row>
    <row r="1856" spans="1:7" x14ac:dyDescent="0.3">
      <c r="A1856" s="172" t="s">
        <v>4483</v>
      </c>
      <c r="B1856" s="115" t="s">
        <v>4484</v>
      </c>
      <c r="C1856" s="116">
        <v>115500</v>
      </c>
      <c r="E1856" s="154"/>
      <c r="F1856" s="154"/>
      <c r="G1856" s="154"/>
    </row>
    <row r="1857" spans="1:7" x14ac:dyDescent="0.3">
      <c r="A1857" s="173" t="s">
        <v>4485</v>
      </c>
      <c r="B1857" s="20" t="s">
        <v>4486</v>
      </c>
      <c r="C1857" s="116">
        <v>123487.3</v>
      </c>
      <c r="E1857" s="154"/>
      <c r="F1857" s="154"/>
      <c r="G1857" s="154"/>
    </row>
    <row r="1858" spans="1:7" x14ac:dyDescent="0.3">
      <c r="A1858" s="172" t="s">
        <v>4487</v>
      </c>
      <c r="B1858" s="115" t="s">
        <v>4488</v>
      </c>
      <c r="C1858" s="116">
        <v>0</v>
      </c>
      <c r="E1858" s="154"/>
      <c r="F1858" s="154"/>
      <c r="G1858" s="154"/>
    </row>
    <row r="1859" spans="1:7" x14ac:dyDescent="0.3">
      <c r="A1859" s="172" t="s">
        <v>4489</v>
      </c>
      <c r="B1859" s="115" t="s">
        <v>4490</v>
      </c>
      <c r="C1859" s="116">
        <v>0</v>
      </c>
      <c r="E1859" s="154"/>
      <c r="F1859" s="154"/>
      <c r="G1859" s="154"/>
    </row>
    <row r="1860" spans="1:7" x14ac:dyDescent="0.3">
      <c r="A1860" s="172" t="s">
        <v>4491</v>
      </c>
      <c r="B1860" s="115" t="s">
        <v>4492</v>
      </c>
      <c r="C1860" s="116">
        <v>131956.35999999999</v>
      </c>
      <c r="E1860" s="154"/>
      <c r="F1860" s="154"/>
      <c r="G1860" s="154"/>
    </row>
    <row r="1861" spans="1:7" x14ac:dyDescent="0.3">
      <c r="A1861" s="172" t="s">
        <v>4493</v>
      </c>
      <c r="B1861" s="115" t="s">
        <v>4494</v>
      </c>
      <c r="C1861" s="116">
        <v>86858.5</v>
      </c>
      <c r="E1861" s="154"/>
      <c r="F1861" s="154"/>
      <c r="G1861" s="154"/>
    </row>
    <row r="1862" spans="1:7" x14ac:dyDescent="0.3">
      <c r="A1862" s="172" t="s">
        <v>4495</v>
      </c>
      <c r="B1862" s="115" t="s">
        <v>4496</v>
      </c>
      <c r="C1862" s="116">
        <v>0</v>
      </c>
      <c r="E1862" s="154"/>
      <c r="F1862" s="154"/>
      <c r="G1862" s="154"/>
    </row>
    <row r="1863" spans="1:7" x14ac:dyDescent="0.3">
      <c r="A1863" s="172" t="s">
        <v>4497</v>
      </c>
      <c r="B1863" s="115" t="s">
        <v>4498</v>
      </c>
      <c r="C1863" s="116">
        <v>0</v>
      </c>
      <c r="E1863" s="154"/>
      <c r="F1863" s="154"/>
      <c r="G1863" s="154"/>
    </row>
    <row r="1864" spans="1:7" x14ac:dyDescent="0.3">
      <c r="A1864" s="172" t="s">
        <v>4499</v>
      </c>
      <c r="B1864" s="115" t="s">
        <v>4500</v>
      </c>
      <c r="C1864" s="116">
        <v>61298.98</v>
      </c>
      <c r="E1864" s="154"/>
      <c r="F1864" s="154"/>
      <c r="G1864" s="154"/>
    </row>
    <row r="1865" spans="1:7" x14ac:dyDescent="0.3">
      <c r="A1865" s="172" t="s">
        <v>4501</v>
      </c>
      <c r="B1865" s="115" t="s">
        <v>4502</v>
      </c>
      <c r="C1865" s="116">
        <v>0</v>
      </c>
      <c r="E1865" s="154"/>
      <c r="F1865" s="154"/>
      <c r="G1865" s="154"/>
    </row>
    <row r="1866" spans="1:7" x14ac:dyDescent="0.3">
      <c r="A1866" s="172" t="s">
        <v>4503</v>
      </c>
      <c r="B1866" s="115" t="s">
        <v>4504</v>
      </c>
      <c r="C1866" s="116">
        <v>0</v>
      </c>
      <c r="E1866" s="154"/>
      <c r="F1866" s="154"/>
      <c r="G1866" s="154"/>
    </row>
    <row r="1867" spans="1:7" x14ac:dyDescent="0.3">
      <c r="A1867" s="172" t="s">
        <v>4505</v>
      </c>
      <c r="B1867" s="115" t="s">
        <v>4506</v>
      </c>
      <c r="C1867" s="116">
        <v>10000</v>
      </c>
      <c r="E1867" s="154"/>
      <c r="F1867" s="154"/>
      <c r="G1867" s="154"/>
    </row>
    <row r="1868" spans="1:7" x14ac:dyDescent="0.3">
      <c r="A1868" s="172" t="s">
        <v>4507</v>
      </c>
      <c r="B1868" s="115" t="s">
        <v>4508</v>
      </c>
      <c r="C1868" s="116">
        <v>0</v>
      </c>
      <c r="E1868" s="154"/>
      <c r="F1868" s="154"/>
      <c r="G1868" s="154"/>
    </row>
    <row r="1869" spans="1:7" x14ac:dyDescent="0.3">
      <c r="A1869" s="172" t="s">
        <v>4509</v>
      </c>
      <c r="B1869" s="115" t="s">
        <v>4510</v>
      </c>
      <c r="C1869" s="116">
        <v>0</v>
      </c>
      <c r="E1869" s="154"/>
      <c r="F1869" s="154"/>
      <c r="G1869" s="154"/>
    </row>
    <row r="1870" spans="1:7" x14ac:dyDescent="0.3">
      <c r="A1870" s="172" t="s">
        <v>4511</v>
      </c>
      <c r="B1870" s="115" t="s">
        <v>4512</v>
      </c>
      <c r="C1870" s="116">
        <v>0</v>
      </c>
      <c r="E1870" s="154"/>
      <c r="F1870" s="154"/>
      <c r="G1870" s="154"/>
    </row>
    <row r="1871" spans="1:7" x14ac:dyDescent="0.3">
      <c r="A1871" s="172" t="s">
        <v>4513</v>
      </c>
      <c r="B1871" s="115" t="s">
        <v>4514</v>
      </c>
      <c r="C1871" s="116">
        <v>0</v>
      </c>
      <c r="E1871" s="154"/>
      <c r="F1871" s="154"/>
      <c r="G1871" s="154"/>
    </row>
    <row r="1872" spans="1:7" x14ac:dyDescent="0.3">
      <c r="A1872" s="172" t="s">
        <v>4515</v>
      </c>
      <c r="B1872" s="115" t="s">
        <v>4516</v>
      </c>
      <c r="C1872" s="116">
        <v>2618</v>
      </c>
      <c r="E1872" s="154"/>
      <c r="F1872" s="154"/>
      <c r="G1872" s="154"/>
    </row>
    <row r="1873" spans="1:7" x14ac:dyDescent="0.3">
      <c r="A1873" s="172" t="s">
        <v>624</v>
      </c>
      <c r="B1873" s="115" t="s">
        <v>625</v>
      </c>
      <c r="C1873" s="116">
        <v>0</v>
      </c>
      <c r="E1873" s="154"/>
      <c r="F1873" s="154"/>
      <c r="G1873" s="154"/>
    </row>
    <row r="1874" spans="1:7" x14ac:dyDescent="0.3">
      <c r="A1874" s="172" t="s">
        <v>4517</v>
      </c>
      <c r="B1874" s="115" t="s">
        <v>4518</v>
      </c>
      <c r="C1874" s="116">
        <v>0</v>
      </c>
      <c r="E1874" s="154"/>
      <c r="F1874" s="154"/>
      <c r="G1874" s="154"/>
    </row>
    <row r="1875" spans="1:7" x14ac:dyDescent="0.3">
      <c r="A1875" s="172" t="s">
        <v>718</v>
      </c>
      <c r="B1875" s="115" t="s">
        <v>719</v>
      </c>
      <c r="C1875" s="116">
        <v>0</v>
      </c>
      <c r="E1875" s="154"/>
      <c r="F1875" s="154"/>
      <c r="G1875" s="154"/>
    </row>
    <row r="1876" spans="1:7" x14ac:dyDescent="0.3">
      <c r="A1876" s="172" t="s">
        <v>4519</v>
      </c>
      <c r="B1876" s="115" t="s">
        <v>4520</v>
      </c>
      <c r="C1876" s="116">
        <v>0</v>
      </c>
      <c r="E1876" s="154"/>
      <c r="F1876" s="154"/>
      <c r="G1876" s="154"/>
    </row>
    <row r="1877" spans="1:7" x14ac:dyDescent="0.3">
      <c r="A1877" s="172" t="s">
        <v>4521</v>
      </c>
      <c r="B1877" s="115" t="s">
        <v>4522</v>
      </c>
      <c r="C1877" s="116">
        <v>0</v>
      </c>
      <c r="E1877" s="154"/>
      <c r="F1877" s="154"/>
      <c r="G1877" s="154"/>
    </row>
    <row r="1878" spans="1:7" x14ac:dyDescent="0.3">
      <c r="A1878" s="172" t="s">
        <v>4523</v>
      </c>
      <c r="B1878" s="115" t="s">
        <v>4524</v>
      </c>
      <c r="C1878" s="116">
        <v>0</v>
      </c>
      <c r="E1878" s="154"/>
      <c r="F1878" s="154"/>
      <c r="G1878" s="154"/>
    </row>
    <row r="1879" spans="1:7" x14ac:dyDescent="0.3">
      <c r="A1879" s="172" t="s">
        <v>4525</v>
      </c>
      <c r="B1879" s="115" t="s">
        <v>4526</v>
      </c>
      <c r="C1879" s="116">
        <v>0</v>
      </c>
      <c r="E1879" s="154"/>
      <c r="F1879" s="154"/>
      <c r="G1879" s="154"/>
    </row>
    <row r="1880" spans="1:7" x14ac:dyDescent="0.3">
      <c r="A1880" s="172" t="s">
        <v>4527</v>
      </c>
      <c r="B1880" s="115" t="s">
        <v>4528</v>
      </c>
      <c r="C1880" s="116">
        <v>0</v>
      </c>
      <c r="E1880" s="154"/>
      <c r="F1880" s="154"/>
      <c r="G1880" s="154"/>
    </row>
    <row r="1881" spans="1:7" x14ac:dyDescent="0.3">
      <c r="A1881" s="172" t="s">
        <v>4529</v>
      </c>
      <c r="B1881" s="115" t="s">
        <v>4530</v>
      </c>
      <c r="C1881" s="116">
        <v>0</v>
      </c>
      <c r="E1881" s="154"/>
      <c r="F1881" s="154"/>
      <c r="G1881" s="154"/>
    </row>
    <row r="1882" spans="1:7" x14ac:dyDescent="0.3">
      <c r="A1882" s="172" t="s">
        <v>4531</v>
      </c>
      <c r="B1882" s="115" t="s">
        <v>4532</v>
      </c>
      <c r="C1882" s="116">
        <v>0</v>
      </c>
      <c r="E1882" s="154"/>
      <c r="F1882" s="154"/>
      <c r="G1882" s="154"/>
    </row>
    <row r="1883" spans="1:7" x14ac:dyDescent="0.3">
      <c r="A1883" s="172" t="s">
        <v>4533</v>
      </c>
      <c r="B1883" s="115" t="s">
        <v>4534</v>
      </c>
      <c r="C1883" s="116">
        <v>0</v>
      </c>
      <c r="E1883" s="154"/>
      <c r="F1883" s="154"/>
      <c r="G1883" s="154"/>
    </row>
    <row r="1884" spans="1:7" x14ac:dyDescent="0.3">
      <c r="A1884" s="172" t="s">
        <v>4535</v>
      </c>
      <c r="B1884" s="115" t="s">
        <v>4536</v>
      </c>
      <c r="C1884" s="116">
        <v>0</v>
      </c>
      <c r="E1884" s="154"/>
      <c r="F1884" s="154"/>
      <c r="G1884" s="154"/>
    </row>
    <row r="1885" spans="1:7" x14ac:dyDescent="0.3">
      <c r="A1885" s="172" t="s">
        <v>4537</v>
      </c>
      <c r="B1885" s="115" t="s">
        <v>4538</v>
      </c>
      <c r="C1885" s="116">
        <v>0</v>
      </c>
      <c r="E1885" s="154"/>
      <c r="F1885" s="154"/>
      <c r="G1885" s="154"/>
    </row>
    <row r="1886" spans="1:7" x14ac:dyDescent="0.3">
      <c r="A1886" s="172" t="s">
        <v>4539</v>
      </c>
      <c r="B1886" s="115" t="s">
        <v>4540</v>
      </c>
      <c r="C1886" s="116">
        <v>0</v>
      </c>
      <c r="E1886" s="154"/>
      <c r="F1886" s="154"/>
      <c r="G1886" s="154"/>
    </row>
    <row r="1887" spans="1:7" x14ac:dyDescent="0.3">
      <c r="A1887" s="172" t="s">
        <v>4541</v>
      </c>
      <c r="B1887" s="115" t="s">
        <v>4542</v>
      </c>
      <c r="C1887" s="116">
        <v>0</v>
      </c>
      <c r="E1887" s="154"/>
      <c r="F1887" s="154"/>
      <c r="G1887" s="154"/>
    </row>
    <row r="1888" spans="1:7" x14ac:dyDescent="0.3">
      <c r="A1888" s="172" t="s">
        <v>4543</v>
      </c>
      <c r="B1888" s="115" t="s">
        <v>4544</v>
      </c>
      <c r="C1888" s="116">
        <v>0</v>
      </c>
      <c r="E1888" s="154"/>
      <c r="F1888" s="154"/>
      <c r="G1888" s="154"/>
    </row>
    <row r="1889" spans="1:7" x14ac:dyDescent="0.3">
      <c r="A1889" s="172" t="s">
        <v>4545</v>
      </c>
      <c r="B1889" s="115" t="s">
        <v>4546</v>
      </c>
      <c r="C1889" s="116">
        <v>0</v>
      </c>
      <c r="E1889" s="154"/>
      <c r="F1889" s="154"/>
      <c r="G1889" s="154"/>
    </row>
    <row r="1890" spans="1:7" x14ac:dyDescent="0.3">
      <c r="A1890" s="172" t="s">
        <v>4547</v>
      </c>
      <c r="B1890" s="115" t="s">
        <v>4548</v>
      </c>
      <c r="C1890" s="116">
        <v>0</v>
      </c>
      <c r="E1890" s="154"/>
      <c r="F1890" s="154"/>
      <c r="G1890" s="154"/>
    </row>
    <row r="1891" spans="1:7" x14ac:dyDescent="0.3">
      <c r="A1891" s="172" t="s">
        <v>4549</v>
      </c>
      <c r="B1891" s="115" t="s">
        <v>4550</v>
      </c>
      <c r="C1891" s="116">
        <v>0</v>
      </c>
      <c r="E1891" s="154"/>
      <c r="F1891" s="154"/>
      <c r="G1891" s="154"/>
    </row>
    <row r="1892" spans="1:7" x14ac:dyDescent="0.3">
      <c r="A1892" s="172" t="s">
        <v>4551</v>
      </c>
      <c r="B1892" s="115" t="s">
        <v>4552</v>
      </c>
      <c r="C1892" s="116">
        <v>0</v>
      </c>
      <c r="E1892" s="154"/>
      <c r="F1892" s="154"/>
      <c r="G1892" s="154"/>
    </row>
    <row r="1893" spans="1:7" x14ac:dyDescent="0.3">
      <c r="A1893" s="172" t="s">
        <v>4553</v>
      </c>
      <c r="B1893" s="115" t="s">
        <v>4554</v>
      </c>
      <c r="C1893" s="116">
        <v>0</v>
      </c>
      <c r="E1893" s="154"/>
      <c r="F1893" s="154"/>
      <c r="G1893" s="154"/>
    </row>
    <row r="1894" spans="1:7" x14ac:dyDescent="0.3">
      <c r="A1894" s="172" t="s">
        <v>4555</v>
      </c>
      <c r="B1894" s="115" t="s">
        <v>4556</v>
      </c>
      <c r="C1894" s="116">
        <v>0</v>
      </c>
      <c r="E1894" s="154"/>
      <c r="F1894" s="154"/>
      <c r="G1894" s="154"/>
    </row>
    <row r="1895" spans="1:7" x14ac:dyDescent="0.3">
      <c r="A1895" s="172" t="s">
        <v>4557</v>
      </c>
      <c r="B1895" s="115" t="s">
        <v>4558</v>
      </c>
      <c r="C1895" s="116">
        <v>0</v>
      </c>
      <c r="E1895" s="154"/>
      <c r="F1895" s="154"/>
      <c r="G1895" s="154"/>
    </row>
    <row r="1896" spans="1:7" x14ac:dyDescent="0.3">
      <c r="A1896" s="172" t="s">
        <v>4559</v>
      </c>
      <c r="B1896" s="115" t="s">
        <v>4560</v>
      </c>
      <c r="C1896" s="116">
        <v>0</v>
      </c>
      <c r="E1896" s="154"/>
      <c r="F1896" s="154"/>
      <c r="G1896" s="154"/>
    </row>
    <row r="1897" spans="1:7" x14ac:dyDescent="0.3">
      <c r="A1897" s="172" t="s">
        <v>4561</v>
      </c>
      <c r="B1897" s="115" t="s">
        <v>4562</v>
      </c>
      <c r="C1897" s="116">
        <v>0</v>
      </c>
      <c r="E1897" s="154"/>
      <c r="F1897" s="154"/>
      <c r="G1897" s="154"/>
    </row>
    <row r="1898" spans="1:7" x14ac:dyDescent="0.3">
      <c r="A1898" s="172" t="s">
        <v>4563</v>
      </c>
      <c r="B1898" s="115" t="s">
        <v>4564</v>
      </c>
      <c r="C1898" s="116">
        <v>0</v>
      </c>
      <c r="E1898" s="154"/>
      <c r="F1898" s="154"/>
      <c r="G1898" s="154"/>
    </row>
    <row r="1899" spans="1:7" x14ac:dyDescent="0.3">
      <c r="A1899" s="172" t="s">
        <v>4565</v>
      </c>
      <c r="B1899" s="115" t="s">
        <v>4566</v>
      </c>
      <c r="C1899" s="116">
        <v>109531.5</v>
      </c>
      <c r="E1899" s="154"/>
      <c r="F1899" s="154"/>
      <c r="G1899" s="154"/>
    </row>
    <row r="1900" spans="1:7" x14ac:dyDescent="0.3">
      <c r="A1900" s="172" t="s">
        <v>4567</v>
      </c>
      <c r="B1900" s="115" t="s">
        <v>4568</v>
      </c>
      <c r="C1900" s="116">
        <v>0</v>
      </c>
      <c r="E1900" s="154"/>
      <c r="F1900" s="154"/>
      <c r="G1900" s="154"/>
    </row>
    <row r="1901" spans="1:7" x14ac:dyDescent="0.3">
      <c r="A1901" s="172" t="s">
        <v>4569</v>
      </c>
      <c r="B1901" s="115" t="s">
        <v>4570</v>
      </c>
      <c r="C1901" s="116">
        <v>-1063204.98</v>
      </c>
      <c r="E1901" s="154"/>
      <c r="F1901" s="154"/>
      <c r="G1901" s="154"/>
    </row>
    <row r="1902" spans="1:7" x14ac:dyDescent="0.3">
      <c r="A1902" s="172" t="s">
        <v>996</v>
      </c>
      <c r="B1902" s="115" t="s">
        <v>997</v>
      </c>
      <c r="C1902" s="116">
        <v>-3900553.42</v>
      </c>
      <c r="E1902" s="154"/>
      <c r="F1902" s="154"/>
      <c r="G1902" s="154"/>
    </row>
    <row r="1903" spans="1:7" x14ac:dyDescent="0.3">
      <c r="A1903" s="172" t="s">
        <v>4571</v>
      </c>
      <c r="B1903" s="115" t="s">
        <v>4572</v>
      </c>
      <c r="C1903" s="116">
        <v>22230455.98</v>
      </c>
      <c r="E1903" s="154"/>
      <c r="F1903" s="154"/>
      <c r="G1903" s="154"/>
    </row>
    <row r="1904" spans="1:7" x14ac:dyDescent="0.3">
      <c r="A1904" s="172" t="s">
        <v>4573</v>
      </c>
      <c r="B1904" s="115" t="s">
        <v>4574</v>
      </c>
      <c r="C1904" s="116">
        <v>274292</v>
      </c>
      <c r="E1904" s="154"/>
      <c r="F1904" s="154"/>
      <c r="G1904" s="154"/>
    </row>
    <row r="1905" spans="1:7" x14ac:dyDescent="0.3">
      <c r="A1905" s="172" t="s">
        <v>4575</v>
      </c>
      <c r="B1905" s="115" t="s">
        <v>4576</v>
      </c>
      <c r="C1905" s="116">
        <v>173213.3</v>
      </c>
      <c r="E1905" s="154"/>
      <c r="F1905" s="154"/>
      <c r="G1905" s="154"/>
    </row>
    <row r="1906" spans="1:7" x14ac:dyDescent="0.3">
      <c r="A1906" s="172" t="s">
        <v>4577</v>
      </c>
      <c r="B1906" s="115" t="s">
        <v>4578</v>
      </c>
      <c r="C1906" s="116">
        <v>-0.4</v>
      </c>
      <c r="E1906" s="154"/>
      <c r="F1906" s="154"/>
      <c r="G1906" s="154"/>
    </row>
    <row r="1907" spans="1:7" x14ac:dyDescent="0.3">
      <c r="A1907" s="172" t="s">
        <v>4579</v>
      </c>
      <c r="B1907" s="115" t="s">
        <v>4580</v>
      </c>
      <c r="C1907" s="116">
        <v>55500.15</v>
      </c>
      <c r="E1907" s="154"/>
      <c r="F1907" s="154"/>
      <c r="G1907" s="154"/>
    </row>
    <row r="1908" spans="1:7" x14ac:dyDescent="0.3">
      <c r="A1908" s="172" t="s">
        <v>4581</v>
      </c>
      <c r="B1908" s="115" t="s">
        <v>4582</v>
      </c>
      <c r="C1908" s="116">
        <v>14329881.140000001</v>
      </c>
      <c r="E1908" s="154"/>
      <c r="F1908" s="154"/>
      <c r="G1908" s="154"/>
    </row>
    <row r="1909" spans="1:7" x14ac:dyDescent="0.3">
      <c r="A1909" s="172" t="s">
        <v>4583</v>
      </c>
      <c r="B1909" s="115" t="s">
        <v>4584</v>
      </c>
      <c r="C1909" s="116">
        <v>12250</v>
      </c>
      <c r="E1909" s="154"/>
      <c r="F1909" s="154"/>
      <c r="G1909" s="154"/>
    </row>
    <row r="1910" spans="1:7" x14ac:dyDescent="0.3">
      <c r="A1910" s="172" t="s">
        <v>4585</v>
      </c>
      <c r="B1910" s="115" t="s">
        <v>4586</v>
      </c>
      <c r="C1910" s="116">
        <v>139747</v>
      </c>
      <c r="E1910" s="154"/>
      <c r="F1910" s="154"/>
      <c r="G1910" s="154"/>
    </row>
    <row r="1911" spans="1:7" x14ac:dyDescent="0.3">
      <c r="A1911" s="172" t="s">
        <v>1028</v>
      </c>
      <c r="B1911" s="115" t="s">
        <v>1029</v>
      </c>
      <c r="C1911" s="116">
        <v>-7087909.04</v>
      </c>
      <c r="E1911" s="154"/>
      <c r="F1911" s="154"/>
      <c r="G1911" s="154"/>
    </row>
    <row r="1912" spans="1:7" x14ac:dyDescent="0.3">
      <c r="A1912" s="172" t="s">
        <v>4587</v>
      </c>
      <c r="B1912" s="115" t="s">
        <v>4588</v>
      </c>
      <c r="C1912" s="116">
        <v>261385.43</v>
      </c>
      <c r="E1912" s="154"/>
      <c r="F1912" s="154"/>
      <c r="G1912" s="154"/>
    </row>
    <row r="1913" spans="1:7" x14ac:dyDescent="0.3">
      <c r="A1913" s="172" t="s">
        <v>4589</v>
      </c>
      <c r="B1913" s="115" t="s">
        <v>4590</v>
      </c>
      <c r="C1913" s="116">
        <v>610904.5</v>
      </c>
      <c r="E1913" s="154"/>
      <c r="F1913" s="154"/>
      <c r="G1913" s="154"/>
    </row>
    <row r="1914" spans="1:7" x14ac:dyDescent="0.3">
      <c r="A1914" s="172" t="s">
        <v>4591</v>
      </c>
      <c r="B1914" s="115" t="s">
        <v>4592</v>
      </c>
      <c r="C1914" s="116">
        <v>0</v>
      </c>
      <c r="E1914" s="154"/>
      <c r="F1914" s="154"/>
      <c r="G1914" s="154"/>
    </row>
    <row r="1915" spans="1:7" x14ac:dyDescent="0.3">
      <c r="A1915" s="172" t="s">
        <v>4593</v>
      </c>
      <c r="B1915" s="115" t="s">
        <v>4594</v>
      </c>
      <c r="C1915" s="116">
        <v>21639.79</v>
      </c>
      <c r="E1915" s="154"/>
      <c r="F1915" s="154"/>
      <c r="G1915" s="154"/>
    </row>
    <row r="1916" spans="1:7" x14ac:dyDescent="0.3">
      <c r="A1916" s="172" t="s">
        <v>4595</v>
      </c>
      <c r="B1916" s="115" t="s">
        <v>4596</v>
      </c>
      <c r="C1916" s="116">
        <v>111672.97</v>
      </c>
      <c r="E1916" s="154"/>
      <c r="F1916" s="154"/>
      <c r="G1916" s="154"/>
    </row>
    <row r="1917" spans="1:7" x14ac:dyDescent="0.3">
      <c r="A1917" s="172" t="s">
        <v>4597</v>
      </c>
      <c r="B1917" s="115" t="s">
        <v>4598</v>
      </c>
      <c r="C1917" s="116">
        <v>313595</v>
      </c>
      <c r="E1917" s="154"/>
      <c r="F1917" s="154"/>
      <c r="G1917" s="154"/>
    </row>
    <row r="1918" spans="1:7" x14ac:dyDescent="0.3">
      <c r="A1918" s="172" t="s">
        <v>4599</v>
      </c>
      <c r="B1918" s="115" t="s">
        <v>4600</v>
      </c>
      <c r="C1918" s="116">
        <v>15204.15</v>
      </c>
      <c r="E1918" s="154"/>
      <c r="F1918" s="154"/>
      <c r="G1918" s="154"/>
    </row>
    <row r="1919" spans="1:7" x14ac:dyDescent="0.3">
      <c r="A1919" s="172" t="s">
        <v>4601</v>
      </c>
      <c r="B1919" s="115" t="s">
        <v>4602</v>
      </c>
      <c r="C1919" s="116">
        <v>0</v>
      </c>
      <c r="E1919" s="154"/>
      <c r="F1919" s="154"/>
      <c r="G1919" s="154"/>
    </row>
    <row r="1920" spans="1:7" x14ac:dyDescent="0.3">
      <c r="A1920" s="172" t="s">
        <v>4603</v>
      </c>
      <c r="B1920" s="115" t="s">
        <v>4604</v>
      </c>
      <c r="C1920" s="116">
        <v>416143.41</v>
      </c>
      <c r="E1920" s="154"/>
      <c r="F1920" s="154"/>
      <c r="G1920" s="154"/>
    </row>
    <row r="1921" spans="1:7" x14ac:dyDescent="0.3">
      <c r="A1921" s="172" t="s">
        <v>4605</v>
      </c>
      <c r="B1921" s="115" t="s">
        <v>4606</v>
      </c>
      <c r="C1921" s="116">
        <v>92840</v>
      </c>
      <c r="E1921" s="154"/>
      <c r="F1921" s="154"/>
      <c r="G1921" s="154"/>
    </row>
    <row r="1922" spans="1:7" x14ac:dyDescent="0.3">
      <c r="A1922" s="172" t="s">
        <v>4607</v>
      </c>
      <c r="B1922" s="115" t="s">
        <v>4608</v>
      </c>
      <c r="C1922" s="116">
        <v>203407.65</v>
      </c>
      <c r="E1922" s="154"/>
      <c r="F1922" s="154"/>
      <c r="G1922" s="154"/>
    </row>
    <row r="1923" spans="1:7" x14ac:dyDescent="0.3">
      <c r="A1923" s="172" t="s">
        <v>4609</v>
      </c>
      <c r="B1923" s="115" t="s">
        <v>4610</v>
      </c>
      <c r="C1923" s="116">
        <v>116711.1</v>
      </c>
      <c r="E1923" s="154"/>
      <c r="F1923" s="154"/>
      <c r="G1923" s="154"/>
    </row>
    <row r="1924" spans="1:7" x14ac:dyDescent="0.3">
      <c r="A1924" s="172" t="s">
        <v>4611</v>
      </c>
      <c r="B1924" s="115" t="s">
        <v>4612</v>
      </c>
      <c r="C1924" s="116">
        <v>3488.87</v>
      </c>
      <c r="E1924" s="154"/>
      <c r="F1924" s="154"/>
      <c r="G1924" s="154"/>
    </row>
    <row r="1925" spans="1:7" x14ac:dyDescent="0.3">
      <c r="A1925" s="172" t="s">
        <v>4613</v>
      </c>
      <c r="B1925" s="115" t="s">
        <v>4614</v>
      </c>
      <c r="C1925" s="116">
        <v>216286.36</v>
      </c>
      <c r="E1925" s="154"/>
      <c r="F1925" s="154"/>
      <c r="G1925" s="154"/>
    </row>
    <row r="1926" spans="1:7" x14ac:dyDescent="0.3">
      <c r="A1926" s="172" t="s">
        <v>4615</v>
      </c>
      <c r="B1926" s="115" t="s">
        <v>4616</v>
      </c>
      <c r="C1926" s="116">
        <v>2000</v>
      </c>
      <c r="E1926" s="154"/>
      <c r="F1926" s="154"/>
      <c r="G1926" s="154"/>
    </row>
    <row r="1927" spans="1:7" x14ac:dyDescent="0.3">
      <c r="A1927" s="172" t="s">
        <v>4617</v>
      </c>
      <c r="B1927" s="115" t="s">
        <v>4618</v>
      </c>
      <c r="C1927" s="116">
        <v>192505908.94999999</v>
      </c>
      <c r="E1927" s="154"/>
      <c r="F1927" s="154"/>
      <c r="G1927" s="154"/>
    </row>
    <row r="1928" spans="1:7" x14ac:dyDescent="0.3">
      <c r="A1928" s="172" t="s">
        <v>4619</v>
      </c>
      <c r="B1928" s="115" t="s">
        <v>4620</v>
      </c>
      <c r="C1928" s="116">
        <v>2420231.42</v>
      </c>
      <c r="E1928" s="154"/>
      <c r="F1928" s="154"/>
      <c r="G1928" s="154"/>
    </row>
    <row r="1929" spans="1:7" x14ac:dyDescent="0.3">
      <c r="A1929" s="172" t="s">
        <v>4621</v>
      </c>
      <c r="B1929" s="115" t="s">
        <v>4622</v>
      </c>
      <c r="C1929" s="116">
        <v>0</v>
      </c>
      <c r="E1929" s="154"/>
      <c r="F1929" s="154"/>
      <c r="G1929" s="154"/>
    </row>
    <row r="1930" spans="1:7" x14ac:dyDescent="0.3">
      <c r="A1930" s="172" t="s">
        <v>4623</v>
      </c>
      <c r="B1930" s="115" t="s">
        <v>4624</v>
      </c>
      <c r="C1930" s="116">
        <v>12100</v>
      </c>
      <c r="E1930" s="154"/>
      <c r="F1930" s="154"/>
      <c r="G1930" s="154"/>
    </row>
    <row r="1931" spans="1:7" x14ac:dyDescent="0.3">
      <c r="A1931" s="172" t="s">
        <v>4625</v>
      </c>
      <c r="B1931" s="115" t="s">
        <v>4626</v>
      </c>
      <c r="C1931" s="116">
        <v>47628.800000000003</v>
      </c>
      <c r="E1931" s="154"/>
      <c r="F1931" s="154"/>
      <c r="G1931" s="154"/>
    </row>
    <row r="1932" spans="1:7" x14ac:dyDescent="0.3">
      <c r="A1932" s="172" t="s">
        <v>4627</v>
      </c>
      <c r="B1932" s="115" t="s">
        <v>4628</v>
      </c>
      <c r="C1932" s="116">
        <v>99600</v>
      </c>
      <c r="E1932" s="154"/>
      <c r="F1932" s="154"/>
      <c r="G1932" s="154"/>
    </row>
    <row r="1933" spans="1:7" x14ac:dyDescent="0.3">
      <c r="A1933" s="172" t="s">
        <v>4629</v>
      </c>
      <c r="B1933" s="115" t="s">
        <v>4630</v>
      </c>
      <c r="C1933" s="116">
        <v>0</v>
      </c>
      <c r="E1933" s="154"/>
      <c r="F1933" s="154"/>
      <c r="G1933" s="154"/>
    </row>
    <row r="1934" spans="1:7" x14ac:dyDescent="0.3">
      <c r="A1934" s="172" t="s">
        <v>4631</v>
      </c>
      <c r="B1934" s="115" t="s">
        <v>4632</v>
      </c>
      <c r="C1934" s="116">
        <v>1</v>
      </c>
      <c r="E1934" s="154"/>
      <c r="F1934" s="154"/>
      <c r="G1934" s="154"/>
    </row>
    <row r="1935" spans="1:7" x14ac:dyDescent="0.3">
      <c r="A1935" s="172" t="s">
        <v>4633</v>
      </c>
      <c r="B1935" s="115" t="s">
        <v>4634</v>
      </c>
      <c r="C1935" s="116">
        <v>72318.67</v>
      </c>
      <c r="E1935" s="154"/>
      <c r="F1935" s="154"/>
      <c r="G1935" s="154"/>
    </row>
    <row r="1936" spans="1:7" x14ac:dyDescent="0.3">
      <c r="A1936" s="172" t="s">
        <v>4635</v>
      </c>
      <c r="B1936" s="115" t="s">
        <v>4636</v>
      </c>
      <c r="C1936" s="116">
        <v>3700</v>
      </c>
      <c r="E1936" s="154"/>
      <c r="F1936" s="154"/>
      <c r="G1936" s="154"/>
    </row>
    <row r="1937" spans="1:7" x14ac:dyDescent="0.3">
      <c r="A1937" s="172" t="s">
        <v>4637</v>
      </c>
      <c r="B1937" s="115" t="s">
        <v>4638</v>
      </c>
      <c r="C1937" s="116">
        <v>28850</v>
      </c>
      <c r="E1937" s="154"/>
      <c r="F1937" s="154"/>
      <c r="G1937" s="154"/>
    </row>
    <row r="1938" spans="1:7" x14ac:dyDescent="0.3">
      <c r="A1938" s="172" t="s">
        <v>4639</v>
      </c>
      <c r="B1938" s="115" t="s">
        <v>4640</v>
      </c>
      <c r="C1938" s="116">
        <v>144018</v>
      </c>
      <c r="E1938" s="154"/>
      <c r="F1938" s="154"/>
      <c r="G1938" s="154"/>
    </row>
    <row r="1939" spans="1:7" x14ac:dyDescent="0.3">
      <c r="A1939" s="172" t="s">
        <v>4641</v>
      </c>
      <c r="B1939" s="115" t="s">
        <v>4642</v>
      </c>
      <c r="C1939" s="116">
        <v>0</v>
      </c>
      <c r="E1939" s="154"/>
      <c r="F1939" s="154"/>
      <c r="G1939" s="154"/>
    </row>
    <row r="1940" spans="1:7" x14ac:dyDescent="0.3">
      <c r="A1940" s="172" t="s">
        <v>4643</v>
      </c>
      <c r="B1940" s="115" t="s">
        <v>4644</v>
      </c>
      <c r="C1940" s="116">
        <v>0</v>
      </c>
      <c r="E1940" s="154"/>
      <c r="F1940" s="154"/>
      <c r="G1940" s="154"/>
    </row>
    <row r="1941" spans="1:7" x14ac:dyDescent="0.3">
      <c r="A1941" s="172" t="s">
        <v>654</v>
      </c>
      <c r="B1941" s="115" t="s">
        <v>655</v>
      </c>
      <c r="C1941" s="116">
        <v>526.64</v>
      </c>
      <c r="E1941" s="154"/>
      <c r="F1941" s="154"/>
      <c r="G1941" s="154"/>
    </row>
    <row r="1942" spans="1:7" x14ac:dyDescent="0.3">
      <c r="A1942" s="172" t="s">
        <v>992</v>
      </c>
      <c r="B1942" s="115" t="s">
        <v>4645</v>
      </c>
      <c r="C1942" s="116">
        <v>-208065784.72999999</v>
      </c>
      <c r="E1942" s="154"/>
      <c r="F1942" s="154"/>
      <c r="G1942" s="154"/>
    </row>
    <row r="1943" spans="1:7" x14ac:dyDescent="0.3">
      <c r="A1943" s="172" t="s">
        <v>4646</v>
      </c>
      <c r="B1943" s="115" t="s">
        <v>4647</v>
      </c>
      <c r="C1943" s="116">
        <v>28890784.48</v>
      </c>
      <c r="E1943" s="154"/>
      <c r="F1943" s="154"/>
      <c r="G1943" s="154"/>
    </row>
    <row r="1944" spans="1:7" x14ac:dyDescent="0.3">
      <c r="A1944" s="172" t="s">
        <v>4648</v>
      </c>
      <c r="B1944" s="115" t="s">
        <v>4649</v>
      </c>
      <c r="C1944" s="116">
        <v>0</v>
      </c>
      <c r="E1944" s="154"/>
      <c r="F1944" s="154"/>
      <c r="G1944" s="154"/>
    </row>
    <row r="1945" spans="1:7" x14ac:dyDescent="0.3">
      <c r="A1945" s="172" t="s">
        <v>4650</v>
      </c>
      <c r="B1945" s="115" t="s">
        <v>4651</v>
      </c>
      <c r="C1945" s="116">
        <v>0</v>
      </c>
      <c r="E1945" s="154"/>
      <c r="F1945" s="154"/>
      <c r="G1945" s="154"/>
    </row>
    <row r="1946" spans="1:7" x14ac:dyDescent="0.3">
      <c r="A1946" s="172" t="s">
        <v>4652</v>
      </c>
      <c r="B1946" s="115" t="s">
        <v>4653</v>
      </c>
      <c r="C1946" s="116">
        <v>0</v>
      </c>
      <c r="E1946" s="154"/>
      <c r="F1946" s="154"/>
      <c r="G1946" s="154"/>
    </row>
    <row r="1947" spans="1:7" x14ac:dyDescent="0.3">
      <c r="A1947" s="172" t="s">
        <v>4654</v>
      </c>
      <c r="B1947" s="115" t="s">
        <v>4655</v>
      </c>
      <c r="C1947" s="116">
        <v>55569.3</v>
      </c>
      <c r="E1947" s="154"/>
      <c r="F1947" s="154"/>
      <c r="G1947" s="154"/>
    </row>
    <row r="1948" spans="1:7" x14ac:dyDescent="0.3">
      <c r="A1948" s="172" t="s">
        <v>4656</v>
      </c>
      <c r="B1948" s="115" t="s">
        <v>4657</v>
      </c>
      <c r="C1948" s="116">
        <v>0</v>
      </c>
      <c r="E1948" s="154"/>
      <c r="F1948" s="154"/>
      <c r="G1948" s="154"/>
    </row>
    <row r="1949" spans="1:7" x14ac:dyDescent="0.3">
      <c r="A1949" s="172" t="s">
        <v>4658</v>
      </c>
      <c r="B1949" s="115" t="s">
        <v>4659</v>
      </c>
      <c r="C1949" s="116">
        <v>0</v>
      </c>
      <c r="E1949" s="154"/>
      <c r="F1949" s="154"/>
      <c r="G1949" s="154"/>
    </row>
    <row r="1950" spans="1:7" x14ac:dyDescent="0.3">
      <c r="A1950" s="172" t="s">
        <v>4660</v>
      </c>
      <c r="B1950" s="115" t="s">
        <v>4661</v>
      </c>
      <c r="C1950" s="116">
        <v>0</v>
      </c>
      <c r="E1950" s="154"/>
      <c r="F1950" s="154"/>
      <c r="G1950" s="154"/>
    </row>
    <row r="1951" spans="1:7" x14ac:dyDescent="0.3">
      <c r="A1951" s="172" t="s">
        <v>530</v>
      </c>
      <c r="B1951" s="115" t="s">
        <v>531</v>
      </c>
      <c r="C1951" s="116">
        <v>0</v>
      </c>
      <c r="E1951" s="154"/>
      <c r="F1951" s="154"/>
      <c r="G1951" s="154"/>
    </row>
    <row r="1952" spans="1:7" x14ac:dyDescent="0.3">
      <c r="A1952" s="172" t="s">
        <v>4662</v>
      </c>
      <c r="B1952" s="115" t="s">
        <v>4663</v>
      </c>
      <c r="C1952" s="116">
        <v>112500</v>
      </c>
      <c r="E1952" s="154"/>
      <c r="F1952" s="154"/>
      <c r="G1952" s="154"/>
    </row>
    <row r="1953" spans="1:7" x14ac:dyDescent="0.3">
      <c r="A1953" s="172" t="s">
        <v>4664</v>
      </c>
      <c r="B1953" s="115" t="s">
        <v>4665</v>
      </c>
      <c r="C1953" s="116">
        <v>0</v>
      </c>
      <c r="E1953" s="154"/>
      <c r="F1953" s="154"/>
      <c r="G1953" s="154"/>
    </row>
    <row r="1954" spans="1:7" x14ac:dyDescent="0.3">
      <c r="A1954" s="172" t="s">
        <v>4666</v>
      </c>
      <c r="B1954" s="115" t="s">
        <v>4667</v>
      </c>
      <c r="C1954" s="116">
        <v>0</v>
      </c>
      <c r="E1954" s="154"/>
      <c r="F1954" s="154"/>
      <c r="G1954" s="154"/>
    </row>
    <row r="1955" spans="1:7" x14ac:dyDescent="0.3">
      <c r="A1955" s="172" t="s">
        <v>4668</v>
      </c>
      <c r="B1955" s="115" t="s">
        <v>4669</v>
      </c>
      <c r="C1955" s="116">
        <v>0</v>
      </c>
      <c r="E1955" s="154"/>
      <c r="F1955" s="154"/>
      <c r="G1955" s="154"/>
    </row>
    <row r="1956" spans="1:7" x14ac:dyDescent="0.3">
      <c r="A1956" s="172" t="s">
        <v>644</v>
      </c>
      <c r="B1956" s="115" t="s">
        <v>645</v>
      </c>
      <c r="C1956" s="116">
        <v>0</v>
      </c>
      <c r="E1956" s="154"/>
      <c r="F1956" s="154"/>
      <c r="G1956" s="154"/>
    </row>
    <row r="1957" spans="1:7" x14ac:dyDescent="0.3">
      <c r="A1957" s="172" t="s">
        <v>4670</v>
      </c>
      <c r="B1957" s="115" t="s">
        <v>4671</v>
      </c>
      <c r="C1957" s="116">
        <v>0</v>
      </c>
      <c r="E1957" s="154"/>
      <c r="F1957" s="154"/>
      <c r="G1957" s="154"/>
    </row>
    <row r="1958" spans="1:7" x14ac:dyDescent="0.3">
      <c r="A1958" s="172" t="s">
        <v>4672</v>
      </c>
      <c r="B1958" s="115" t="s">
        <v>4673</v>
      </c>
      <c r="C1958" s="116">
        <v>0</v>
      </c>
      <c r="E1958" s="154"/>
      <c r="F1958" s="154"/>
      <c r="G1958" s="154"/>
    </row>
    <row r="1959" spans="1:7" x14ac:dyDescent="0.3">
      <c r="A1959" s="172" t="s">
        <v>4674</v>
      </c>
      <c r="B1959" s="115" t="s">
        <v>4675</v>
      </c>
      <c r="C1959" s="116">
        <v>0</v>
      </c>
      <c r="E1959" s="154"/>
      <c r="F1959" s="154"/>
      <c r="G1959" s="154"/>
    </row>
    <row r="1960" spans="1:7" x14ac:dyDescent="0.3">
      <c r="A1960" s="172" t="s">
        <v>4676</v>
      </c>
      <c r="B1960" s="115" t="s">
        <v>4677</v>
      </c>
      <c r="C1960" s="116">
        <v>0</v>
      </c>
      <c r="E1960" s="154"/>
      <c r="F1960" s="154"/>
      <c r="G1960" s="154"/>
    </row>
    <row r="1961" spans="1:7" x14ac:dyDescent="0.3">
      <c r="A1961" s="172" t="s">
        <v>4678</v>
      </c>
      <c r="B1961" s="115" t="s">
        <v>4679</v>
      </c>
      <c r="C1961" s="116">
        <v>0</v>
      </c>
      <c r="E1961" s="154"/>
      <c r="F1961" s="154"/>
      <c r="G1961" s="154"/>
    </row>
    <row r="1962" spans="1:7" x14ac:dyDescent="0.3">
      <c r="A1962" s="172" t="s">
        <v>4680</v>
      </c>
      <c r="B1962" s="115" t="s">
        <v>4681</v>
      </c>
      <c r="C1962" s="116">
        <v>0</v>
      </c>
      <c r="E1962" s="154"/>
      <c r="F1962" s="154"/>
      <c r="G1962" s="154"/>
    </row>
    <row r="1963" spans="1:7" x14ac:dyDescent="0.3">
      <c r="A1963" s="172" t="s">
        <v>4682</v>
      </c>
      <c r="B1963" s="115" t="s">
        <v>4683</v>
      </c>
      <c r="C1963" s="116">
        <v>0</v>
      </c>
      <c r="E1963" s="154"/>
      <c r="F1963" s="154"/>
      <c r="G1963" s="154"/>
    </row>
    <row r="1964" spans="1:7" x14ac:dyDescent="0.3">
      <c r="A1964" s="172" t="s">
        <v>672</v>
      </c>
      <c r="B1964" s="115" t="s">
        <v>673</v>
      </c>
      <c r="C1964" s="116">
        <v>0</v>
      </c>
      <c r="E1964" s="154"/>
      <c r="F1964" s="154"/>
      <c r="G1964" s="154"/>
    </row>
    <row r="1965" spans="1:7" x14ac:dyDescent="0.3">
      <c r="A1965" s="172" t="s">
        <v>915</v>
      </c>
      <c r="B1965" s="115" t="s">
        <v>916</v>
      </c>
      <c r="C1965" s="116">
        <v>0</v>
      </c>
      <c r="E1965" s="154"/>
      <c r="F1965" s="154"/>
      <c r="G1965" s="154"/>
    </row>
    <row r="1966" spans="1:7" x14ac:dyDescent="0.3">
      <c r="A1966" s="172" t="s">
        <v>4684</v>
      </c>
      <c r="B1966" s="115" t="s">
        <v>4685</v>
      </c>
      <c r="C1966" s="116">
        <v>0</v>
      </c>
      <c r="E1966" s="154"/>
      <c r="F1966" s="154"/>
      <c r="G1966" s="154"/>
    </row>
    <row r="1967" spans="1:7" x14ac:dyDescent="0.3">
      <c r="A1967" s="172" t="s">
        <v>4686</v>
      </c>
      <c r="B1967" s="115" t="s">
        <v>4687</v>
      </c>
      <c r="C1967" s="116">
        <v>0</v>
      </c>
      <c r="E1967" s="154"/>
      <c r="F1967" s="154"/>
      <c r="G1967" s="154"/>
    </row>
    <row r="1968" spans="1:7" x14ac:dyDescent="0.3">
      <c r="A1968" s="172" t="s">
        <v>4688</v>
      </c>
      <c r="B1968" s="115" t="s">
        <v>4689</v>
      </c>
      <c r="C1968" s="116">
        <v>0</v>
      </c>
      <c r="E1968" s="154"/>
      <c r="F1968" s="154"/>
      <c r="G1968" s="154"/>
    </row>
    <row r="1969" spans="1:7" x14ac:dyDescent="0.3">
      <c r="A1969" s="172" t="s">
        <v>592</v>
      </c>
      <c r="B1969" s="115" t="s">
        <v>593</v>
      </c>
      <c r="C1969" s="116">
        <v>0</v>
      </c>
      <c r="E1969" s="154"/>
      <c r="F1969" s="154"/>
      <c r="G1969" s="154"/>
    </row>
    <row r="1970" spans="1:7" x14ac:dyDescent="0.3">
      <c r="A1970" s="172" t="s">
        <v>4690</v>
      </c>
      <c r="B1970" s="115" t="s">
        <v>4691</v>
      </c>
      <c r="C1970" s="116">
        <v>0</v>
      </c>
      <c r="E1970" s="154"/>
      <c r="F1970" s="154"/>
      <c r="G1970" s="154"/>
    </row>
    <row r="1971" spans="1:7" x14ac:dyDescent="0.3">
      <c r="A1971" s="172" t="s">
        <v>4692</v>
      </c>
      <c r="B1971" s="115" t="s">
        <v>4693</v>
      </c>
      <c r="C1971" s="116">
        <v>0</v>
      </c>
      <c r="E1971" s="154"/>
      <c r="F1971" s="154"/>
      <c r="G1971" s="154"/>
    </row>
    <row r="1972" spans="1:7" x14ac:dyDescent="0.3">
      <c r="A1972" s="172" t="s">
        <v>925</v>
      </c>
      <c r="B1972" s="115" t="s">
        <v>926</v>
      </c>
      <c r="C1972" s="116">
        <v>0</v>
      </c>
      <c r="E1972" s="154"/>
      <c r="F1972" s="154"/>
      <c r="G1972" s="154"/>
    </row>
    <row r="1973" spans="1:7" x14ac:dyDescent="0.3">
      <c r="A1973" s="172" t="s">
        <v>4694</v>
      </c>
      <c r="B1973" s="115" t="s">
        <v>4695</v>
      </c>
      <c r="C1973" s="116">
        <v>0</v>
      </c>
      <c r="E1973" s="154"/>
      <c r="F1973" s="154"/>
      <c r="G1973" s="154"/>
    </row>
    <row r="1974" spans="1:7" x14ac:dyDescent="0.3">
      <c r="A1974" s="172" t="s">
        <v>990</v>
      </c>
      <c r="B1974" s="115" t="s">
        <v>991</v>
      </c>
      <c r="C1974" s="116">
        <v>0</v>
      </c>
      <c r="E1974" s="154"/>
      <c r="F1974" s="154"/>
      <c r="G1974" s="154"/>
    </row>
    <row r="1975" spans="1:7" x14ac:dyDescent="0.3">
      <c r="A1975" s="172" t="s">
        <v>4696</v>
      </c>
      <c r="B1975" s="115" t="s">
        <v>4697</v>
      </c>
      <c r="C1975" s="116">
        <v>0.01</v>
      </c>
      <c r="E1975" s="154"/>
      <c r="F1975" s="154"/>
      <c r="G1975" s="154"/>
    </row>
    <row r="1976" spans="1:7" x14ac:dyDescent="0.3">
      <c r="A1976" s="172" t="s">
        <v>4698</v>
      </c>
      <c r="B1976" s="115" t="s">
        <v>4699</v>
      </c>
      <c r="C1976" s="116">
        <v>0</v>
      </c>
      <c r="E1976" s="154"/>
      <c r="F1976" s="154"/>
      <c r="G1976" s="154"/>
    </row>
    <row r="1977" spans="1:7" x14ac:dyDescent="0.3">
      <c r="A1977" s="172" t="s">
        <v>994</v>
      </c>
      <c r="B1977" s="115" t="s">
        <v>995</v>
      </c>
      <c r="C1977" s="116">
        <v>0</v>
      </c>
      <c r="E1977" s="154"/>
      <c r="F1977" s="154"/>
      <c r="G1977" s="154"/>
    </row>
    <row r="1978" spans="1:7" x14ac:dyDescent="0.3">
      <c r="A1978" s="172" t="s">
        <v>4700</v>
      </c>
      <c r="B1978" s="115" t="s">
        <v>4701</v>
      </c>
      <c r="C1978" s="116">
        <v>0</v>
      </c>
      <c r="E1978" s="154"/>
      <c r="F1978" s="154"/>
      <c r="G1978" s="154"/>
    </row>
    <row r="1979" spans="1:7" x14ac:dyDescent="0.3">
      <c r="A1979" s="172" t="s">
        <v>4702</v>
      </c>
      <c r="B1979" s="115" t="s">
        <v>4703</v>
      </c>
      <c r="C1979" s="116">
        <v>0</v>
      </c>
      <c r="E1979" s="154"/>
      <c r="F1979" s="154"/>
      <c r="G1979" s="154"/>
    </row>
    <row r="1980" spans="1:7" x14ac:dyDescent="0.3">
      <c r="A1980" s="172" t="s">
        <v>4704</v>
      </c>
      <c r="B1980" s="115" t="s">
        <v>4705</v>
      </c>
      <c r="C1980" s="116">
        <v>0</v>
      </c>
      <c r="E1980" s="154"/>
      <c r="F1980" s="154"/>
      <c r="G1980" s="154"/>
    </row>
    <row r="1981" spans="1:7" x14ac:dyDescent="0.3">
      <c r="A1981" s="172" t="s">
        <v>4706</v>
      </c>
      <c r="B1981" s="115" t="s">
        <v>4707</v>
      </c>
      <c r="C1981" s="116">
        <v>0</v>
      </c>
      <c r="E1981" s="154"/>
      <c r="F1981" s="154"/>
      <c r="G1981" s="154"/>
    </row>
    <row r="1982" spans="1:7" x14ac:dyDescent="0.3">
      <c r="A1982" s="172" t="s">
        <v>4708</v>
      </c>
      <c r="B1982" s="115" t="s">
        <v>4709</v>
      </c>
      <c r="C1982" s="116">
        <v>0</v>
      </c>
      <c r="E1982" s="154"/>
      <c r="F1982" s="154"/>
      <c r="G1982" s="154"/>
    </row>
    <row r="1983" spans="1:7" x14ac:dyDescent="0.3">
      <c r="A1983" s="172" t="s">
        <v>4710</v>
      </c>
      <c r="B1983" s="115" t="s">
        <v>4711</v>
      </c>
      <c r="C1983" s="116">
        <v>111138.55</v>
      </c>
      <c r="E1983" s="154"/>
      <c r="F1983" s="154"/>
      <c r="G1983" s="154"/>
    </row>
    <row r="1984" spans="1:7" x14ac:dyDescent="0.3">
      <c r="A1984" s="172" t="s">
        <v>1085</v>
      </c>
      <c r="B1984" s="115" t="s">
        <v>1086</v>
      </c>
      <c r="C1984" s="116">
        <v>-294683.71000000002</v>
      </c>
      <c r="E1984" s="154"/>
      <c r="F1984" s="154"/>
      <c r="G1984" s="154"/>
    </row>
    <row r="1985" spans="1:7" x14ac:dyDescent="0.3">
      <c r="A1985" s="172" t="s">
        <v>859</v>
      </c>
      <c r="B1985" s="115" t="s">
        <v>860</v>
      </c>
      <c r="C1985" s="116">
        <v>-2908149819.3099999</v>
      </c>
      <c r="E1985" s="154"/>
      <c r="F1985" s="154"/>
      <c r="G1985" s="154"/>
    </row>
    <row r="1986" spans="1:7" x14ac:dyDescent="0.3">
      <c r="A1986" s="172" t="s">
        <v>4712</v>
      </c>
      <c r="B1986" s="115" t="s">
        <v>4713</v>
      </c>
      <c r="C1986" s="116">
        <v>6017423.3499999996</v>
      </c>
      <c r="E1986" s="154"/>
      <c r="F1986" s="154"/>
      <c r="G1986" s="154"/>
    </row>
    <row r="1987" spans="1:7" x14ac:dyDescent="0.3">
      <c r="A1987" s="172" t="s">
        <v>4714</v>
      </c>
      <c r="B1987" s="115" t="s">
        <v>4715</v>
      </c>
      <c r="C1987" s="116">
        <v>185744</v>
      </c>
      <c r="E1987" s="154"/>
      <c r="F1987" s="154"/>
      <c r="G1987" s="154"/>
    </row>
    <row r="1988" spans="1:7" x14ac:dyDescent="0.3">
      <c r="A1988" s="172" t="s">
        <v>4716</v>
      </c>
      <c r="B1988" s="115" t="s">
        <v>4717</v>
      </c>
      <c r="C1988" s="116">
        <v>55569.3</v>
      </c>
      <c r="E1988" s="154"/>
      <c r="F1988" s="154"/>
      <c r="G1988" s="154"/>
    </row>
    <row r="1989" spans="1:7" x14ac:dyDescent="0.3">
      <c r="A1989" s="172" t="s">
        <v>4718</v>
      </c>
      <c r="B1989" s="115" t="s">
        <v>4719</v>
      </c>
      <c r="C1989" s="116">
        <v>272140</v>
      </c>
      <c r="E1989" s="154"/>
      <c r="F1989" s="154"/>
      <c r="G1989" s="154"/>
    </row>
    <row r="1990" spans="1:7" x14ac:dyDescent="0.3">
      <c r="A1990" s="172" t="s">
        <v>4720</v>
      </c>
      <c r="B1990" s="115" t="s">
        <v>4721</v>
      </c>
      <c r="C1990" s="116">
        <v>105879.7</v>
      </c>
      <c r="E1990" s="154"/>
      <c r="F1990" s="154"/>
      <c r="G1990" s="154"/>
    </row>
    <row r="1991" spans="1:7" x14ac:dyDescent="0.3">
      <c r="A1991" s="172" t="s">
        <v>4722</v>
      </c>
      <c r="B1991" s="115" t="s">
        <v>4723</v>
      </c>
      <c r="C1991" s="116">
        <v>1601.9</v>
      </c>
      <c r="E1991" s="154"/>
      <c r="F1991" s="154"/>
      <c r="G1991" s="154"/>
    </row>
    <row r="1992" spans="1:7" x14ac:dyDescent="0.3">
      <c r="A1992" s="172" t="s">
        <v>740</v>
      </c>
      <c r="B1992" s="115" t="s">
        <v>717</v>
      </c>
      <c r="C1992" s="116">
        <v>0</v>
      </c>
      <c r="E1992" s="154"/>
      <c r="F1992" s="154"/>
      <c r="G1992" s="154"/>
    </row>
    <row r="1993" spans="1:7" x14ac:dyDescent="0.3">
      <c r="A1993" s="172" t="s">
        <v>4724</v>
      </c>
      <c r="B1993" s="115" t="s">
        <v>4725</v>
      </c>
      <c r="C1993" s="116">
        <v>254609.57</v>
      </c>
      <c r="E1993" s="154"/>
      <c r="F1993" s="154"/>
      <c r="G1993" s="154"/>
    </row>
    <row r="1994" spans="1:7" x14ac:dyDescent="0.3">
      <c r="A1994" s="172" t="s">
        <v>4726</v>
      </c>
      <c r="B1994" s="115" t="s">
        <v>4727</v>
      </c>
      <c r="C1994" s="116">
        <v>256067</v>
      </c>
      <c r="E1994" s="154"/>
      <c r="F1994" s="154"/>
      <c r="G1994" s="154"/>
    </row>
    <row r="1995" spans="1:7" x14ac:dyDescent="0.3">
      <c r="A1995" s="172" t="s">
        <v>4728</v>
      </c>
      <c r="B1995" s="115" t="s">
        <v>4729</v>
      </c>
      <c r="C1995" s="116">
        <v>701136</v>
      </c>
      <c r="E1995" s="154"/>
      <c r="F1995" s="154"/>
      <c r="G1995" s="154"/>
    </row>
    <row r="1996" spans="1:7" x14ac:dyDescent="0.3">
      <c r="A1996" s="172" t="s">
        <v>4730</v>
      </c>
      <c r="B1996" s="115" t="s">
        <v>4731</v>
      </c>
      <c r="C1996" s="116">
        <v>300840.43</v>
      </c>
      <c r="E1996" s="154"/>
      <c r="F1996" s="154"/>
      <c r="G1996" s="154"/>
    </row>
    <row r="1997" spans="1:7" x14ac:dyDescent="0.3">
      <c r="A1997" s="172" t="s">
        <v>4732</v>
      </c>
      <c r="B1997" s="115" t="s">
        <v>4733</v>
      </c>
      <c r="C1997" s="116">
        <v>401316</v>
      </c>
      <c r="E1997" s="154"/>
      <c r="F1997" s="154"/>
      <c r="G1997" s="154"/>
    </row>
    <row r="1998" spans="1:7" x14ac:dyDescent="0.3">
      <c r="A1998" s="172" t="s">
        <v>4734</v>
      </c>
      <c r="B1998" s="115" t="s">
        <v>4735</v>
      </c>
      <c r="C1998" s="116">
        <v>141650</v>
      </c>
      <c r="E1998" s="154"/>
      <c r="F1998" s="154"/>
      <c r="G1998" s="154"/>
    </row>
    <row r="1999" spans="1:7" x14ac:dyDescent="0.3">
      <c r="A1999" s="172" t="s">
        <v>4736</v>
      </c>
      <c r="B1999" s="115" t="s">
        <v>4737</v>
      </c>
      <c r="C1999" s="116">
        <v>255690</v>
      </c>
      <c r="E1999" s="154"/>
      <c r="F1999" s="154"/>
      <c r="G1999" s="154"/>
    </row>
    <row r="2000" spans="1:7" x14ac:dyDescent="0.3">
      <c r="A2000" s="172" t="s">
        <v>4738</v>
      </c>
      <c r="B2000" s="115" t="s">
        <v>4739</v>
      </c>
      <c r="C2000" s="116">
        <v>526267</v>
      </c>
      <c r="E2000" s="154"/>
      <c r="F2000" s="154"/>
      <c r="G2000" s="154"/>
    </row>
    <row r="2001" spans="1:7" x14ac:dyDescent="0.3">
      <c r="A2001" s="172" t="s">
        <v>4740</v>
      </c>
      <c r="B2001" s="115" t="s">
        <v>4741</v>
      </c>
      <c r="C2001" s="116">
        <v>111138.55</v>
      </c>
      <c r="E2001" s="154"/>
      <c r="F2001" s="154"/>
      <c r="G2001" s="154"/>
    </row>
    <row r="2002" spans="1:7" x14ac:dyDescent="0.3">
      <c r="A2002" s="172" t="s">
        <v>4742</v>
      </c>
      <c r="B2002" s="115" t="s">
        <v>4743</v>
      </c>
      <c r="C2002" s="116">
        <v>0</v>
      </c>
      <c r="E2002" s="154"/>
      <c r="F2002" s="154"/>
      <c r="G2002" s="154"/>
    </row>
    <row r="2003" spans="1:7" x14ac:dyDescent="0.3">
      <c r="A2003" s="172" t="s">
        <v>4744</v>
      </c>
      <c r="B2003" s="115" t="s">
        <v>4745</v>
      </c>
      <c r="C2003" s="116">
        <v>28984.95</v>
      </c>
      <c r="E2003" s="154"/>
      <c r="F2003" s="154"/>
      <c r="G2003" s="154"/>
    </row>
    <row r="2004" spans="1:7" x14ac:dyDescent="0.3">
      <c r="A2004" s="172" t="s">
        <v>4746</v>
      </c>
      <c r="B2004" s="115" t="s">
        <v>4747</v>
      </c>
      <c r="C2004" s="116">
        <v>36390</v>
      </c>
      <c r="E2004" s="154"/>
      <c r="F2004" s="154"/>
      <c r="G2004" s="154"/>
    </row>
    <row r="2005" spans="1:7" x14ac:dyDescent="0.3">
      <c r="A2005" s="172" t="s">
        <v>4748</v>
      </c>
      <c r="B2005" s="115" t="s">
        <v>4749</v>
      </c>
      <c r="C2005" s="116">
        <v>450000</v>
      </c>
      <c r="E2005" s="154"/>
      <c r="F2005" s="154"/>
      <c r="G2005" s="154"/>
    </row>
    <row r="2006" spans="1:7" x14ac:dyDescent="0.3">
      <c r="A2006" s="172" t="s">
        <v>4750</v>
      </c>
      <c r="B2006" s="115" t="s">
        <v>4751</v>
      </c>
      <c r="C2006" s="116">
        <v>4165777.53</v>
      </c>
      <c r="E2006" s="154"/>
      <c r="F2006" s="154"/>
      <c r="G2006" s="154"/>
    </row>
    <row r="2007" spans="1:7" x14ac:dyDescent="0.3">
      <c r="A2007" s="172" t="s">
        <v>883</v>
      </c>
      <c r="B2007" s="115" t="s">
        <v>884</v>
      </c>
      <c r="C2007" s="116">
        <v>-461718527.47000003</v>
      </c>
      <c r="E2007" s="154"/>
      <c r="F2007" s="154"/>
      <c r="G2007" s="154"/>
    </row>
    <row r="2008" spans="1:7" x14ac:dyDescent="0.3">
      <c r="A2008" s="172" t="s">
        <v>4752</v>
      </c>
      <c r="B2008" s="115" t="s">
        <v>4753</v>
      </c>
      <c r="C2008" s="116">
        <v>98992.91</v>
      </c>
      <c r="E2008" s="154"/>
      <c r="F2008" s="154"/>
      <c r="G2008" s="154"/>
    </row>
    <row r="2009" spans="1:7" x14ac:dyDescent="0.3">
      <c r="A2009" s="172" t="s">
        <v>4754</v>
      </c>
      <c r="B2009" s="115" t="s">
        <v>4755</v>
      </c>
      <c r="C2009" s="116">
        <v>84764.5</v>
      </c>
      <c r="E2009" s="154"/>
      <c r="F2009" s="154"/>
      <c r="G2009" s="154"/>
    </row>
    <row r="2010" spans="1:7" x14ac:dyDescent="0.3">
      <c r="A2010" s="172" t="s">
        <v>4756</v>
      </c>
      <c r="B2010" s="115" t="s">
        <v>4757</v>
      </c>
      <c r="C2010" s="116">
        <v>-35238</v>
      </c>
      <c r="E2010" s="154"/>
      <c r="F2010" s="154"/>
      <c r="G2010" s="154"/>
    </row>
    <row r="2011" spans="1:7" x14ac:dyDescent="0.3">
      <c r="A2011" s="172" t="s">
        <v>4758</v>
      </c>
      <c r="B2011" s="115" t="s">
        <v>4759</v>
      </c>
      <c r="C2011" s="116">
        <v>101650</v>
      </c>
      <c r="E2011" s="154"/>
      <c r="F2011" s="154"/>
      <c r="G2011" s="154"/>
    </row>
    <row r="2012" spans="1:7" x14ac:dyDescent="0.3">
      <c r="A2012" s="172" t="s">
        <v>4760</v>
      </c>
      <c r="B2012" s="115" t="s">
        <v>4761</v>
      </c>
      <c r="C2012" s="116">
        <v>87565.75</v>
      </c>
      <c r="E2012" s="154"/>
      <c r="F2012" s="154"/>
      <c r="G2012" s="154"/>
    </row>
    <row r="2013" spans="1:7" x14ac:dyDescent="0.3">
      <c r="A2013" s="172" t="s">
        <v>4762</v>
      </c>
      <c r="B2013" s="115" t="s">
        <v>4763</v>
      </c>
      <c r="C2013" s="116">
        <v>0</v>
      </c>
      <c r="E2013" s="154"/>
      <c r="F2013" s="154"/>
      <c r="G2013" s="154"/>
    </row>
    <row r="2014" spans="1:7" x14ac:dyDescent="0.3">
      <c r="A2014" s="172" t="s">
        <v>4764</v>
      </c>
      <c r="B2014" s="115" t="s">
        <v>4765</v>
      </c>
      <c r="C2014" s="116">
        <v>-1635002350.9100001</v>
      </c>
      <c r="E2014" s="154"/>
      <c r="F2014" s="154"/>
      <c r="G2014" s="154"/>
    </row>
    <row r="2015" spans="1:7" x14ac:dyDescent="0.3">
      <c r="A2015" s="172" t="s">
        <v>4766</v>
      </c>
      <c r="B2015" s="115" t="s">
        <v>4767</v>
      </c>
      <c r="C2015" s="116">
        <v>133178.25</v>
      </c>
      <c r="E2015" s="154"/>
      <c r="F2015" s="154"/>
      <c r="G2015" s="154"/>
    </row>
    <row r="2016" spans="1:7" x14ac:dyDescent="0.3">
      <c r="A2016" s="172" t="s">
        <v>4768</v>
      </c>
      <c r="B2016" s="115" t="s">
        <v>4769</v>
      </c>
      <c r="C2016" s="116">
        <v>113337.78</v>
      </c>
      <c r="E2016" s="154"/>
      <c r="F2016" s="154"/>
      <c r="G2016" s="154"/>
    </row>
    <row r="2017" spans="1:7" x14ac:dyDescent="0.3">
      <c r="A2017" s="172" t="s">
        <v>4770</v>
      </c>
      <c r="B2017" s="115" t="s">
        <v>4771</v>
      </c>
      <c r="C2017" s="116">
        <v>2000</v>
      </c>
      <c r="E2017" s="154"/>
      <c r="F2017" s="154"/>
      <c r="G2017" s="154"/>
    </row>
    <row r="2018" spans="1:7" x14ac:dyDescent="0.3">
      <c r="A2018" s="172" t="s">
        <v>4772</v>
      </c>
      <c r="B2018" s="115" t="s">
        <v>4773</v>
      </c>
      <c r="C2018" s="116">
        <v>8540</v>
      </c>
      <c r="E2018" s="154"/>
      <c r="F2018" s="154"/>
      <c r="G2018" s="154"/>
    </row>
    <row r="2019" spans="1:7" x14ac:dyDescent="0.3">
      <c r="A2019" s="172" t="s">
        <v>4774</v>
      </c>
      <c r="B2019" s="115" t="s">
        <v>4775</v>
      </c>
      <c r="C2019" s="116">
        <v>0</v>
      </c>
      <c r="E2019" s="154"/>
      <c r="F2019" s="154"/>
      <c r="G2019" s="154"/>
    </row>
    <row r="2020" spans="1:7" x14ac:dyDescent="0.3">
      <c r="A2020" s="172" t="s">
        <v>4776</v>
      </c>
      <c r="B2020" s="115" t="s">
        <v>4777</v>
      </c>
      <c r="C2020" s="116">
        <v>0</v>
      </c>
      <c r="E2020" s="154"/>
      <c r="F2020" s="154"/>
      <c r="G2020" s="154"/>
    </row>
    <row r="2021" spans="1:7" x14ac:dyDescent="0.3">
      <c r="A2021" s="172" t="s">
        <v>694</v>
      </c>
      <c r="B2021" s="115" t="s">
        <v>695</v>
      </c>
      <c r="C2021" s="116">
        <v>-3.96</v>
      </c>
      <c r="E2021" s="154"/>
      <c r="F2021" s="154"/>
      <c r="G2021" s="154"/>
    </row>
    <row r="2022" spans="1:7" x14ac:dyDescent="0.3">
      <c r="A2022" s="172" t="s">
        <v>4778</v>
      </c>
      <c r="B2022" s="115" t="s">
        <v>4779</v>
      </c>
      <c r="C2022" s="116">
        <v>0</v>
      </c>
      <c r="E2022" s="154"/>
      <c r="F2022" s="154"/>
      <c r="G2022" s="154"/>
    </row>
    <row r="2023" spans="1:7" x14ac:dyDescent="0.3">
      <c r="A2023" s="172" t="s">
        <v>4780</v>
      </c>
      <c r="B2023" s="115" t="s">
        <v>4781</v>
      </c>
      <c r="C2023" s="116">
        <v>0</v>
      </c>
      <c r="E2023" s="154"/>
      <c r="F2023" s="154"/>
      <c r="G2023" s="154"/>
    </row>
    <row r="2024" spans="1:7" x14ac:dyDescent="0.3">
      <c r="A2024" s="172" t="s">
        <v>4782</v>
      </c>
      <c r="B2024" s="115" t="s">
        <v>4783</v>
      </c>
      <c r="C2024" s="116">
        <v>0</v>
      </c>
      <c r="E2024" s="154"/>
      <c r="F2024" s="154"/>
      <c r="G2024" s="154"/>
    </row>
    <row r="2025" spans="1:7" x14ac:dyDescent="0.3">
      <c r="A2025" s="172" t="s">
        <v>4784</v>
      </c>
      <c r="B2025" s="115" t="s">
        <v>4785</v>
      </c>
      <c r="C2025" s="116">
        <v>0</v>
      </c>
      <c r="E2025" s="154"/>
      <c r="F2025" s="154"/>
      <c r="G2025" s="154"/>
    </row>
    <row r="2026" spans="1:7" x14ac:dyDescent="0.3">
      <c r="A2026" s="172" t="s">
        <v>4786</v>
      </c>
      <c r="B2026" s="115" t="s">
        <v>4787</v>
      </c>
      <c r="C2026" s="116">
        <v>0</v>
      </c>
      <c r="E2026" s="154"/>
      <c r="F2026" s="154"/>
      <c r="G2026" s="154"/>
    </row>
    <row r="2027" spans="1:7" x14ac:dyDescent="0.3">
      <c r="A2027" s="172" t="s">
        <v>4788</v>
      </c>
      <c r="B2027" s="115" t="s">
        <v>4789</v>
      </c>
      <c r="C2027" s="116">
        <v>0</v>
      </c>
      <c r="E2027" s="154"/>
      <c r="F2027" s="154"/>
      <c r="G2027" s="154"/>
    </row>
    <row r="2028" spans="1:7" x14ac:dyDescent="0.3">
      <c r="A2028" s="172" t="s">
        <v>4790</v>
      </c>
      <c r="B2028" s="115" t="s">
        <v>4791</v>
      </c>
      <c r="C2028" s="116">
        <v>0</v>
      </c>
      <c r="E2028" s="154"/>
      <c r="F2028" s="154"/>
      <c r="G2028" s="154"/>
    </row>
    <row r="2029" spans="1:7" x14ac:dyDescent="0.3">
      <c r="A2029" s="172" t="s">
        <v>4792</v>
      </c>
      <c r="B2029" s="115" t="s">
        <v>4793</v>
      </c>
      <c r="C2029" s="116">
        <v>0</v>
      </c>
      <c r="E2029" s="154"/>
      <c r="F2029" s="154"/>
      <c r="G2029" s="154"/>
    </row>
    <row r="2030" spans="1:7" x14ac:dyDescent="0.3">
      <c r="A2030" s="172" t="s">
        <v>4794</v>
      </c>
      <c r="B2030" s="115" t="s">
        <v>4795</v>
      </c>
      <c r="C2030" s="116">
        <v>0</v>
      </c>
      <c r="E2030" s="154"/>
      <c r="F2030" s="154"/>
      <c r="G2030" s="154"/>
    </row>
    <row r="2031" spans="1:7" x14ac:dyDescent="0.3">
      <c r="A2031" s="172" t="s">
        <v>4796</v>
      </c>
      <c r="B2031" s="115" t="s">
        <v>4797</v>
      </c>
      <c r="C2031" s="116">
        <v>0</v>
      </c>
      <c r="E2031" s="154"/>
      <c r="F2031" s="154"/>
      <c r="G2031" s="154"/>
    </row>
    <row r="2032" spans="1:7" x14ac:dyDescent="0.3">
      <c r="A2032" s="172" t="s">
        <v>4798</v>
      </c>
      <c r="B2032" s="115" t="s">
        <v>4799</v>
      </c>
      <c r="C2032" s="116">
        <v>0</v>
      </c>
      <c r="E2032" s="154"/>
      <c r="F2032" s="154"/>
      <c r="G2032" s="154"/>
    </row>
    <row r="2033" spans="1:7" x14ac:dyDescent="0.3">
      <c r="A2033" s="172" t="s">
        <v>4800</v>
      </c>
      <c r="B2033" s="115" t="s">
        <v>4801</v>
      </c>
      <c r="C2033" s="116">
        <v>0</v>
      </c>
      <c r="E2033" s="154"/>
      <c r="F2033" s="154"/>
      <c r="G2033" s="154"/>
    </row>
    <row r="2034" spans="1:7" x14ac:dyDescent="0.3">
      <c r="A2034" s="172" t="s">
        <v>4802</v>
      </c>
      <c r="B2034" s="115" t="s">
        <v>4803</v>
      </c>
      <c r="C2034" s="116">
        <v>0</v>
      </c>
      <c r="E2034" s="154"/>
      <c r="F2034" s="154"/>
      <c r="G2034" s="154"/>
    </row>
    <row r="2035" spans="1:7" x14ac:dyDescent="0.3">
      <c r="A2035" s="172" t="s">
        <v>4804</v>
      </c>
      <c r="B2035" s="115" t="s">
        <v>4805</v>
      </c>
      <c r="C2035" s="116">
        <v>0</v>
      </c>
      <c r="E2035" s="154"/>
      <c r="F2035" s="154"/>
      <c r="G2035" s="154"/>
    </row>
    <row r="2036" spans="1:7" x14ac:dyDescent="0.3">
      <c r="A2036" s="172" t="s">
        <v>4806</v>
      </c>
      <c r="B2036" s="115" t="s">
        <v>4807</v>
      </c>
      <c r="C2036" s="116">
        <v>0</v>
      </c>
      <c r="E2036" s="154"/>
      <c r="F2036" s="154"/>
      <c r="G2036" s="154"/>
    </row>
    <row r="2037" spans="1:7" x14ac:dyDescent="0.3">
      <c r="A2037" s="172" t="s">
        <v>4808</v>
      </c>
      <c r="B2037" s="115" t="s">
        <v>4809</v>
      </c>
      <c r="C2037" s="116">
        <v>0</v>
      </c>
      <c r="E2037" s="154"/>
      <c r="F2037" s="154"/>
      <c r="G2037" s="154"/>
    </row>
    <row r="2038" spans="1:7" x14ac:dyDescent="0.3">
      <c r="A2038" s="172" t="s">
        <v>4810</v>
      </c>
      <c r="B2038" s="115" t="s">
        <v>4811</v>
      </c>
      <c r="C2038" s="116">
        <v>0</v>
      </c>
      <c r="E2038" s="154"/>
      <c r="F2038" s="154"/>
      <c r="G2038" s="154"/>
    </row>
    <row r="2039" spans="1:7" x14ac:dyDescent="0.3">
      <c r="A2039" s="172" t="s">
        <v>4812</v>
      </c>
      <c r="B2039" s="115" t="s">
        <v>4813</v>
      </c>
      <c r="C2039" s="116">
        <v>0</v>
      </c>
      <c r="E2039" s="154"/>
      <c r="F2039" s="154"/>
      <c r="G2039" s="154"/>
    </row>
    <row r="2040" spans="1:7" x14ac:dyDescent="0.3">
      <c r="A2040" s="172" t="s">
        <v>4814</v>
      </c>
      <c r="B2040" s="115" t="s">
        <v>4815</v>
      </c>
      <c r="C2040" s="116">
        <v>0</v>
      </c>
      <c r="E2040" s="154"/>
      <c r="F2040" s="154"/>
      <c r="G2040" s="154"/>
    </row>
    <row r="2041" spans="1:7" x14ac:dyDescent="0.3">
      <c r="A2041" s="172" t="s">
        <v>4816</v>
      </c>
      <c r="B2041" s="115" t="s">
        <v>4817</v>
      </c>
      <c r="C2041" s="116">
        <v>0</v>
      </c>
      <c r="E2041" s="154"/>
      <c r="F2041" s="154"/>
      <c r="G2041" s="154"/>
    </row>
    <row r="2042" spans="1:7" x14ac:dyDescent="0.3">
      <c r="A2042" s="172" t="s">
        <v>4818</v>
      </c>
      <c r="B2042" s="115" t="s">
        <v>4819</v>
      </c>
      <c r="C2042" s="116">
        <v>0</v>
      </c>
      <c r="E2042" s="154"/>
      <c r="F2042" s="154"/>
      <c r="G2042" s="154"/>
    </row>
    <row r="2043" spans="1:7" x14ac:dyDescent="0.3">
      <c r="A2043" s="172" t="s">
        <v>4820</v>
      </c>
      <c r="B2043" s="115" t="s">
        <v>4821</v>
      </c>
      <c r="C2043" s="116">
        <v>0</v>
      </c>
      <c r="E2043" s="154"/>
      <c r="F2043" s="154"/>
      <c r="G2043" s="154"/>
    </row>
    <row r="2044" spans="1:7" x14ac:dyDescent="0.3">
      <c r="A2044" s="172" t="s">
        <v>4822</v>
      </c>
      <c r="B2044" s="115" t="s">
        <v>4823</v>
      </c>
      <c r="C2044" s="116">
        <v>0</v>
      </c>
      <c r="E2044" s="154"/>
      <c r="F2044" s="154"/>
      <c r="G2044" s="154"/>
    </row>
    <row r="2045" spans="1:7" x14ac:dyDescent="0.3">
      <c r="A2045" s="172" t="s">
        <v>4824</v>
      </c>
      <c r="B2045" s="115" t="s">
        <v>4825</v>
      </c>
      <c r="C2045" s="116">
        <v>0</v>
      </c>
      <c r="E2045" s="154"/>
      <c r="F2045" s="154"/>
      <c r="G2045" s="154"/>
    </row>
    <row r="2046" spans="1:7" x14ac:dyDescent="0.3">
      <c r="A2046" s="172" t="s">
        <v>4826</v>
      </c>
      <c r="B2046" s="115" t="s">
        <v>4827</v>
      </c>
      <c r="C2046" s="116">
        <v>0</v>
      </c>
      <c r="E2046" s="154"/>
      <c r="F2046" s="154"/>
      <c r="G2046" s="154"/>
    </row>
    <row r="2047" spans="1:7" x14ac:dyDescent="0.3">
      <c r="A2047" s="172" t="s">
        <v>4828</v>
      </c>
      <c r="B2047" s="115" t="s">
        <v>4829</v>
      </c>
      <c r="C2047" s="116">
        <v>0</v>
      </c>
      <c r="E2047" s="154"/>
      <c r="F2047" s="154"/>
      <c r="G2047" s="154"/>
    </row>
    <row r="2048" spans="1:7" x14ac:dyDescent="0.3">
      <c r="A2048" s="172" t="s">
        <v>4830</v>
      </c>
      <c r="B2048" s="115" t="s">
        <v>4831</v>
      </c>
      <c r="C2048" s="116">
        <v>0</v>
      </c>
      <c r="E2048" s="154"/>
      <c r="F2048" s="154"/>
      <c r="G2048" s="154"/>
    </row>
    <row r="2049" spans="1:7" x14ac:dyDescent="0.3">
      <c r="A2049" s="172" t="s">
        <v>4832</v>
      </c>
      <c r="B2049" s="115" t="s">
        <v>4833</v>
      </c>
      <c r="C2049" s="116">
        <v>0</v>
      </c>
      <c r="E2049" s="154"/>
      <c r="F2049" s="154"/>
      <c r="G2049" s="154"/>
    </row>
    <row r="2050" spans="1:7" x14ac:dyDescent="0.3">
      <c r="A2050" s="172" t="s">
        <v>4834</v>
      </c>
      <c r="B2050" s="115" t="s">
        <v>4835</v>
      </c>
      <c r="C2050" s="116">
        <v>0</v>
      </c>
      <c r="E2050" s="154"/>
      <c r="F2050" s="154"/>
      <c r="G2050" s="154"/>
    </row>
    <row r="2051" spans="1:7" x14ac:dyDescent="0.3">
      <c r="A2051" s="172" t="s">
        <v>4836</v>
      </c>
      <c r="B2051" s="115" t="s">
        <v>4837</v>
      </c>
      <c r="C2051" s="116">
        <v>0</v>
      </c>
      <c r="E2051" s="154"/>
      <c r="F2051" s="154"/>
      <c r="G2051" s="154"/>
    </row>
    <row r="2052" spans="1:7" x14ac:dyDescent="0.3">
      <c r="A2052" s="172" t="s">
        <v>4838</v>
      </c>
      <c r="B2052" s="115" t="s">
        <v>4839</v>
      </c>
      <c r="C2052" s="116">
        <v>0</v>
      </c>
      <c r="E2052" s="154"/>
      <c r="F2052" s="154"/>
      <c r="G2052" s="154"/>
    </row>
    <row r="2053" spans="1:7" x14ac:dyDescent="0.3">
      <c r="A2053" s="172" t="s">
        <v>4840</v>
      </c>
      <c r="B2053" s="115" t="s">
        <v>4841</v>
      </c>
      <c r="C2053" s="116">
        <v>0</v>
      </c>
      <c r="E2053" s="154"/>
      <c r="F2053" s="154"/>
      <c r="G2053" s="154"/>
    </row>
    <row r="2054" spans="1:7" x14ac:dyDescent="0.3">
      <c r="A2054" s="172" t="s">
        <v>4842</v>
      </c>
      <c r="B2054" s="115" t="s">
        <v>4843</v>
      </c>
      <c r="C2054" s="116">
        <v>0</v>
      </c>
      <c r="E2054" s="154"/>
      <c r="F2054" s="154"/>
      <c r="G2054" s="154"/>
    </row>
    <row r="2055" spans="1:7" x14ac:dyDescent="0.3">
      <c r="A2055" s="172" t="s">
        <v>4844</v>
      </c>
      <c r="B2055" s="115" t="s">
        <v>4845</v>
      </c>
      <c r="C2055" s="116">
        <v>0</v>
      </c>
      <c r="E2055" s="154"/>
      <c r="F2055" s="154"/>
      <c r="G2055" s="154"/>
    </row>
    <row r="2056" spans="1:7" x14ac:dyDescent="0.3">
      <c r="A2056" s="172" t="s">
        <v>943</v>
      </c>
      <c r="B2056" s="115" t="s">
        <v>944</v>
      </c>
      <c r="C2056" s="116">
        <v>-64523537.560000002</v>
      </c>
      <c r="E2056" s="154"/>
      <c r="F2056" s="154"/>
      <c r="G2056" s="154"/>
    </row>
    <row r="2057" spans="1:7" x14ac:dyDescent="0.3">
      <c r="A2057" s="172" t="s">
        <v>4846</v>
      </c>
      <c r="B2057" s="115" t="s">
        <v>4847</v>
      </c>
      <c r="C2057" s="116">
        <v>23000</v>
      </c>
      <c r="E2057" s="154"/>
      <c r="F2057" s="154"/>
      <c r="G2057" s="154"/>
    </row>
    <row r="2058" spans="1:7" x14ac:dyDescent="0.3">
      <c r="A2058" s="172" t="s">
        <v>4848</v>
      </c>
      <c r="B2058" s="115" t="s">
        <v>4849</v>
      </c>
      <c r="C2058" s="116">
        <v>22470</v>
      </c>
      <c r="E2058" s="154"/>
      <c r="F2058" s="154"/>
      <c r="G2058" s="154"/>
    </row>
    <row r="2059" spans="1:7" x14ac:dyDescent="0.3">
      <c r="A2059" s="172" t="s">
        <v>4850</v>
      </c>
      <c r="B2059" s="115" t="s">
        <v>4851</v>
      </c>
      <c r="C2059" s="116">
        <v>44915</v>
      </c>
      <c r="E2059" s="154"/>
      <c r="F2059" s="154"/>
      <c r="G2059" s="154"/>
    </row>
    <row r="2060" spans="1:7" x14ac:dyDescent="0.3">
      <c r="A2060" s="172" t="s">
        <v>4852</v>
      </c>
      <c r="B2060" s="115" t="s">
        <v>4853</v>
      </c>
      <c r="C2060" s="116">
        <v>210242</v>
      </c>
      <c r="E2060" s="154"/>
      <c r="F2060" s="154"/>
      <c r="G2060" s="154"/>
    </row>
    <row r="2061" spans="1:7" x14ac:dyDescent="0.3">
      <c r="A2061" s="172" t="s">
        <v>4854</v>
      </c>
      <c r="B2061" s="115" t="s">
        <v>4855</v>
      </c>
      <c r="C2061" s="116">
        <v>-528018878.80000001</v>
      </c>
      <c r="E2061" s="154"/>
      <c r="F2061" s="154"/>
      <c r="G2061" s="154"/>
    </row>
    <row r="2062" spans="1:7" x14ac:dyDescent="0.3">
      <c r="A2062" s="172" t="s">
        <v>4856</v>
      </c>
      <c r="B2062" s="115" t="s">
        <v>4857</v>
      </c>
      <c r="C2062" s="116">
        <v>188190</v>
      </c>
      <c r="E2062" s="154"/>
      <c r="F2062" s="154"/>
      <c r="G2062" s="154"/>
    </row>
    <row r="2063" spans="1:7" x14ac:dyDescent="0.3">
      <c r="A2063" s="172" t="s">
        <v>564</v>
      </c>
      <c r="B2063" s="115" t="s">
        <v>4858</v>
      </c>
      <c r="C2063" s="116">
        <v>20640850</v>
      </c>
      <c r="E2063" s="154"/>
      <c r="F2063" s="154"/>
      <c r="G2063" s="154"/>
    </row>
    <row r="2064" spans="1:7" x14ac:dyDescent="0.3">
      <c r="A2064" s="172" t="s">
        <v>4859</v>
      </c>
      <c r="B2064" s="115" t="s">
        <v>4860</v>
      </c>
      <c r="C2064" s="116">
        <v>-50185782.189999998</v>
      </c>
      <c r="E2064" s="154"/>
      <c r="F2064" s="154"/>
      <c r="G2064" s="154"/>
    </row>
    <row r="2065" spans="1:7" x14ac:dyDescent="0.3">
      <c r="A2065" s="172" t="s">
        <v>4861</v>
      </c>
      <c r="B2065" s="115" t="s">
        <v>4862</v>
      </c>
      <c r="C2065" s="116">
        <v>419075</v>
      </c>
      <c r="E2065" s="154"/>
      <c r="F2065" s="154"/>
      <c r="G2065" s="154"/>
    </row>
    <row r="2066" spans="1:7" x14ac:dyDescent="0.3">
      <c r="A2066" s="172" t="s">
        <v>4863</v>
      </c>
      <c r="B2066" s="115" t="s">
        <v>4864</v>
      </c>
      <c r="C2066" s="116">
        <v>148823.48000000001</v>
      </c>
      <c r="E2066" s="154"/>
      <c r="F2066" s="154"/>
      <c r="G2066" s="154"/>
    </row>
    <row r="2067" spans="1:7" x14ac:dyDescent="0.3">
      <c r="A2067" s="172" t="s">
        <v>4865</v>
      </c>
      <c r="B2067" s="115" t="s">
        <v>4866</v>
      </c>
      <c r="C2067" s="116">
        <v>832364.5</v>
      </c>
      <c r="E2067" s="154"/>
      <c r="F2067" s="154"/>
      <c r="G2067" s="154"/>
    </row>
    <row r="2068" spans="1:7" x14ac:dyDescent="0.3">
      <c r="A2068" s="172" t="s">
        <v>4867</v>
      </c>
      <c r="B2068" s="115" t="s">
        <v>4868</v>
      </c>
      <c r="C2068" s="116">
        <v>115314.32</v>
      </c>
      <c r="E2068" s="154"/>
      <c r="F2068" s="154"/>
      <c r="G2068" s="154"/>
    </row>
    <row r="2069" spans="1:7" x14ac:dyDescent="0.3">
      <c r="A2069" s="172" t="s">
        <v>4869</v>
      </c>
      <c r="B2069" s="115" t="s">
        <v>4870</v>
      </c>
      <c r="C2069" s="116">
        <v>165107.68</v>
      </c>
      <c r="E2069" s="154"/>
      <c r="F2069" s="154"/>
      <c r="G2069" s="154"/>
    </row>
    <row r="2070" spans="1:7" x14ac:dyDescent="0.3">
      <c r="A2070" s="172" t="s">
        <v>4871</v>
      </c>
      <c r="B2070" s="115" t="s">
        <v>4872</v>
      </c>
      <c r="C2070" s="116">
        <v>480653.06</v>
      </c>
      <c r="E2070" s="154"/>
      <c r="F2070" s="154"/>
      <c r="G2070" s="154"/>
    </row>
    <row r="2071" spans="1:7" x14ac:dyDescent="0.3">
      <c r="A2071" s="172" t="s">
        <v>4873</v>
      </c>
      <c r="B2071" s="115" t="s">
        <v>4874</v>
      </c>
      <c r="C2071" s="116">
        <v>972986.6</v>
      </c>
      <c r="E2071" s="154"/>
      <c r="F2071" s="154"/>
      <c r="G2071" s="154"/>
    </row>
    <row r="2072" spans="1:7" x14ac:dyDescent="0.3">
      <c r="A2072" s="172" t="s">
        <v>4875</v>
      </c>
      <c r="B2072" s="115" t="s">
        <v>4876</v>
      </c>
      <c r="C2072" s="116">
        <v>113536</v>
      </c>
      <c r="E2072" s="154"/>
      <c r="F2072" s="154"/>
      <c r="G2072" s="154"/>
    </row>
    <row r="2073" spans="1:7" x14ac:dyDescent="0.3">
      <c r="A2073" s="172" t="s">
        <v>4877</v>
      </c>
      <c r="B2073" s="115" t="s">
        <v>4878</v>
      </c>
      <c r="C2073" s="116">
        <v>186545</v>
      </c>
      <c r="E2073" s="154"/>
      <c r="F2073" s="154"/>
      <c r="G2073" s="154"/>
    </row>
    <row r="2074" spans="1:7" x14ac:dyDescent="0.3">
      <c r="A2074" s="172" t="s">
        <v>4879</v>
      </c>
      <c r="B2074" s="115" t="s">
        <v>4880</v>
      </c>
      <c r="C2074" s="116">
        <v>461772.56</v>
      </c>
      <c r="E2074" s="154"/>
      <c r="F2074" s="154"/>
      <c r="G2074" s="154"/>
    </row>
    <row r="2075" spans="1:7" x14ac:dyDescent="0.3">
      <c r="A2075" s="172" t="s">
        <v>4881</v>
      </c>
      <c r="B2075" s="115" t="s">
        <v>4882</v>
      </c>
      <c r="C2075" s="116">
        <v>53107.9</v>
      </c>
      <c r="E2075" s="154"/>
      <c r="F2075" s="154"/>
      <c r="G2075" s="154"/>
    </row>
    <row r="2076" spans="1:7" x14ac:dyDescent="0.3">
      <c r="A2076" s="172" t="s">
        <v>4883</v>
      </c>
      <c r="B2076" s="115" t="s">
        <v>4884</v>
      </c>
      <c r="C2076" s="116">
        <v>215952.5</v>
      </c>
      <c r="E2076" s="154"/>
      <c r="F2076" s="154"/>
      <c r="G2076" s="154"/>
    </row>
    <row r="2077" spans="1:7" x14ac:dyDescent="0.3">
      <c r="A2077" s="172" t="s">
        <v>4885</v>
      </c>
      <c r="B2077" s="115" t="s">
        <v>4886</v>
      </c>
      <c r="C2077" s="116">
        <v>0</v>
      </c>
      <c r="E2077" s="154"/>
      <c r="F2077" s="154"/>
      <c r="G2077" s="154"/>
    </row>
    <row r="2078" spans="1:7" x14ac:dyDescent="0.3">
      <c r="A2078" s="172" t="s">
        <v>4887</v>
      </c>
      <c r="B2078" s="115" t="s">
        <v>4888</v>
      </c>
      <c r="C2078" s="116">
        <v>55050</v>
      </c>
      <c r="E2078" s="154"/>
      <c r="F2078" s="154"/>
      <c r="G2078" s="154"/>
    </row>
    <row r="2079" spans="1:7" x14ac:dyDescent="0.3">
      <c r="A2079" s="172" t="s">
        <v>4889</v>
      </c>
      <c r="B2079" s="115" t="s">
        <v>4890</v>
      </c>
      <c r="C2079" s="116">
        <v>770512.58</v>
      </c>
      <c r="E2079" s="154"/>
      <c r="F2079" s="154"/>
      <c r="G2079" s="154"/>
    </row>
    <row r="2080" spans="1:7" x14ac:dyDescent="0.3">
      <c r="A2080" s="172" t="s">
        <v>4891</v>
      </c>
      <c r="B2080" s="115" t="s">
        <v>4892</v>
      </c>
      <c r="C2080" s="116">
        <v>12240</v>
      </c>
      <c r="E2080" s="154"/>
      <c r="F2080" s="154"/>
      <c r="G2080" s="154"/>
    </row>
    <row r="2081" spans="1:7" x14ac:dyDescent="0.3">
      <c r="A2081" s="172" t="s">
        <v>4893</v>
      </c>
      <c r="B2081" s="115" t="s">
        <v>4894</v>
      </c>
      <c r="C2081" s="116">
        <v>22690</v>
      </c>
      <c r="E2081" s="154"/>
      <c r="F2081" s="154"/>
      <c r="G2081" s="154"/>
    </row>
    <row r="2082" spans="1:7" x14ac:dyDescent="0.3">
      <c r="A2082" s="172" t="s">
        <v>4895</v>
      </c>
      <c r="B2082" s="115" t="s">
        <v>4896</v>
      </c>
      <c r="C2082" s="116">
        <v>40099</v>
      </c>
      <c r="E2082" s="154"/>
      <c r="F2082" s="154"/>
      <c r="G2082" s="154"/>
    </row>
    <row r="2083" spans="1:7" x14ac:dyDescent="0.3">
      <c r="A2083" s="172" t="s">
        <v>4897</v>
      </c>
      <c r="B2083" s="115" t="s">
        <v>4898</v>
      </c>
      <c r="C2083" s="116">
        <v>340390.26</v>
      </c>
      <c r="E2083" s="154"/>
      <c r="F2083" s="154"/>
      <c r="G2083" s="154"/>
    </row>
    <row r="2084" spans="1:7" x14ac:dyDescent="0.3">
      <c r="A2084" s="172" t="s">
        <v>4899</v>
      </c>
      <c r="B2084" s="115" t="s">
        <v>4900</v>
      </c>
      <c r="C2084" s="116">
        <v>0</v>
      </c>
      <c r="E2084" s="154"/>
      <c r="F2084" s="154"/>
      <c r="G2084" s="154"/>
    </row>
    <row r="2085" spans="1:7" x14ac:dyDescent="0.3">
      <c r="A2085" s="172" t="s">
        <v>4901</v>
      </c>
      <c r="B2085" s="115" t="s">
        <v>4902</v>
      </c>
      <c r="C2085" s="116">
        <v>154000</v>
      </c>
      <c r="E2085" s="154"/>
      <c r="F2085" s="154"/>
      <c r="G2085" s="154"/>
    </row>
    <row r="2086" spans="1:7" x14ac:dyDescent="0.3">
      <c r="A2086" s="172" t="s">
        <v>4903</v>
      </c>
      <c r="B2086" s="115" t="s">
        <v>4904</v>
      </c>
      <c r="C2086" s="116">
        <v>779329.49</v>
      </c>
      <c r="E2086" s="154"/>
      <c r="F2086" s="154"/>
      <c r="G2086" s="154"/>
    </row>
    <row r="2087" spans="1:7" x14ac:dyDescent="0.3">
      <c r="A2087" s="172" t="s">
        <v>4905</v>
      </c>
      <c r="B2087" s="115" t="s">
        <v>4906</v>
      </c>
      <c r="C2087" s="116">
        <v>20500</v>
      </c>
      <c r="E2087" s="154"/>
      <c r="F2087" s="154"/>
      <c r="G2087" s="154"/>
    </row>
    <row r="2088" spans="1:7" x14ac:dyDescent="0.3">
      <c r="A2088" s="172" t="s">
        <v>4907</v>
      </c>
      <c r="B2088" s="115" t="s">
        <v>4908</v>
      </c>
      <c r="C2088" s="116">
        <v>47801.73</v>
      </c>
      <c r="E2088" s="154"/>
      <c r="F2088" s="154"/>
      <c r="G2088" s="154"/>
    </row>
    <row r="2089" spans="1:7" x14ac:dyDescent="0.3">
      <c r="A2089" s="172" t="s">
        <v>4909</v>
      </c>
      <c r="B2089" s="115" t="s">
        <v>4910</v>
      </c>
      <c r="C2089" s="116">
        <v>0</v>
      </c>
      <c r="E2089" s="154"/>
      <c r="F2089" s="154"/>
      <c r="G2089" s="154"/>
    </row>
    <row r="2090" spans="1:7" x14ac:dyDescent="0.3">
      <c r="A2090" s="172" t="s">
        <v>4911</v>
      </c>
      <c r="B2090" s="115" t="s">
        <v>4912</v>
      </c>
      <c r="C2090" s="116">
        <v>241600</v>
      </c>
      <c r="E2090" s="154"/>
      <c r="F2090" s="154"/>
      <c r="G2090" s="154"/>
    </row>
    <row r="2091" spans="1:7" x14ac:dyDescent="0.3">
      <c r="A2091" s="172" t="s">
        <v>4913</v>
      </c>
      <c r="B2091" s="115" t="s">
        <v>4914</v>
      </c>
      <c r="C2091" s="116">
        <v>-1421673833.8299999</v>
      </c>
      <c r="E2091" s="154"/>
      <c r="F2091" s="154"/>
      <c r="G2091" s="154"/>
    </row>
    <row r="2092" spans="1:7" x14ac:dyDescent="0.3">
      <c r="A2092" s="172" t="s">
        <v>4915</v>
      </c>
      <c r="B2092" s="115" t="s">
        <v>4916</v>
      </c>
      <c r="C2092" s="116">
        <v>0</v>
      </c>
      <c r="E2092" s="154"/>
      <c r="F2092" s="154"/>
      <c r="G2092" s="154"/>
    </row>
    <row r="2093" spans="1:7" x14ac:dyDescent="0.3">
      <c r="A2093" s="172" t="s">
        <v>4917</v>
      </c>
      <c r="B2093" s="115" t="s">
        <v>4918</v>
      </c>
      <c r="C2093" s="116">
        <v>0</v>
      </c>
      <c r="E2093" s="154"/>
      <c r="F2093" s="154"/>
      <c r="G2093" s="154"/>
    </row>
    <row r="2094" spans="1:7" x14ac:dyDescent="0.3">
      <c r="A2094" s="172" t="s">
        <v>4919</v>
      </c>
      <c r="B2094" s="115" t="s">
        <v>4920</v>
      </c>
      <c r="C2094" s="116">
        <v>558056.53</v>
      </c>
      <c r="E2094" s="154"/>
      <c r="F2094" s="154"/>
      <c r="G2094" s="154"/>
    </row>
    <row r="2095" spans="1:7" x14ac:dyDescent="0.3">
      <c r="A2095" s="172" t="s">
        <v>4921</v>
      </c>
      <c r="B2095" s="115" t="s">
        <v>4922</v>
      </c>
      <c r="C2095" s="116">
        <v>0</v>
      </c>
      <c r="E2095" s="154"/>
      <c r="F2095" s="154"/>
      <c r="G2095" s="154"/>
    </row>
    <row r="2096" spans="1:7" x14ac:dyDescent="0.3">
      <c r="A2096" s="172" t="s">
        <v>4923</v>
      </c>
      <c r="B2096" s="115" t="s">
        <v>4924</v>
      </c>
      <c r="C2096" s="116">
        <v>0</v>
      </c>
      <c r="E2096" s="154"/>
      <c r="F2096" s="154"/>
      <c r="G2096" s="154"/>
    </row>
    <row r="2097" spans="1:7" x14ac:dyDescent="0.3">
      <c r="A2097" s="172" t="s">
        <v>4925</v>
      </c>
      <c r="B2097" s="115" t="s">
        <v>4926</v>
      </c>
      <c r="C2097" s="116">
        <v>0</v>
      </c>
      <c r="E2097" s="154"/>
      <c r="F2097" s="154"/>
      <c r="G2097" s="154"/>
    </row>
    <row r="2098" spans="1:7" x14ac:dyDescent="0.3">
      <c r="A2098" s="172" t="s">
        <v>4927</v>
      </c>
      <c r="B2098" s="115" t="s">
        <v>4928</v>
      </c>
      <c r="C2098" s="116">
        <v>48010</v>
      </c>
      <c r="E2098" s="154"/>
      <c r="F2098" s="154"/>
      <c r="G2098" s="154"/>
    </row>
    <row r="2099" spans="1:7" x14ac:dyDescent="0.3">
      <c r="A2099" s="172" t="s">
        <v>4929</v>
      </c>
      <c r="B2099" s="115" t="s">
        <v>4930</v>
      </c>
      <c r="C2099" s="116">
        <v>0.7</v>
      </c>
      <c r="E2099" s="154"/>
      <c r="F2099" s="154"/>
      <c r="G2099" s="154"/>
    </row>
    <row r="2100" spans="1:7" x14ac:dyDescent="0.3">
      <c r="A2100" s="172" t="s">
        <v>4931</v>
      </c>
      <c r="B2100" s="115" t="s">
        <v>4932</v>
      </c>
      <c r="C2100" s="116">
        <v>0</v>
      </c>
      <c r="E2100" s="154"/>
      <c r="F2100" s="154"/>
      <c r="G2100" s="154"/>
    </row>
    <row r="2101" spans="1:7" x14ac:dyDescent="0.3">
      <c r="A2101" s="172" t="s">
        <v>4933</v>
      </c>
      <c r="B2101" s="115" t="s">
        <v>4934</v>
      </c>
      <c r="C2101" s="116">
        <v>45766.5</v>
      </c>
      <c r="E2101" s="154"/>
      <c r="F2101" s="154"/>
      <c r="G2101" s="154"/>
    </row>
    <row r="2102" spans="1:7" x14ac:dyDescent="0.3">
      <c r="A2102" s="172" t="s">
        <v>4935</v>
      </c>
      <c r="B2102" s="115" t="s">
        <v>4936</v>
      </c>
      <c r="C2102" s="116">
        <v>0</v>
      </c>
      <c r="E2102" s="154"/>
      <c r="F2102" s="154"/>
      <c r="G2102" s="154"/>
    </row>
    <row r="2103" spans="1:7" x14ac:dyDescent="0.3">
      <c r="A2103" s="172" t="s">
        <v>4937</v>
      </c>
      <c r="B2103" s="115" t="s">
        <v>4938</v>
      </c>
      <c r="C2103" s="116">
        <v>0</v>
      </c>
      <c r="E2103" s="154"/>
      <c r="F2103" s="154"/>
      <c r="G2103" s="154"/>
    </row>
    <row r="2104" spans="1:7" x14ac:dyDescent="0.3">
      <c r="A2104" s="172" t="s">
        <v>4939</v>
      </c>
      <c r="B2104" s="115" t="s">
        <v>4940</v>
      </c>
      <c r="C2104" s="116">
        <v>0</v>
      </c>
      <c r="E2104" s="154"/>
      <c r="F2104" s="154"/>
      <c r="G2104" s="154"/>
    </row>
    <row r="2105" spans="1:7" x14ac:dyDescent="0.3">
      <c r="A2105" s="172" t="s">
        <v>4941</v>
      </c>
      <c r="B2105" s="115" t="s">
        <v>4942</v>
      </c>
      <c r="C2105" s="116">
        <v>0</v>
      </c>
      <c r="E2105" s="154"/>
      <c r="F2105" s="154"/>
      <c r="G2105" s="154"/>
    </row>
    <row r="2106" spans="1:7" x14ac:dyDescent="0.3">
      <c r="A2106" s="172" t="s">
        <v>4943</v>
      </c>
      <c r="B2106" s="115" t="s">
        <v>4944</v>
      </c>
      <c r="C2106" s="116">
        <v>2100</v>
      </c>
      <c r="E2106" s="154"/>
      <c r="F2106" s="154"/>
      <c r="G2106" s="154"/>
    </row>
    <row r="2107" spans="1:7" x14ac:dyDescent="0.3">
      <c r="A2107" s="172" t="s">
        <v>4945</v>
      </c>
      <c r="B2107" s="115" t="s">
        <v>4946</v>
      </c>
      <c r="C2107" s="116">
        <v>0</v>
      </c>
      <c r="E2107" s="154"/>
      <c r="F2107" s="154"/>
      <c r="G2107" s="154"/>
    </row>
    <row r="2108" spans="1:7" x14ac:dyDescent="0.3">
      <c r="A2108" s="172" t="s">
        <v>4947</v>
      </c>
      <c r="B2108" s="115" t="s">
        <v>4948</v>
      </c>
      <c r="C2108" s="116">
        <v>0</v>
      </c>
      <c r="E2108" s="154"/>
      <c r="F2108" s="154"/>
      <c r="G2108" s="154"/>
    </row>
    <row r="2109" spans="1:7" x14ac:dyDescent="0.3">
      <c r="A2109" s="172" t="s">
        <v>4949</v>
      </c>
      <c r="B2109" s="115" t="s">
        <v>4950</v>
      </c>
      <c r="C2109" s="116">
        <v>0</v>
      </c>
      <c r="E2109" s="154"/>
      <c r="F2109" s="154"/>
      <c r="G2109" s="154"/>
    </row>
    <row r="2110" spans="1:7" x14ac:dyDescent="0.3">
      <c r="A2110" s="172" t="s">
        <v>4951</v>
      </c>
      <c r="B2110" s="115" t="s">
        <v>4952</v>
      </c>
      <c r="C2110" s="116">
        <v>0</v>
      </c>
      <c r="E2110" s="154"/>
      <c r="F2110" s="154"/>
      <c r="G2110" s="154"/>
    </row>
    <row r="2111" spans="1:7" x14ac:dyDescent="0.3">
      <c r="A2111" s="172" t="s">
        <v>4953</v>
      </c>
      <c r="B2111" s="115" t="s">
        <v>4954</v>
      </c>
      <c r="C2111" s="116">
        <v>0</v>
      </c>
      <c r="E2111" s="154"/>
      <c r="F2111" s="154"/>
      <c r="G2111" s="154"/>
    </row>
    <row r="2112" spans="1:7" x14ac:dyDescent="0.3">
      <c r="A2112" s="172" t="s">
        <v>4955</v>
      </c>
      <c r="B2112" s="115" t="s">
        <v>4956</v>
      </c>
      <c r="C2112" s="116">
        <v>0</v>
      </c>
      <c r="E2112" s="154"/>
      <c r="F2112" s="154"/>
      <c r="G2112" s="154"/>
    </row>
    <row r="2113" spans="1:7" x14ac:dyDescent="0.3">
      <c r="A2113" s="172" t="s">
        <v>4957</v>
      </c>
      <c r="B2113" s="115" t="s">
        <v>4958</v>
      </c>
      <c r="C2113" s="116">
        <v>0</v>
      </c>
      <c r="E2113" s="154"/>
      <c r="F2113" s="154"/>
      <c r="G2113" s="154"/>
    </row>
    <row r="2114" spans="1:7" x14ac:dyDescent="0.3">
      <c r="A2114" s="172" t="s">
        <v>4959</v>
      </c>
      <c r="B2114" s="115" t="s">
        <v>4960</v>
      </c>
      <c r="C2114" s="116">
        <v>0</v>
      </c>
      <c r="E2114" s="154"/>
      <c r="F2114" s="154"/>
      <c r="G2114" s="154"/>
    </row>
    <row r="2115" spans="1:7" x14ac:dyDescent="0.3">
      <c r="A2115" s="172" t="s">
        <v>4961</v>
      </c>
      <c r="B2115" s="115" t="s">
        <v>4962</v>
      </c>
      <c r="C2115" s="116">
        <v>0</v>
      </c>
      <c r="E2115" s="154"/>
      <c r="F2115" s="154"/>
      <c r="G2115" s="154"/>
    </row>
    <row r="2116" spans="1:7" x14ac:dyDescent="0.3">
      <c r="A2116" s="172" t="s">
        <v>4963</v>
      </c>
      <c r="B2116" s="115" t="s">
        <v>4964</v>
      </c>
      <c r="C2116" s="116">
        <v>0</v>
      </c>
      <c r="E2116" s="154"/>
      <c r="F2116" s="154"/>
      <c r="G2116" s="154"/>
    </row>
    <row r="2117" spans="1:7" x14ac:dyDescent="0.3">
      <c r="A2117" s="172" t="s">
        <v>4965</v>
      </c>
      <c r="B2117" s="115" t="s">
        <v>4966</v>
      </c>
      <c r="C2117" s="116">
        <v>0.01</v>
      </c>
      <c r="E2117" s="154"/>
      <c r="F2117" s="154"/>
      <c r="G2117" s="154"/>
    </row>
    <row r="2118" spans="1:7" x14ac:dyDescent="0.3">
      <c r="A2118" s="172" t="s">
        <v>4967</v>
      </c>
      <c r="B2118" s="115" t="s">
        <v>4968</v>
      </c>
      <c r="C2118" s="116">
        <v>0</v>
      </c>
      <c r="E2118" s="154"/>
      <c r="F2118" s="154"/>
      <c r="G2118" s="154"/>
    </row>
    <row r="2119" spans="1:7" x14ac:dyDescent="0.3">
      <c r="A2119" s="172" t="s">
        <v>4969</v>
      </c>
      <c r="B2119" s="115" t="s">
        <v>4970</v>
      </c>
      <c r="C2119" s="116">
        <v>0</v>
      </c>
      <c r="E2119" s="154"/>
      <c r="F2119" s="154"/>
      <c r="G2119" s="154"/>
    </row>
    <row r="2120" spans="1:7" x14ac:dyDescent="0.3">
      <c r="A2120" s="172" t="s">
        <v>4971</v>
      </c>
      <c r="B2120" s="115" t="s">
        <v>4972</v>
      </c>
      <c r="C2120" s="116">
        <v>0</v>
      </c>
      <c r="E2120" s="154"/>
      <c r="F2120" s="154"/>
      <c r="G2120" s="154"/>
    </row>
    <row r="2121" spans="1:7" x14ac:dyDescent="0.3">
      <c r="A2121" s="172" t="s">
        <v>4973</v>
      </c>
      <c r="B2121" s="115" t="s">
        <v>4974</v>
      </c>
      <c r="C2121" s="116">
        <v>0</v>
      </c>
      <c r="E2121" s="154"/>
      <c r="F2121" s="154"/>
      <c r="G2121" s="154"/>
    </row>
    <row r="2122" spans="1:7" x14ac:dyDescent="0.3">
      <c r="A2122" s="172" t="s">
        <v>4975</v>
      </c>
      <c r="B2122" s="115" t="s">
        <v>4976</v>
      </c>
      <c r="C2122" s="116">
        <v>0</v>
      </c>
      <c r="E2122" s="154"/>
      <c r="F2122" s="154"/>
      <c r="G2122" s="154"/>
    </row>
    <row r="2123" spans="1:7" x14ac:dyDescent="0.3">
      <c r="A2123" s="172" t="s">
        <v>4977</v>
      </c>
      <c r="B2123" s="115" t="s">
        <v>4978</v>
      </c>
      <c r="C2123" s="116">
        <v>0</v>
      </c>
      <c r="E2123" s="154"/>
      <c r="F2123" s="154"/>
      <c r="G2123" s="154"/>
    </row>
    <row r="2124" spans="1:7" x14ac:dyDescent="0.3">
      <c r="A2124" s="172" t="s">
        <v>4979</v>
      </c>
      <c r="B2124" s="115" t="s">
        <v>4980</v>
      </c>
      <c r="C2124" s="116">
        <v>0</v>
      </c>
      <c r="E2124" s="154"/>
      <c r="F2124" s="154"/>
      <c r="G2124" s="154"/>
    </row>
    <row r="2125" spans="1:7" x14ac:dyDescent="0.3">
      <c r="A2125" s="172" t="s">
        <v>4981</v>
      </c>
      <c r="B2125" s="115" t="s">
        <v>4982</v>
      </c>
      <c r="C2125" s="116">
        <v>0</v>
      </c>
      <c r="E2125" s="154"/>
      <c r="F2125" s="154"/>
      <c r="G2125" s="154"/>
    </row>
    <row r="2126" spans="1:7" x14ac:dyDescent="0.3">
      <c r="A2126" s="172" t="s">
        <v>4983</v>
      </c>
      <c r="B2126" s="115" t="s">
        <v>4984</v>
      </c>
      <c r="C2126" s="116">
        <v>0</v>
      </c>
      <c r="E2126" s="154"/>
      <c r="F2126" s="154"/>
      <c r="G2126" s="154"/>
    </row>
    <row r="2127" spans="1:7" x14ac:dyDescent="0.3">
      <c r="A2127" s="172" t="s">
        <v>4985</v>
      </c>
      <c r="B2127" s="115" t="s">
        <v>4986</v>
      </c>
      <c r="C2127" s="116">
        <v>0</v>
      </c>
      <c r="E2127" s="154"/>
      <c r="F2127" s="154"/>
      <c r="G2127" s="154"/>
    </row>
    <row r="2128" spans="1:7" x14ac:dyDescent="0.3">
      <c r="A2128" s="172" t="s">
        <v>4987</v>
      </c>
      <c r="B2128" s="115" t="s">
        <v>4988</v>
      </c>
      <c r="C2128" s="116">
        <v>0</v>
      </c>
      <c r="E2128" s="154"/>
      <c r="F2128" s="154"/>
      <c r="G2128" s="154"/>
    </row>
    <row r="2129" spans="1:7" x14ac:dyDescent="0.3">
      <c r="A2129" s="172" t="s">
        <v>4989</v>
      </c>
      <c r="B2129" s="115" t="s">
        <v>4990</v>
      </c>
      <c r="C2129" s="116">
        <v>0</v>
      </c>
      <c r="E2129" s="154"/>
      <c r="F2129" s="154"/>
      <c r="G2129" s="154"/>
    </row>
    <row r="2130" spans="1:7" x14ac:dyDescent="0.3">
      <c r="A2130" s="172" t="s">
        <v>4991</v>
      </c>
      <c r="B2130" s="115" t="s">
        <v>4992</v>
      </c>
      <c r="C2130" s="116">
        <v>0</v>
      </c>
      <c r="E2130" s="154"/>
      <c r="F2130" s="154"/>
      <c r="G2130" s="154"/>
    </row>
    <row r="2131" spans="1:7" x14ac:dyDescent="0.3">
      <c r="A2131" s="172" t="s">
        <v>626</v>
      </c>
      <c r="B2131" s="115" t="s">
        <v>627</v>
      </c>
      <c r="C2131" s="116">
        <v>0</v>
      </c>
      <c r="E2131" s="154"/>
      <c r="F2131" s="154"/>
      <c r="G2131" s="154"/>
    </row>
    <row r="2132" spans="1:7" x14ac:dyDescent="0.3">
      <c r="A2132" s="172" t="s">
        <v>4993</v>
      </c>
      <c r="B2132" s="115" t="s">
        <v>4994</v>
      </c>
      <c r="C2132" s="116">
        <v>0</v>
      </c>
      <c r="E2132" s="154"/>
      <c r="F2132" s="154"/>
      <c r="G2132" s="154"/>
    </row>
    <row r="2133" spans="1:7" x14ac:dyDescent="0.3">
      <c r="A2133" s="172" t="s">
        <v>4995</v>
      </c>
      <c r="B2133" s="115" t="s">
        <v>4996</v>
      </c>
      <c r="C2133" s="116">
        <v>0</v>
      </c>
      <c r="E2133" s="154"/>
      <c r="F2133" s="154"/>
      <c r="G2133" s="154"/>
    </row>
    <row r="2134" spans="1:7" x14ac:dyDescent="0.3">
      <c r="A2134" s="172" t="s">
        <v>4997</v>
      </c>
      <c r="B2134" s="115" t="s">
        <v>4998</v>
      </c>
      <c r="C2134" s="116">
        <v>0</v>
      </c>
      <c r="E2134" s="154"/>
      <c r="F2134" s="154"/>
      <c r="G2134" s="154"/>
    </row>
    <row r="2135" spans="1:7" x14ac:dyDescent="0.3">
      <c r="A2135" s="172" t="s">
        <v>4999</v>
      </c>
      <c r="B2135" s="115" t="s">
        <v>5000</v>
      </c>
      <c r="C2135" s="116">
        <v>0</v>
      </c>
      <c r="E2135" s="154"/>
      <c r="F2135" s="154"/>
      <c r="G2135" s="154"/>
    </row>
    <row r="2136" spans="1:7" x14ac:dyDescent="0.3">
      <c r="A2136" s="172" t="s">
        <v>5001</v>
      </c>
      <c r="B2136" s="115" t="s">
        <v>5002</v>
      </c>
      <c r="C2136" s="116">
        <v>0</v>
      </c>
      <c r="E2136" s="154"/>
      <c r="F2136" s="154"/>
      <c r="G2136" s="154"/>
    </row>
    <row r="2137" spans="1:7" x14ac:dyDescent="0.3">
      <c r="A2137" s="172" t="s">
        <v>5003</v>
      </c>
      <c r="B2137" s="115" t="s">
        <v>5004</v>
      </c>
      <c r="C2137" s="116">
        <v>11912</v>
      </c>
      <c r="E2137" s="154"/>
      <c r="F2137" s="154"/>
      <c r="G2137" s="154"/>
    </row>
    <row r="2138" spans="1:7" x14ac:dyDescent="0.3">
      <c r="A2138" s="172" t="s">
        <v>724</v>
      </c>
      <c r="B2138" s="115" t="s">
        <v>725</v>
      </c>
      <c r="C2138" s="116">
        <v>-43088.88</v>
      </c>
      <c r="E2138" s="154"/>
      <c r="F2138" s="154"/>
      <c r="G2138" s="154"/>
    </row>
    <row r="2139" spans="1:7" x14ac:dyDescent="0.3">
      <c r="A2139" s="172" t="s">
        <v>5005</v>
      </c>
      <c r="B2139" s="115" t="s">
        <v>5006</v>
      </c>
      <c r="C2139" s="116">
        <v>-633880.29</v>
      </c>
      <c r="E2139" s="154"/>
      <c r="F2139" s="154"/>
      <c r="G2139" s="154"/>
    </row>
    <row r="2140" spans="1:7" x14ac:dyDescent="0.3">
      <c r="A2140" s="172" t="s">
        <v>5007</v>
      </c>
      <c r="B2140" s="115" t="s">
        <v>5008</v>
      </c>
      <c r="C2140" s="116">
        <v>1958662.99</v>
      </c>
      <c r="E2140" s="154"/>
      <c r="F2140" s="154"/>
      <c r="G2140" s="154"/>
    </row>
    <row r="2141" spans="1:7" x14ac:dyDescent="0.3">
      <c r="A2141" s="172" t="s">
        <v>5009</v>
      </c>
      <c r="B2141" s="115" t="s">
        <v>5010</v>
      </c>
      <c r="C2141" s="116">
        <v>0</v>
      </c>
      <c r="E2141" s="154"/>
      <c r="F2141" s="154"/>
      <c r="G2141" s="154"/>
    </row>
    <row r="2142" spans="1:7" x14ac:dyDescent="0.3">
      <c r="A2142" s="172" t="s">
        <v>5011</v>
      </c>
      <c r="B2142" s="115" t="s">
        <v>5012</v>
      </c>
      <c r="C2142" s="116">
        <v>2000000</v>
      </c>
      <c r="E2142" s="154"/>
      <c r="F2142" s="154"/>
      <c r="G2142" s="154"/>
    </row>
    <row r="2143" spans="1:7" x14ac:dyDescent="0.3">
      <c r="A2143" s="172" t="s">
        <v>5013</v>
      </c>
      <c r="B2143" s="115" t="s">
        <v>5014</v>
      </c>
      <c r="C2143" s="116">
        <v>125340</v>
      </c>
      <c r="E2143" s="154"/>
      <c r="F2143" s="154"/>
      <c r="G2143" s="154"/>
    </row>
    <row r="2144" spans="1:7" x14ac:dyDescent="0.3">
      <c r="A2144" s="172" t="s">
        <v>5015</v>
      </c>
      <c r="B2144" s="115" t="s">
        <v>5016</v>
      </c>
      <c r="C2144" s="116">
        <v>887682</v>
      </c>
      <c r="E2144" s="154"/>
      <c r="F2144" s="154"/>
      <c r="G2144" s="154"/>
    </row>
    <row r="2145" spans="1:7" x14ac:dyDescent="0.3">
      <c r="A2145" s="172" t="s">
        <v>5017</v>
      </c>
      <c r="B2145" s="115" t="s">
        <v>5018</v>
      </c>
      <c r="C2145" s="116">
        <v>5320905.2</v>
      </c>
      <c r="E2145" s="154"/>
      <c r="F2145" s="154"/>
      <c r="G2145" s="154"/>
    </row>
    <row r="2146" spans="1:7" x14ac:dyDescent="0.3">
      <c r="A2146" s="172" t="s">
        <v>5019</v>
      </c>
      <c r="B2146" s="115" t="s">
        <v>5020</v>
      </c>
      <c r="C2146" s="116">
        <v>-3264889.57</v>
      </c>
      <c r="E2146" s="154"/>
      <c r="F2146" s="154"/>
      <c r="G2146" s="154"/>
    </row>
    <row r="2147" spans="1:7" x14ac:dyDescent="0.3">
      <c r="A2147" s="172" t="s">
        <v>5021</v>
      </c>
      <c r="B2147" s="115" t="s">
        <v>5022</v>
      </c>
      <c r="C2147" s="116">
        <v>163761.70000000001</v>
      </c>
      <c r="E2147" s="154"/>
      <c r="F2147" s="154"/>
      <c r="G2147" s="154"/>
    </row>
    <row r="2148" spans="1:7" x14ac:dyDescent="0.3">
      <c r="A2148" s="172" t="s">
        <v>5023</v>
      </c>
      <c r="B2148" s="115" t="s">
        <v>5024</v>
      </c>
      <c r="C2148" s="116">
        <v>0.01</v>
      </c>
      <c r="E2148" s="154"/>
      <c r="F2148" s="154"/>
      <c r="G2148" s="154"/>
    </row>
    <row r="2149" spans="1:7" x14ac:dyDescent="0.3">
      <c r="A2149" s="172" t="s">
        <v>5025</v>
      </c>
      <c r="B2149" s="115" t="s">
        <v>5026</v>
      </c>
      <c r="C2149" s="116">
        <v>10930.28</v>
      </c>
      <c r="E2149" s="154"/>
      <c r="F2149" s="154"/>
      <c r="G2149" s="154"/>
    </row>
    <row r="2150" spans="1:7" x14ac:dyDescent="0.3">
      <c r="A2150" s="172" t="s">
        <v>5027</v>
      </c>
      <c r="B2150" s="115" t="s">
        <v>5028</v>
      </c>
      <c r="C2150" s="116">
        <v>48008.17</v>
      </c>
      <c r="E2150" s="154"/>
      <c r="F2150" s="154"/>
      <c r="G2150" s="154"/>
    </row>
    <row r="2151" spans="1:7" x14ac:dyDescent="0.3">
      <c r="A2151" s="172" t="s">
        <v>5029</v>
      </c>
      <c r="B2151" s="115" t="s">
        <v>5030</v>
      </c>
      <c r="C2151" s="116">
        <v>160597.94</v>
      </c>
      <c r="E2151" s="154"/>
      <c r="F2151" s="154"/>
      <c r="G2151" s="154"/>
    </row>
    <row r="2152" spans="1:7" x14ac:dyDescent="0.3">
      <c r="A2152" s="172" t="s">
        <v>5031</v>
      </c>
      <c r="B2152" s="115" t="s">
        <v>5032</v>
      </c>
      <c r="C2152" s="116">
        <v>202291</v>
      </c>
      <c r="E2152" s="154"/>
      <c r="F2152" s="154"/>
      <c r="G2152" s="154"/>
    </row>
    <row r="2153" spans="1:7" x14ac:dyDescent="0.3">
      <c r="A2153" s="172" t="s">
        <v>5033</v>
      </c>
      <c r="B2153" s="115" t="s">
        <v>5034</v>
      </c>
      <c r="C2153" s="116">
        <v>188606.88</v>
      </c>
      <c r="E2153" s="154"/>
      <c r="F2153" s="154"/>
      <c r="G2153" s="154"/>
    </row>
    <row r="2154" spans="1:7" x14ac:dyDescent="0.3">
      <c r="A2154" s="172" t="s">
        <v>5035</v>
      </c>
      <c r="B2154" s="115" t="s">
        <v>5036</v>
      </c>
      <c r="C2154" s="116">
        <v>195692.62</v>
      </c>
      <c r="E2154" s="154"/>
      <c r="F2154" s="154"/>
      <c r="G2154" s="154"/>
    </row>
    <row r="2155" spans="1:7" x14ac:dyDescent="0.3">
      <c r="A2155" s="172" t="s">
        <v>5037</v>
      </c>
      <c r="B2155" s="115" t="s">
        <v>5038</v>
      </c>
      <c r="C2155" s="116">
        <v>0</v>
      </c>
      <c r="E2155" s="154"/>
      <c r="F2155" s="154"/>
      <c r="G2155" s="154"/>
    </row>
    <row r="2156" spans="1:7" x14ac:dyDescent="0.3">
      <c r="A2156" s="172" t="s">
        <v>5039</v>
      </c>
      <c r="B2156" s="115" t="s">
        <v>5040</v>
      </c>
      <c r="C2156" s="116">
        <v>255647</v>
      </c>
      <c r="E2156" s="154"/>
      <c r="F2156" s="154"/>
      <c r="G2156" s="154"/>
    </row>
    <row r="2157" spans="1:7" x14ac:dyDescent="0.3">
      <c r="A2157" s="172" t="s">
        <v>5041</v>
      </c>
      <c r="B2157" s="115" t="s">
        <v>5042</v>
      </c>
      <c r="C2157" s="116">
        <v>340678</v>
      </c>
      <c r="E2157" s="154"/>
      <c r="F2157" s="154"/>
      <c r="G2157" s="154"/>
    </row>
    <row r="2158" spans="1:7" x14ac:dyDescent="0.3">
      <c r="A2158" s="172" t="s">
        <v>5043</v>
      </c>
      <c r="B2158" s="115" t="s">
        <v>5044</v>
      </c>
      <c r="C2158" s="116">
        <v>3000</v>
      </c>
      <c r="E2158" s="154"/>
      <c r="F2158" s="154"/>
      <c r="G2158" s="154"/>
    </row>
    <row r="2159" spans="1:7" x14ac:dyDescent="0.3">
      <c r="A2159" s="172" t="s">
        <v>5045</v>
      </c>
      <c r="B2159" s="115" t="s">
        <v>5046</v>
      </c>
      <c r="C2159" s="116">
        <v>125658.21</v>
      </c>
      <c r="E2159" s="154"/>
      <c r="F2159" s="154"/>
      <c r="G2159" s="154"/>
    </row>
    <row r="2160" spans="1:7" x14ac:dyDescent="0.3">
      <c r="A2160" s="172" t="s">
        <v>5047</v>
      </c>
      <c r="B2160" s="115" t="s">
        <v>5048</v>
      </c>
      <c r="C2160" s="116">
        <v>200256.25</v>
      </c>
      <c r="E2160" s="154"/>
      <c r="F2160" s="154"/>
      <c r="G2160" s="154"/>
    </row>
    <row r="2161" spans="1:7" x14ac:dyDescent="0.3">
      <c r="A2161" s="172" t="s">
        <v>5049</v>
      </c>
      <c r="B2161" s="115" t="s">
        <v>5050</v>
      </c>
      <c r="C2161" s="116">
        <v>21460</v>
      </c>
      <c r="E2161" s="154"/>
      <c r="F2161" s="154"/>
      <c r="G2161" s="154"/>
    </row>
    <row r="2162" spans="1:7" x14ac:dyDescent="0.3">
      <c r="A2162" s="172" t="s">
        <v>5051</v>
      </c>
      <c r="B2162" s="115" t="s">
        <v>5052</v>
      </c>
      <c r="C2162" s="116">
        <v>5381939.5</v>
      </c>
      <c r="E2162" s="154"/>
      <c r="F2162" s="154"/>
      <c r="G2162" s="154"/>
    </row>
    <row r="2163" spans="1:7" x14ac:dyDescent="0.3">
      <c r="A2163" s="172" t="s">
        <v>5053</v>
      </c>
      <c r="B2163" s="115" t="s">
        <v>5054</v>
      </c>
      <c r="C2163" s="116">
        <v>111138.55</v>
      </c>
      <c r="E2163" s="154"/>
      <c r="F2163" s="154"/>
      <c r="G2163" s="154"/>
    </row>
    <row r="2164" spans="1:7" x14ac:dyDescent="0.3">
      <c r="A2164" s="172" t="s">
        <v>5055</v>
      </c>
      <c r="B2164" s="115" t="s">
        <v>5056</v>
      </c>
      <c r="C2164" s="116">
        <v>196967.59</v>
      </c>
      <c r="E2164" s="154"/>
      <c r="F2164" s="154"/>
      <c r="G2164" s="154"/>
    </row>
    <row r="2165" spans="1:7" x14ac:dyDescent="0.3">
      <c r="A2165" s="172" t="s">
        <v>5057</v>
      </c>
      <c r="B2165" s="115" t="s">
        <v>5058</v>
      </c>
      <c r="C2165" s="116">
        <v>111138.55</v>
      </c>
      <c r="E2165" s="154"/>
      <c r="F2165" s="154"/>
      <c r="G2165" s="154"/>
    </row>
    <row r="2166" spans="1:7" x14ac:dyDescent="0.3">
      <c r="A2166" s="172" t="s">
        <v>5059</v>
      </c>
      <c r="B2166" s="115" t="s">
        <v>5060</v>
      </c>
      <c r="C2166" s="116">
        <v>-1162259.8899999999</v>
      </c>
      <c r="E2166" s="154"/>
      <c r="F2166" s="154"/>
      <c r="G2166" s="154"/>
    </row>
    <row r="2167" spans="1:7" x14ac:dyDescent="0.3">
      <c r="A2167" s="172" t="s">
        <v>5061</v>
      </c>
      <c r="B2167" s="115" t="s">
        <v>5062</v>
      </c>
      <c r="C2167" s="116">
        <v>176323.12</v>
      </c>
      <c r="E2167" s="154"/>
      <c r="F2167" s="154"/>
      <c r="G2167" s="154"/>
    </row>
    <row r="2168" spans="1:7" x14ac:dyDescent="0.3">
      <c r="A2168" s="172" t="s">
        <v>5063</v>
      </c>
      <c r="B2168" s="115" t="s">
        <v>5064</v>
      </c>
      <c r="C2168" s="116">
        <v>1416334238.8299999</v>
      </c>
      <c r="E2168" s="154"/>
      <c r="F2168" s="154"/>
      <c r="G2168" s="154"/>
    </row>
    <row r="2169" spans="1:7" x14ac:dyDescent="0.3">
      <c r="A2169" s="172" t="s">
        <v>5065</v>
      </c>
      <c r="B2169" s="115" t="s">
        <v>5066</v>
      </c>
      <c r="C2169" s="116">
        <v>2989.34</v>
      </c>
      <c r="E2169" s="154"/>
      <c r="F2169" s="154"/>
      <c r="G2169" s="154"/>
    </row>
    <row r="2170" spans="1:7" x14ac:dyDescent="0.3">
      <c r="A2170" s="172" t="s">
        <v>5067</v>
      </c>
      <c r="B2170" s="115" t="s">
        <v>5068</v>
      </c>
      <c r="C2170" s="116">
        <v>18185</v>
      </c>
      <c r="E2170" s="154"/>
      <c r="F2170" s="154"/>
      <c r="G2170" s="154"/>
    </row>
    <row r="2171" spans="1:7" x14ac:dyDescent="0.3">
      <c r="A2171" s="172" t="s">
        <v>5069</v>
      </c>
      <c r="B2171" s="115" t="s">
        <v>5070</v>
      </c>
      <c r="C2171" s="116">
        <v>53525</v>
      </c>
      <c r="E2171" s="154"/>
      <c r="F2171" s="154"/>
      <c r="G2171" s="154"/>
    </row>
    <row r="2172" spans="1:7" x14ac:dyDescent="0.3">
      <c r="A2172" s="172" t="s">
        <v>1069</v>
      </c>
      <c r="B2172" s="115" t="s">
        <v>1070</v>
      </c>
      <c r="C2172" s="116">
        <v>-2290</v>
      </c>
      <c r="E2172" s="154"/>
      <c r="F2172" s="154"/>
      <c r="G2172" s="154"/>
    </row>
    <row r="2173" spans="1:7" x14ac:dyDescent="0.3">
      <c r="A2173" s="172" t="s">
        <v>5071</v>
      </c>
      <c r="B2173" s="115" t="s">
        <v>5072</v>
      </c>
      <c r="C2173" s="116">
        <v>0</v>
      </c>
      <c r="E2173" s="154"/>
      <c r="F2173" s="154"/>
      <c r="G2173" s="154"/>
    </row>
    <row r="2174" spans="1:7" x14ac:dyDescent="0.3">
      <c r="A2174" s="172" t="s">
        <v>5073</v>
      </c>
      <c r="B2174" s="115" t="s">
        <v>5074</v>
      </c>
      <c r="C2174" s="116">
        <v>0</v>
      </c>
      <c r="E2174" s="154"/>
      <c r="F2174" s="154"/>
      <c r="G2174" s="154"/>
    </row>
    <row r="2175" spans="1:7" x14ac:dyDescent="0.3">
      <c r="A2175" s="172" t="s">
        <v>5075</v>
      </c>
      <c r="B2175" s="115" t="s">
        <v>5076</v>
      </c>
      <c r="C2175" s="116">
        <v>907054</v>
      </c>
      <c r="E2175" s="154"/>
      <c r="F2175" s="154"/>
      <c r="G2175" s="154"/>
    </row>
    <row r="2176" spans="1:7" x14ac:dyDescent="0.3">
      <c r="A2176" s="172" t="s">
        <v>5077</v>
      </c>
      <c r="B2176" s="115" t="s">
        <v>5078</v>
      </c>
      <c r="C2176" s="116">
        <v>58564.12</v>
      </c>
      <c r="E2176" s="154"/>
      <c r="F2176" s="154"/>
      <c r="G2176" s="154"/>
    </row>
    <row r="2177" spans="1:7" x14ac:dyDescent="0.3">
      <c r="A2177" s="172" t="s">
        <v>5079</v>
      </c>
      <c r="B2177" s="115" t="s">
        <v>5080</v>
      </c>
      <c r="C2177" s="116">
        <v>100747</v>
      </c>
      <c r="E2177" s="154"/>
      <c r="F2177" s="154"/>
      <c r="G2177" s="154"/>
    </row>
    <row r="2178" spans="1:7" x14ac:dyDescent="0.3">
      <c r="A2178" s="172" t="s">
        <v>5081</v>
      </c>
      <c r="B2178" s="115" t="s">
        <v>5082</v>
      </c>
      <c r="C2178" s="116">
        <v>90659.69</v>
      </c>
      <c r="E2178" s="154"/>
      <c r="F2178" s="154"/>
      <c r="G2178" s="154"/>
    </row>
    <row r="2179" spans="1:7" x14ac:dyDescent="0.3">
      <c r="A2179" s="172" t="s">
        <v>5083</v>
      </c>
      <c r="B2179" s="115" t="s">
        <v>5084</v>
      </c>
      <c r="C2179" s="116">
        <v>77132.5</v>
      </c>
      <c r="E2179" s="154"/>
      <c r="F2179" s="154"/>
      <c r="G2179" s="154"/>
    </row>
    <row r="2180" spans="1:7" x14ac:dyDescent="0.3">
      <c r="A2180" s="172" t="s">
        <v>5085</v>
      </c>
      <c r="B2180" s="115" t="s">
        <v>5086</v>
      </c>
      <c r="C2180" s="116">
        <v>111138.55</v>
      </c>
      <c r="E2180" s="154"/>
      <c r="F2180" s="154"/>
      <c r="G2180" s="154"/>
    </row>
    <row r="2181" spans="1:7" x14ac:dyDescent="0.3">
      <c r="A2181" s="172" t="s">
        <v>5087</v>
      </c>
      <c r="B2181" s="115" t="s">
        <v>5088</v>
      </c>
      <c r="C2181" s="116">
        <v>0</v>
      </c>
      <c r="E2181" s="154"/>
      <c r="F2181" s="154"/>
      <c r="G2181" s="154"/>
    </row>
    <row r="2182" spans="1:7" x14ac:dyDescent="0.3">
      <c r="A2182" s="172" t="s">
        <v>5089</v>
      </c>
      <c r="B2182" s="115" t="s">
        <v>5090</v>
      </c>
      <c r="C2182" s="116">
        <v>0</v>
      </c>
      <c r="E2182" s="154"/>
      <c r="F2182" s="154"/>
      <c r="G2182" s="154"/>
    </row>
    <row r="2183" spans="1:7" x14ac:dyDescent="0.3">
      <c r="A2183" s="172" t="s">
        <v>5091</v>
      </c>
      <c r="B2183" s="115" t="s">
        <v>5092</v>
      </c>
      <c r="C2183" s="116">
        <v>11176.45</v>
      </c>
      <c r="E2183" s="154"/>
      <c r="F2183" s="154"/>
      <c r="G2183" s="154"/>
    </row>
    <row r="2184" spans="1:7" x14ac:dyDescent="0.3">
      <c r="A2184" s="172" t="s">
        <v>5093</v>
      </c>
      <c r="B2184" s="115" t="s">
        <v>5094</v>
      </c>
      <c r="C2184" s="116">
        <v>81824.800000000003</v>
      </c>
      <c r="E2184" s="154"/>
      <c r="F2184" s="154"/>
      <c r="G2184" s="154"/>
    </row>
    <row r="2185" spans="1:7" x14ac:dyDescent="0.3">
      <c r="A2185" s="172" t="s">
        <v>5095</v>
      </c>
      <c r="B2185" s="115" t="s">
        <v>5096</v>
      </c>
      <c r="C2185" s="116">
        <v>0</v>
      </c>
      <c r="E2185" s="154"/>
      <c r="F2185" s="154"/>
      <c r="G2185" s="154"/>
    </row>
    <row r="2186" spans="1:7" x14ac:dyDescent="0.3">
      <c r="A2186" s="172" t="s">
        <v>5097</v>
      </c>
      <c r="B2186" s="115" t="s">
        <v>5098</v>
      </c>
      <c r="C2186" s="116">
        <v>0</v>
      </c>
      <c r="E2186" s="154"/>
      <c r="F2186" s="154"/>
      <c r="G2186" s="154"/>
    </row>
    <row r="2187" spans="1:7" x14ac:dyDescent="0.3">
      <c r="A2187" s="172" t="s">
        <v>656</v>
      </c>
      <c r="B2187" s="115" t="s">
        <v>657</v>
      </c>
      <c r="C2187" s="116">
        <v>0.37</v>
      </c>
      <c r="E2187" s="154"/>
      <c r="F2187" s="154"/>
      <c r="G2187" s="154"/>
    </row>
    <row r="2188" spans="1:7" x14ac:dyDescent="0.3">
      <c r="A2188" s="172" t="s">
        <v>5099</v>
      </c>
      <c r="B2188" s="115" t="s">
        <v>5100</v>
      </c>
      <c r="C2188" s="116">
        <v>11786565.15</v>
      </c>
      <c r="E2188" s="154"/>
      <c r="F2188" s="154"/>
      <c r="G2188" s="154"/>
    </row>
    <row r="2189" spans="1:7" x14ac:dyDescent="0.3">
      <c r="A2189" s="172" t="s">
        <v>5101</v>
      </c>
      <c r="B2189" s="115" t="s">
        <v>5102</v>
      </c>
      <c r="C2189" s="116">
        <v>0</v>
      </c>
      <c r="E2189" s="154"/>
      <c r="F2189" s="154"/>
      <c r="G2189" s="154"/>
    </row>
    <row r="2190" spans="1:7" x14ac:dyDescent="0.3">
      <c r="A2190" s="172" t="s">
        <v>5103</v>
      </c>
      <c r="B2190" s="115" t="s">
        <v>5104</v>
      </c>
      <c r="C2190" s="116">
        <v>0</v>
      </c>
      <c r="E2190" s="154"/>
      <c r="F2190" s="154"/>
      <c r="G2190" s="154"/>
    </row>
    <row r="2191" spans="1:7" x14ac:dyDescent="0.3">
      <c r="A2191" s="172" t="s">
        <v>5105</v>
      </c>
      <c r="B2191" s="115" t="s">
        <v>5106</v>
      </c>
      <c r="C2191" s="116">
        <v>0</v>
      </c>
      <c r="E2191" s="154"/>
      <c r="F2191" s="154"/>
      <c r="G2191" s="154"/>
    </row>
    <row r="2192" spans="1:7" x14ac:dyDescent="0.3">
      <c r="A2192" s="172" t="s">
        <v>5107</v>
      </c>
      <c r="B2192" s="115" t="s">
        <v>5108</v>
      </c>
      <c r="C2192" s="116">
        <v>0</v>
      </c>
      <c r="E2192" s="154"/>
      <c r="F2192" s="154"/>
      <c r="G2192" s="154"/>
    </row>
    <row r="2193" spans="1:7" x14ac:dyDescent="0.3">
      <c r="A2193" s="172" t="s">
        <v>5109</v>
      </c>
      <c r="B2193" s="115" t="s">
        <v>5110</v>
      </c>
      <c r="C2193" s="116">
        <v>0</v>
      </c>
      <c r="E2193" s="154"/>
      <c r="F2193" s="154"/>
      <c r="G2193" s="154"/>
    </row>
    <row r="2194" spans="1:7" x14ac:dyDescent="0.3">
      <c r="A2194" s="172" t="s">
        <v>5111</v>
      </c>
      <c r="B2194" s="115" t="s">
        <v>5112</v>
      </c>
      <c r="C2194" s="116">
        <v>0</v>
      </c>
      <c r="E2194" s="154"/>
      <c r="F2194" s="154"/>
      <c r="G2194" s="154"/>
    </row>
    <row r="2195" spans="1:7" x14ac:dyDescent="0.3">
      <c r="A2195" s="172" t="s">
        <v>5113</v>
      </c>
      <c r="B2195" s="115" t="s">
        <v>5114</v>
      </c>
      <c r="C2195" s="116">
        <v>0</v>
      </c>
      <c r="E2195" s="154"/>
      <c r="F2195" s="154"/>
      <c r="G2195" s="154"/>
    </row>
    <row r="2196" spans="1:7" x14ac:dyDescent="0.3">
      <c r="A2196" s="172" t="s">
        <v>5115</v>
      </c>
      <c r="B2196" s="115" t="s">
        <v>5116</v>
      </c>
      <c r="C2196" s="116">
        <v>0</v>
      </c>
      <c r="E2196" s="154"/>
      <c r="F2196" s="154"/>
      <c r="G2196" s="154"/>
    </row>
    <row r="2197" spans="1:7" x14ac:dyDescent="0.3">
      <c r="A2197" s="172" t="s">
        <v>5117</v>
      </c>
      <c r="B2197" s="115" t="s">
        <v>5118</v>
      </c>
      <c r="C2197" s="116">
        <v>0</v>
      </c>
      <c r="E2197" s="154"/>
      <c r="F2197" s="154"/>
      <c r="G2197" s="154"/>
    </row>
    <row r="2198" spans="1:7" x14ac:dyDescent="0.3">
      <c r="A2198" s="172" t="s">
        <v>5119</v>
      </c>
      <c r="B2198" s="115" t="s">
        <v>5120</v>
      </c>
      <c r="C2198" s="116">
        <v>0</v>
      </c>
      <c r="E2198" s="154"/>
      <c r="F2198" s="154"/>
      <c r="G2198" s="154"/>
    </row>
    <row r="2199" spans="1:7" x14ac:dyDescent="0.3">
      <c r="A2199" s="172" t="s">
        <v>5121</v>
      </c>
      <c r="B2199" s="115" t="s">
        <v>5122</v>
      </c>
      <c r="C2199" s="116">
        <v>0</v>
      </c>
      <c r="E2199" s="154"/>
      <c r="F2199" s="154"/>
      <c r="G2199" s="154"/>
    </row>
    <row r="2200" spans="1:7" x14ac:dyDescent="0.3">
      <c r="A2200" s="172" t="s">
        <v>5123</v>
      </c>
      <c r="B2200" s="115" t="s">
        <v>5124</v>
      </c>
      <c r="C2200" s="116">
        <v>0</v>
      </c>
      <c r="E2200" s="154"/>
      <c r="F2200" s="154"/>
      <c r="G2200" s="154"/>
    </row>
    <row r="2201" spans="1:7" x14ac:dyDescent="0.3">
      <c r="A2201" s="172" t="s">
        <v>5125</v>
      </c>
      <c r="B2201" s="115" t="s">
        <v>5126</v>
      </c>
      <c r="C2201" s="116">
        <v>0</v>
      </c>
      <c r="E2201" s="154"/>
      <c r="F2201" s="154"/>
      <c r="G2201" s="154"/>
    </row>
    <row r="2202" spans="1:7" x14ac:dyDescent="0.3">
      <c r="A2202" s="172" t="s">
        <v>5127</v>
      </c>
      <c r="B2202" s="115" t="s">
        <v>5128</v>
      </c>
      <c r="C2202" s="116">
        <v>0</v>
      </c>
      <c r="E2202" s="154"/>
      <c r="F2202" s="154"/>
      <c r="G2202" s="154"/>
    </row>
    <row r="2203" spans="1:7" x14ac:dyDescent="0.3">
      <c r="A2203" s="172" t="s">
        <v>688</v>
      </c>
      <c r="B2203" s="115" t="s">
        <v>689</v>
      </c>
      <c r="C2203" s="116">
        <v>1.23</v>
      </c>
      <c r="E2203" s="154"/>
      <c r="F2203" s="154"/>
      <c r="G2203" s="154"/>
    </row>
    <row r="2204" spans="1:7" x14ac:dyDescent="0.3">
      <c r="A2204" s="172" t="s">
        <v>5129</v>
      </c>
      <c r="B2204" s="115" t="s">
        <v>5130</v>
      </c>
      <c r="C2204" s="116">
        <v>0</v>
      </c>
      <c r="E2204" s="154"/>
      <c r="F2204" s="154"/>
      <c r="G2204" s="154"/>
    </row>
    <row r="2205" spans="1:7" x14ac:dyDescent="0.3">
      <c r="A2205" s="172" t="s">
        <v>5131</v>
      </c>
      <c r="B2205" s="115" t="s">
        <v>5132</v>
      </c>
      <c r="C2205" s="116">
        <v>0</v>
      </c>
      <c r="E2205" s="154"/>
      <c r="F2205" s="154"/>
      <c r="G2205" s="154"/>
    </row>
    <row r="2206" spans="1:7" x14ac:dyDescent="0.3">
      <c r="A2206" s="172" t="s">
        <v>5133</v>
      </c>
      <c r="B2206" s="115" t="s">
        <v>5134</v>
      </c>
      <c r="C2206" s="116">
        <v>0</v>
      </c>
      <c r="E2206" s="154"/>
      <c r="F2206" s="154"/>
      <c r="G2206" s="154"/>
    </row>
    <row r="2207" spans="1:7" x14ac:dyDescent="0.3">
      <c r="A2207" s="172" t="s">
        <v>5135</v>
      </c>
      <c r="B2207" s="115" t="s">
        <v>5136</v>
      </c>
      <c r="C2207" s="116">
        <v>0</v>
      </c>
      <c r="E2207" s="154"/>
      <c r="F2207" s="154"/>
      <c r="G2207" s="154"/>
    </row>
    <row r="2208" spans="1:7" x14ac:dyDescent="0.3">
      <c r="A2208" s="172" t="s">
        <v>5137</v>
      </c>
      <c r="B2208" s="115" t="s">
        <v>5138</v>
      </c>
      <c r="C2208" s="116">
        <v>0</v>
      </c>
      <c r="E2208" s="154"/>
      <c r="F2208" s="154"/>
      <c r="G2208" s="154"/>
    </row>
    <row r="2209" spans="1:7" x14ac:dyDescent="0.3">
      <c r="A2209" s="172" t="s">
        <v>5139</v>
      </c>
      <c r="B2209" s="115" t="s">
        <v>5140</v>
      </c>
      <c r="C2209" s="116">
        <v>0</v>
      </c>
      <c r="E2209" s="154"/>
      <c r="F2209" s="154"/>
      <c r="G2209" s="154"/>
    </row>
    <row r="2210" spans="1:7" x14ac:dyDescent="0.3">
      <c r="A2210" s="172" t="s">
        <v>5141</v>
      </c>
      <c r="B2210" s="115" t="s">
        <v>5142</v>
      </c>
      <c r="C2210" s="116">
        <v>0</v>
      </c>
      <c r="E2210" s="154"/>
      <c r="F2210" s="154"/>
      <c r="G2210" s="154"/>
    </row>
    <row r="2211" spans="1:7" x14ac:dyDescent="0.3">
      <c r="A2211" s="172" t="s">
        <v>582</v>
      </c>
      <c r="B2211" s="115" t="s">
        <v>5143</v>
      </c>
      <c r="C2211" s="116">
        <v>0</v>
      </c>
      <c r="E2211" s="154"/>
      <c r="F2211" s="154"/>
      <c r="G2211" s="154"/>
    </row>
    <row r="2212" spans="1:7" x14ac:dyDescent="0.3">
      <c r="A2212" s="172" t="s">
        <v>5144</v>
      </c>
      <c r="B2212" s="115" t="s">
        <v>5145</v>
      </c>
      <c r="C2212" s="116">
        <v>0</v>
      </c>
      <c r="E2212" s="154"/>
      <c r="F2212" s="154"/>
      <c r="G2212" s="154"/>
    </row>
    <row r="2213" spans="1:7" x14ac:dyDescent="0.3">
      <c r="A2213" s="172" t="s">
        <v>638</v>
      </c>
      <c r="B2213" s="115" t="s">
        <v>639</v>
      </c>
      <c r="C2213" s="116">
        <v>0</v>
      </c>
      <c r="E2213" s="154"/>
      <c r="F2213" s="154"/>
      <c r="G2213" s="154"/>
    </row>
    <row r="2214" spans="1:7" x14ac:dyDescent="0.3">
      <c r="A2214" s="172" t="s">
        <v>5146</v>
      </c>
      <c r="B2214" s="115" t="s">
        <v>5147</v>
      </c>
      <c r="C2214" s="116">
        <v>0</v>
      </c>
      <c r="E2214" s="154"/>
      <c r="F2214" s="154"/>
      <c r="G2214" s="154"/>
    </row>
    <row r="2215" spans="1:7" x14ac:dyDescent="0.3">
      <c r="A2215" s="172" t="s">
        <v>5148</v>
      </c>
      <c r="B2215" s="115" t="s">
        <v>5149</v>
      </c>
      <c r="C2215" s="116">
        <v>0</v>
      </c>
      <c r="E2215" s="154"/>
      <c r="F2215" s="154"/>
      <c r="G2215" s="154"/>
    </row>
    <row r="2216" spans="1:7" x14ac:dyDescent="0.3">
      <c r="A2216" s="172" t="s">
        <v>5150</v>
      </c>
      <c r="B2216" s="115" t="s">
        <v>5151</v>
      </c>
      <c r="C2216" s="116">
        <v>0</v>
      </c>
      <c r="E2216" s="154"/>
      <c r="F2216" s="154"/>
      <c r="G2216" s="154"/>
    </row>
    <row r="2217" spans="1:7" x14ac:dyDescent="0.3">
      <c r="A2217" s="172" t="s">
        <v>5152</v>
      </c>
      <c r="B2217" s="115" t="s">
        <v>5153</v>
      </c>
      <c r="C2217" s="116">
        <v>0</v>
      </c>
      <c r="E2217" s="154"/>
      <c r="F2217" s="154"/>
      <c r="G2217" s="154"/>
    </row>
    <row r="2218" spans="1:7" x14ac:dyDescent="0.3">
      <c r="A2218" s="172" t="s">
        <v>5154</v>
      </c>
      <c r="B2218" s="115" t="s">
        <v>5155</v>
      </c>
      <c r="C2218" s="116">
        <v>0</v>
      </c>
      <c r="E2218" s="154"/>
      <c r="F2218" s="154"/>
      <c r="G2218" s="154"/>
    </row>
    <row r="2219" spans="1:7" x14ac:dyDescent="0.3">
      <c r="A2219" s="172" t="s">
        <v>5156</v>
      </c>
      <c r="B2219" s="115" t="s">
        <v>5157</v>
      </c>
      <c r="C2219" s="116">
        <v>0</v>
      </c>
      <c r="E2219" s="154"/>
      <c r="F2219" s="154"/>
      <c r="G2219" s="154"/>
    </row>
    <row r="2220" spans="1:7" x14ac:dyDescent="0.3">
      <c r="A2220" s="172" t="s">
        <v>5158</v>
      </c>
      <c r="B2220" s="115" t="s">
        <v>5159</v>
      </c>
      <c r="C2220" s="116">
        <v>0</v>
      </c>
      <c r="E2220" s="154"/>
      <c r="F2220" s="154"/>
      <c r="G2220" s="154"/>
    </row>
    <row r="2221" spans="1:7" x14ac:dyDescent="0.3">
      <c r="A2221" s="172" t="s">
        <v>5160</v>
      </c>
      <c r="B2221" s="115" t="s">
        <v>5161</v>
      </c>
      <c r="C2221" s="116">
        <v>0</v>
      </c>
      <c r="E2221" s="154"/>
      <c r="F2221" s="154"/>
      <c r="G2221" s="154"/>
    </row>
    <row r="2222" spans="1:7" x14ac:dyDescent="0.3">
      <c r="A2222" s="172" t="s">
        <v>5162</v>
      </c>
      <c r="B2222" s="115" t="s">
        <v>5163</v>
      </c>
      <c r="C2222" s="116">
        <v>0</v>
      </c>
      <c r="E2222" s="154"/>
      <c r="F2222" s="154"/>
      <c r="G2222" s="154"/>
    </row>
    <row r="2223" spans="1:7" x14ac:dyDescent="0.3">
      <c r="A2223" s="172" t="s">
        <v>5164</v>
      </c>
      <c r="B2223" s="115" t="s">
        <v>5165</v>
      </c>
      <c r="C2223" s="116">
        <v>0</v>
      </c>
      <c r="E2223" s="154"/>
      <c r="F2223" s="154"/>
      <c r="G2223" s="154"/>
    </row>
    <row r="2224" spans="1:7" x14ac:dyDescent="0.3">
      <c r="A2224" s="172" t="s">
        <v>5166</v>
      </c>
      <c r="B2224" s="115" t="s">
        <v>5167</v>
      </c>
      <c r="C2224" s="116">
        <v>0</v>
      </c>
      <c r="E2224" s="154"/>
      <c r="F2224" s="154"/>
      <c r="G2224" s="154"/>
    </row>
    <row r="2225" spans="1:7" x14ac:dyDescent="0.3">
      <c r="A2225" s="172" t="s">
        <v>1075</v>
      </c>
      <c r="B2225" s="115" t="s">
        <v>1076</v>
      </c>
      <c r="C2225" s="116">
        <v>-4571778.17</v>
      </c>
      <c r="E2225" s="154"/>
      <c r="F2225" s="154"/>
      <c r="G2225" s="154"/>
    </row>
    <row r="2226" spans="1:7" x14ac:dyDescent="0.3">
      <c r="A2226" s="172" t="s">
        <v>1004</v>
      </c>
      <c r="B2226" s="115" t="s">
        <v>1005</v>
      </c>
      <c r="C2226" s="116">
        <v>0</v>
      </c>
      <c r="E2226" s="154"/>
      <c r="F2226" s="154"/>
      <c r="G2226" s="154"/>
    </row>
    <row r="2227" spans="1:7" x14ac:dyDescent="0.3">
      <c r="A2227" s="172" t="s">
        <v>5168</v>
      </c>
      <c r="B2227" s="115" t="s">
        <v>5169</v>
      </c>
      <c r="C2227" s="116">
        <v>0</v>
      </c>
      <c r="E2227" s="154"/>
      <c r="F2227" s="154"/>
      <c r="G2227" s="154"/>
    </row>
    <row r="2228" spans="1:7" x14ac:dyDescent="0.3">
      <c r="A2228" s="172" t="s">
        <v>716</v>
      </c>
      <c r="B2228" s="115" t="s">
        <v>717</v>
      </c>
      <c r="C2228" s="116">
        <v>-1329761.8400000001</v>
      </c>
      <c r="E2228" s="154"/>
      <c r="F2228" s="154"/>
      <c r="G2228" s="154"/>
    </row>
    <row r="2229" spans="1:7" x14ac:dyDescent="0.3">
      <c r="A2229" s="172" t="s">
        <v>5170</v>
      </c>
      <c r="B2229" s="115" t="s">
        <v>5171</v>
      </c>
      <c r="C2229" s="116">
        <v>31315.38</v>
      </c>
      <c r="E2229" s="154"/>
      <c r="F2229" s="154"/>
      <c r="G2229" s="154"/>
    </row>
    <row r="2230" spans="1:7" x14ac:dyDescent="0.3">
      <c r="A2230" s="172" t="s">
        <v>5172</v>
      </c>
      <c r="B2230" s="115" t="s">
        <v>5173</v>
      </c>
      <c r="C2230" s="116">
        <v>268754.18</v>
      </c>
      <c r="E2230" s="154"/>
      <c r="F2230" s="154"/>
      <c r="G2230" s="154"/>
    </row>
    <row r="2231" spans="1:7" x14ac:dyDescent="0.3">
      <c r="A2231" s="172" t="s">
        <v>838</v>
      </c>
      <c r="B2231" s="115" t="s">
        <v>839</v>
      </c>
      <c r="C2231" s="116">
        <v>418031.99</v>
      </c>
      <c r="E2231" s="154"/>
      <c r="F2231" s="154"/>
      <c r="G2231" s="154"/>
    </row>
    <row r="2232" spans="1:7" x14ac:dyDescent="0.3">
      <c r="A2232" s="172" t="s">
        <v>586</v>
      </c>
      <c r="B2232" s="115" t="s">
        <v>5174</v>
      </c>
      <c r="C2232" s="116">
        <v>1159682.67</v>
      </c>
      <c r="E2232" s="154"/>
      <c r="F2232" s="154"/>
      <c r="G2232" s="154"/>
    </row>
    <row r="2233" spans="1:7" x14ac:dyDescent="0.3">
      <c r="A2233" s="172" t="s">
        <v>5175</v>
      </c>
      <c r="B2233" s="115" t="s">
        <v>5176</v>
      </c>
      <c r="C2233" s="116">
        <v>743575.5</v>
      </c>
      <c r="E2233" s="154"/>
      <c r="F2233" s="154"/>
      <c r="G2233" s="154"/>
    </row>
    <row r="2234" spans="1:7" x14ac:dyDescent="0.3">
      <c r="A2234" s="172" t="s">
        <v>921</v>
      </c>
      <c r="B2234" s="115" t="s">
        <v>5177</v>
      </c>
      <c r="C2234" s="116">
        <v>-624712.01</v>
      </c>
      <c r="E2234" s="154"/>
      <c r="F2234" s="154"/>
      <c r="G2234" s="154"/>
    </row>
    <row r="2235" spans="1:7" x14ac:dyDescent="0.3">
      <c r="A2235" s="172" t="s">
        <v>5178</v>
      </c>
      <c r="B2235" s="115" t="s">
        <v>5179</v>
      </c>
      <c r="C2235" s="116">
        <v>581100</v>
      </c>
      <c r="E2235" s="154"/>
      <c r="F2235" s="154"/>
      <c r="G2235" s="154"/>
    </row>
    <row r="2236" spans="1:7" x14ac:dyDescent="0.3">
      <c r="A2236" s="172" t="s">
        <v>1040</v>
      </c>
      <c r="B2236" s="115" t="s">
        <v>1041</v>
      </c>
      <c r="C2236" s="116">
        <v>0.55000000000000004</v>
      </c>
      <c r="E2236" s="154"/>
      <c r="F2236" s="154"/>
      <c r="G2236" s="154"/>
    </row>
    <row r="2237" spans="1:7" x14ac:dyDescent="0.3">
      <c r="A2237" s="172" t="s">
        <v>5180</v>
      </c>
      <c r="B2237" s="115" t="s">
        <v>5181</v>
      </c>
      <c r="C2237" s="116">
        <v>249222</v>
      </c>
      <c r="E2237" s="154"/>
      <c r="F2237" s="154"/>
      <c r="G2237" s="154"/>
    </row>
    <row r="2238" spans="1:7" x14ac:dyDescent="0.3">
      <c r="A2238" s="172" t="s">
        <v>5182</v>
      </c>
      <c r="B2238" s="115" t="s">
        <v>5183</v>
      </c>
      <c r="C2238" s="116">
        <v>663571</v>
      </c>
      <c r="E2238" s="154"/>
      <c r="F2238" s="154"/>
      <c r="G2238" s="154"/>
    </row>
    <row r="2239" spans="1:7" x14ac:dyDescent="0.3">
      <c r="A2239" s="172" t="s">
        <v>5184</v>
      </c>
      <c r="B2239" s="115" t="s">
        <v>5185</v>
      </c>
      <c r="C2239" s="116">
        <v>313695.19</v>
      </c>
      <c r="E2239" s="154"/>
      <c r="F2239" s="154"/>
      <c r="G2239" s="154"/>
    </row>
    <row r="2240" spans="1:7" x14ac:dyDescent="0.3">
      <c r="A2240" s="172" t="s">
        <v>5186</v>
      </c>
      <c r="B2240" s="115" t="s">
        <v>5187</v>
      </c>
      <c r="C2240" s="116">
        <v>1168409184.3800001</v>
      </c>
      <c r="E2240" s="154"/>
      <c r="F2240" s="154"/>
      <c r="G2240" s="154"/>
    </row>
    <row r="2241" spans="1:7" x14ac:dyDescent="0.3">
      <c r="A2241" s="172" t="s">
        <v>5188</v>
      </c>
      <c r="B2241" s="115" t="s">
        <v>5189</v>
      </c>
      <c r="C2241" s="116">
        <v>301101.39</v>
      </c>
      <c r="E2241" s="154"/>
      <c r="F2241" s="154"/>
      <c r="G2241" s="154"/>
    </row>
    <row r="2242" spans="1:7" x14ac:dyDescent="0.3">
      <c r="A2242" s="172" t="s">
        <v>5190</v>
      </c>
      <c r="B2242" s="115" t="s">
        <v>5191</v>
      </c>
      <c r="C2242" s="116">
        <v>1518000</v>
      </c>
      <c r="E2242" s="154"/>
      <c r="F2242" s="154"/>
      <c r="G2242" s="154"/>
    </row>
    <row r="2243" spans="1:7" x14ac:dyDescent="0.3">
      <c r="A2243" s="172" t="s">
        <v>5192</v>
      </c>
      <c r="B2243" s="115" t="s">
        <v>5193</v>
      </c>
      <c r="C2243" s="116">
        <v>247812</v>
      </c>
      <c r="E2243" s="154"/>
      <c r="F2243" s="154"/>
      <c r="G2243" s="154"/>
    </row>
    <row r="2244" spans="1:7" x14ac:dyDescent="0.3">
      <c r="A2244" s="172" t="s">
        <v>5194</v>
      </c>
      <c r="B2244" s="115" t="s">
        <v>5195</v>
      </c>
      <c r="C2244" s="116">
        <v>15678151.83</v>
      </c>
      <c r="E2244" s="154"/>
      <c r="F2244" s="154"/>
      <c r="G2244" s="154"/>
    </row>
    <row r="2245" spans="1:7" x14ac:dyDescent="0.3">
      <c r="A2245" s="172" t="s">
        <v>5196</v>
      </c>
      <c r="B2245" s="115" t="s">
        <v>5197</v>
      </c>
      <c r="C2245" s="116">
        <v>177254.91</v>
      </c>
      <c r="E2245" s="154"/>
      <c r="F2245" s="154"/>
      <c r="G2245" s="154"/>
    </row>
    <row r="2246" spans="1:7" x14ac:dyDescent="0.3">
      <c r="A2246" s="172" t="s">
        <v>5198</v>
      </c>
      <c r="B2246" s="115" t="s">
        <v>5199</v>
      </c>
      <c r="C2246" s="116">
        <v>250209.6</v>
      </c>
      <c r="E2246" s="154"/>
      <c r="F2246" s="154"/>
      <c r="G2246" s="154"/>
    </row>
    <row r="2247" spans="1:7" x14ac:dyDescent="0.3">
      <c r="A2247" s="172" t="s">
        <v>5200</v>
      </c>
      <c r="B2247" s="115" t="s">
        <v>5201</v>
      </c>
      <c r="C2247" s="116">
        <v>472910.22</v>
      </c>
      <c r="E2247" s="154"/>
      <c r="F2247" s="154"/>
      <c r="G2247" s="154"/>
    </row>
    <row r="2248" spans="1:7" x14ac:dyDescent="0.3">
      <c r="A2248" s="172" t="s">
        <v>5202</v>
      </c>
      <c r="B2248" s="115" t="s">
        <v>5203</v>
      </c>
      <c r="C2248" s="116">
        <v>90494.33</v>
      </c>
      <c r="E2248" s="154"/>
      <c r="F2248" s="154"/>
      <c r="G2248" s="154"/>
    </row>
    <row r="2249" spans="1:7" x14ac:dyDescent="0.3">
      <c r="A2249" s="173" t="s">
        <v>5204</v>
      </c>
      <c r="B2249" s="20" t="s">
        <v>5205</v>
      </c>
      <c r="C2249" s="116">
        <v>47473</v>
      </c>
      <c r="E2249" s="154"/>
      <c r="F2249" s="154"/>
      <c r="G2249" s="154"/>
    </row>
    <row r="2250" spans="1:7" x14ac:dyDescent="0.3">
      <c r="A2250" s="173" t="s">
        <v>5206</v>
      </c>
      <c r="B2250" s="20" t="s">
        <v>5207</v>
      </c>
      <c r="C2250" s="116">
        <v>147974.79999999999</v>
      </c>
      <c r="E2250" s="154"/>
      <c r="F2250" s="154"/>
      <c r="G2250" s="154"/>
    </row>
    <row r="2251" spans="1:7" x14ac:dyDescent="0.3">
      <c r="A2251" s="172" t="s">
        <v>5208</v>
      </c>
      <c r="B2251" s="115" t="s">
        <v>5209</v>
      </c>
      <c r="C2251" s="116">
        <v>11839.34</v>
      </c>
      <c r="E2251" s="154"/>
      <c r="F2251" s="154"/>
      <c r="G2251" s="154"/>
    </row>
    <row r="2252" spans="1:7" x14ac:dyDescent="0.3">
      <c r="A2252" s="172" t="s">
        <v>1081</v>
      </c>
      <c r="B2252" s="115" t="s">
        <v>5210</v>
      </c>
      <c r="C2252" s="116">
        <v>-23018523.879999999</v>
      </c>
      <c r="E2252" s="154"/>
      <c r="F2252" s="154"/>
      <c r="G2252" s="154"/>
    </row>
    <row r="2253" spans="1:7" x14ac:dyDescent="0.3">
      <c r="A2253" s="173" t="s">
        <v>5211</v>
      </c>
      <c r="B2253" s="20" t="s">
        <v>5212</v>
      </c>
      <c r="C2253" s="116">
        <v>426588.5</v>
      </c>
      <c r="E2253" s="154"/>
      <c r="F2253" s="154"/>
      <c r="G2253" s="154"/>
    </row>
    <row r="2254" spans="1:7" x14ac:dyDescent="0.3">
      <c r="A2254" s="173" t="s">
        <v>5213</v>
      </c>
      <c r="B2254" s="20" t="s">
        <v>5214</v>
      </c>
      <c r="C2254" s="116">
        <v>3654139.85</v>
      </c>
      <c r="E2254" s="154"/>
      <c r="F2254" s="154"/>
      <c r="G2254" s="154"/>
    </row>
    <row r="2255" spans="1:7" x14ac:dyDescent="0.3">
      <c r="A2255" s="173" t="s">
        <v>5215</v>
      </c>
      <c r="B2255" s="20" t="s">
        <v>5216</v>
      </c>
      <c r="C2255" s="116">
        <v>465996</v>
      </c>
      <c r="E2255" s="154"/>
      <c r="F2255" s="154"/>
      <c r="G2255" s="154"/>
    </row>
    <row r="2256" spans="1:7" x14ac:dyDescent="0.3">
      <c r="A2256" s="173" t="s">
        <v>5217</v>
      </c>
      <c r="B2256" s="20" t="s">
        <v>5218</v>
      </c>
      <c r="C2256" s="116">
        <v>7905</v>
      </c>
      <c r="E2256" s="154"/>
      <c r="F2256" s="154"/>
      <c r="G2256" s="154"/>
    </row>
    <row r="2257" spans="1:7" x14ac:dyDescent="0.3">
      <c r="A2257" s="173" t="s">
        <v>5219</v>
      </c>
      <c r="B2257" s="20" t="s">
        <v>5220</v>
      </c>
      <c r="C2257" s="116">
        <v>0</v>
      </c>
      <c r="E2257" s="154"/>
      <c r="F2257" s="154"/>
      <c r="G2257" s="154"/>
    </row>
    <row r="2258" spans="1:7" x14ac:dyDescent="0.3">
      <c r="A2258" s="173" t="s">
        <v>5221</v>
      </c>
      <c r="B2258" s="20" t="s">
        <v>5222</v>
      </c>
      <c r="C2258" s="116">
        <v>0</v>
      </c>
      <c r="E2258" s="154"/>
      <c r="F2258" s="154"/>
      <c r="G2258" s="154"/>
    </row>
    <row r="2259" spans="1:7" x14ac:dyDescent="0.3">
      <c r="A2259" s="173" t="s">
        <v>5223</v>
      </c>
      <c r="B2259" s="20" t="s">
        <v>5224</v>
      </c>
      <c r="C2259" s="116">
        <v>205268350</v>
      </c>
      <c r="E2259" s="154"/>
      <c r="F2259" s="154"/>
      <c r="G2259" s="154"/>
    </row>
    <row r="2260" spans="1:7" x14ac:dyDescent="0.3">
      <c r="A2260" s="173" t="s">
        <v>5225</v>
      </c>
      <c r="B2260" s="20" t="s">
        <v>5226</v>
      </c>
      <c r="C2260" s="116">
        <v>97590</v>
      </c>
      <c r="E2260" s="154"/>
      <c r="F2260" s="154"/>
      <c r="G2260" s="154"/>
    </row>
    <row r="2261" spans="1:7" x14ac:dyDescent="0.3">
      <c r="A2261" s="173" t="s">
        <v>5227</v>
      </c>
      <c r="B2261" s="20" t="s">
        <v>5228</v>
      </c>
      <c r="C2261" s="116">
        <v>78017.23</v>
      </c>
      <c r="E2261" s="154"/>
      <c r="F2261" s="154"/>
      <c r="G2261" s="154"/>
    </row>
    <row r="2262" spans="1:7" x14ac:dyDescent="0.3">
      <c r="A2262" s="173" t="s">
        <v>5229</v>
      </c>
      <c r="B2262" s="20" t="s">
        <v>5230</v>
      </c>
      <c r="C2262" s="116">
        <v>111138.55</v>
      </c>
      <c r="E2262" s="154"/>
      <c r="F2262" s="154"/>
      <c r="G2262" s="154"/>
    </row>
    <row r="2263" spans="1:7" x14ac:dyDescent="0.3">
      <c r="A2263" s="173" t="s">
        <v>5231</v>
      </c>
      <c r="B2263" s="20" t="s">
        <v>5232</v>
      </c>
      <c r="C2263" s="116">
        <v>10993.67</v>
      </c>
      <c r="E2263" s="154"/>
      <c r="F2263" s="154"/>
      <c r="G2263" s="154"/>
    </row>
    <row r="2264" spans="1:7" x14ac:dyDescent="0.3">
      <c r="A2264" s="173" t="s">
        <v>5233</v>
      </c>
      <c r="B2264" s="20" t="s">
        <v>5234</v>
      </c>
      <c r="C2264" s="116">
        <v>124024.8</v>
      </c>
      <c r="E2264" s="154"/>
      <c r="F2264" s="154"/>
      <c r="G2264" s="154"/>
    </row>
    <row r="2265" spans="1:7" x14ac:dyDescent="0.3">
      <c r="A2265" s="173" t="s">
        <v>5235</v>
      </c>
      <c r="B2265" s="20" t="s">
        <v>5236</v>
      </c>
      <c r="C2265" s="116">
        <v>164876.46</v>
      </c>
      <c r="E2265" s="154"/>
      <c r="F2265" s="154"/>
      <c r="G2265" s="154"/>
    </row>
    <row r="2266" spans="1:7" x14ac:dyDescent="0.3">
      <c r="A2266" s="173" t="s">
        <v>5237</v>
      </c>
      <c r="B2266" s="20" t="s">
        <v>5238</v>
      </c>
      <c r="C2266" s="116">
        <v>15600</v>
      </c>
      <c r="E2266" s="154"/>
      <c r="F2266" s="154"/>
      <c r="G2266" s="154"/>
    </row>
    <row r="2267" spans="1:7" x14ac:dyDescent="0.3">
      <c r="A2267" s="173" t="s">
        <v>5239</v>
      </c>
      <c r="B2267" s="20" t="s">
        <v>5240</v>
      </c>
      <c r="C2267" s="116">
        <v>1733130</v>
      </c>
      <c r="E2267" s="154"/>
      <c r="F2267" s="154"/>
      <c r="G2267" s="154"/>
    </row>
    <row r="2268" spans="1:7" x14ac:dyDescent="0.3">
      <c r="A2268" s="173" t="s">
        <v>5241</v>
      </c>
      <c r="B2268" s="20" t="s">
        <v>5242</v>
      </c>
      <c r="C2268" s="116">
        <v>17106735</v>
      </c>
      <c r="E2268" s="154"/>
      <c r="F2268" s="154"/>
      <c r="G2268" s="154"/>
    </row>
    <row r="2269" spans="1:7" x14ac:dyDescent="0.3">
      <c r="A2269" s="173" t="s">
        <v>5243</v>
      </c>
      <c r="B2269" s="20" t="s">
        <v>5244</v>
      </c>
      <c r="C2269" s="116">
        <v>110304.08</v>
      </c>
      <c r="E2269" s="154"/>
      <c r="F2269" s="154"/>
      <c r="G2269" s="154"/>
    </row>
    <row r="2270" spans="1:7" x14ac:dyDescent="0.3">
      <c r="A2270" s="173" t="s">
        <v>5245</v>
      </c>
      <c r="B2270" s="20" t="s">
        <v>5246</v>
      </c>
      <c r="C2270" s="116">
        <v>532622289.66000003</v>
      </c>
      <c r="E2270" s="154"/>
      <c r="F2270" s="154"/>
      <c r="G2270" s="154"/>
    </row>
    <row r="2271" spans="1:7" x14ac:dyDescent="0.3">
      <c r="A2271" s="173" t="s">
        <v>5247</v>
      </c>
      <c r="B2271" s="20" t="s">
        <v>5248</v>
      </c>
      <c r="C2271" s="116">
        <v>174057</v>
      </c>
      <c r="E2271" s="154"/>
      <c r="F2271" s="154"/>
      <c r="G2271" s="154"/>
    </row>
    <row r="2272" spans="1:7" x14ac:dyDescent="0.3">
      <c r="A2272" s="173" t="s">
        <v>5249</v>
      </c>
      <c r="B2272" s="20" t="s">
        <v>5250</v>
      </c>
      <c r="C2272" s="116">
        <v>23195</v>
      </c>
      <c r="E2272" s="154"/>
      <c r="F2272" s="154"/>
      <c r="G2272" s="154"/>
    </row>
    <row r="2273" spans="1:7" x14ac:dyDescent="0.3">
      <c r="A2273" s="173" t="s">
        <v>965</v>
      </c>
      <c r="B2273" s="20" t="s">
        <v>966</v>
      </c>
      <c r="C2273" s="116">
        <v>-130047</v>
      </c>
      <c r="E2273" s="154"/>
      <c r="F2273" s="154"/>
      <c r="G2273" s="154"/>
    </row>
    <row r="2274" spans="1:7" x14ac:dyDescent="0.3">
      <c r="A2274" s="173" t="s">
        <v>5251</v>
      </c>
      <c r="B2274" s="20" t="s">
        <v>5252</v>
      </c>
      <c r="C2274" s="116">
        <v>47826</v>
      </c>
      <c r="E2274" s="154"/>
      <c r="F2274" s="154"/>
      <c r="G2274" s="154"/>
    </row>
    <row r="2275" spans="1:7" x14ac:dyDescent="0.3">
      <c r="A2275" s="173" t="s">
        <v>5253</v>
      </c>
      <c r="B2275" s="20" t="s">
        <v>5254</v>
      </c>
      <c r="C2275" s="116">
        <v>0</v>
      </c>
      <c r="E2275" s="154"/>
      <c r="F2275" s="154"/>
      <c r="G2275" s="154"/>
    </row>
    <row r="2276" spans="1:7" x14ac:dyDescent="0.3">
      <c r="A2276" s="173" t="s">
        <v>634</v>
      </c>
      <c r="B2276" s="20" t="s">
        <v>635</v>
      </c>
      <c r="C2276" s="116">
        <v>0</v>
      </c>
      <c r="E2276" s="154"/>
      <c r="F2276" s="154"/>
      <c r="G2276" s="154"/>
    </row>
    <row r="2277" spans="1:7" x14ac:dyDescent="0.3">
      <c r="A2277" s="173" t="s">
        <v>5255</v>
      </c>
      <c r="B2277" s="20" t="s">
        <v>5256</v>
      </c>
      <c r="C2277" s="116">
        <v>16940</v>
      </c>
      <c r="E2277" s="154"/>
      <c r="F2277" s="154"/>
      <c r="G2277" s="154"/>
    </row>
    <row r="2278" spans="1:7" x14ac:dyDescent="0.3">
      <c r="A2278" s="173" t="s">
        <v>5257</v>
      </c>
      <c r="B2278" s="20" t="s">
        <v>5258</v>
      </c>
      <c r="C2278" s="116">
        <v>0</v>
      </c>
      <c r="E2278" s="154"/>
      <c r="F2278" s="154"/>
      <c r="G2278" s="154"/>
    </row>
    <row r="2279" spans="1:7" x14ac:dyDescent="0.3">
      <c r="A2279" s="173" t="s">
        <v>5259</v>
      </c>
      <c r="B2279" s="20" t="s">
        <v>5260</v>
      </c>
      <c r="C2279" s="116">
        <v>0</v>
      </c>
      <c r="E2279" s="154"/>
      <c r="F2279" s="154"/>
      <c r="G2279" s="154"/>
    </row>
    <row r="2280" spans="1:7" x14ac:dyDescent="0.3">
      <c r="A2280" s="173" t="s">
        <v>5261</v>
      </c>
      <c r="B2280" s="20" t="s">
        <v>5262</v>
      </c>
      <c r="C2280" s="116">
        <v>0</v>
      </c>
      <c r="E2280" s="154"/>
      <c r="F2280" s="154"/>
      <c r="G2280" s="154"/>
    </row>
    <row r="2281" spans="1:7" x14ac:dyDescent="0.3">
      <c r="A2281" s="173" t="s">
        <v>5263</v>
      </c>
      <c r="B2281" s="20" t="s">
        <v>5264</v>
      </c>
      <c r="C2281" s="116">
        <v>0</v>
      </c>
      <c r="E2281" s="154"/>
      <c r="F2281" s="154"/>
      <c r="G2281" s="154"/>
    </row>
    <row r="2282" spans="1:7" x14ac:dyDescent="0.3">
      <c r="A2282" s="173" t="s">
        <v>5265</v>
      </c>
      <c r="B2282" s="20" t="s">
        <v>5266</v>
      </c>
      <c r="C2282" s="116">
        <v>0</v>
      </c>
      <c r="E2282" s="154"/>
      <c r="F2282" s="154"/>
      <c r="G2282" s="154"/>
    </row>
    <row r="2283" spans="1:7" x14ac:dyDescent="0.3">
      <c r="A2283" s="173" t="s">
        <v>5267</v>
      </c>
      <c r="B2283" s="20" t="s">
        <v>5268</v>
      </c>
      <c r="C2283" s="116">
        <v>2000</v>
      </c>
      <c r="E2283" s="154"/>
      <c r="F2283" s="154"/>
      <c r="G2283" s="154"/>
    </row>
    <row r="2284" spans="1:7" x14ac:dyDescent="0.3">
      <c r="A2284" s="173" t="s">
        <v>580</v>
      </c>
      <c r="B2284" s="20" t="s">
        <v>581</v>
      </c>
      <c r="C2284" s="116">
        <v>0</v>
      </c>
      <c r="E2284" s="154"/>
      <c r="F2284" s="154"/>
      <c r="G2284" s="154"/>
    </row>
    <row r="2285" spans="1:7" x14ac:dyDescent="0.3">
      <c r="A2285" s="173" t="s">
        <v>5269</v>
      </c>
      <c r="B2285" s="20" t="s">
        <v>5270</v>
      </c>
      <c r="C2285" s="116">
        <v>0</v>
      </c>
      <c r="E2285" s="154"/>
      <c r="F2285" s="154"/>
      <c r="G2285" s="154"/>
    </row>
    <row r="2286" spans="1:7" x14ac:dyDescent="0.3">
      <c r="A2286" s="173" t="s">
        <v>5271</v>
      </c>
      <c r="B2286" s="20" t="s">
        <v>5272</v>
      </c>
      <c r="C2286" s="116">
        <v>0</v>
      </c>
      <c r="E2286" s="154"/>
      <c r="F2286" s="154"/>
      <c r="G2286" s="154"/>
    </row>
    <row r="2287" spans="1:7" x14ac:dyDescent="0.3">
      <c r="A2287" s="173" t="s">
        <v>5273</v>
      </c>
      <c r="B2287" s="20" t="s">
        <v>5274</v>
      </c>
      <c r="C2287" s="116">
        <v>0</v>
      </c>
      <c r="E2287" s="154"/>
      <c r="F2287" s="154"/>
      <c r="G2287" s="154"/>
    </row>
    <row r="2288" spans="1:7" x14ac:dyDescent="0.3">
      <c r="A2288" s="173" t="s">
        <v>5275</v>
      </c>
      <c r="B2288" s="20" t="s">
        <v>5276</v>
      </c>
      <c r="C2288" s="116">
        <v>0</v>
      </c>
      <c r="E2288" s="154"/>
      <c r="F2288" s="154"/>
      <c r="G2288" s="154"/>
    </row>
    <row r="2289" spans="1:7" x14ac:dyDescent="0.3">
      <c r="A2289" s="173" t="s">
        <v>5277</v>
      </c>
      <c r="B2289" s="20" t="s">
        <v>5278</v>
      </c>
      <c r="C2289" s="116">
        <v>0</v>
      </c>
      <c r="E2289" s="154"/>
      <c r="F2289" s="154"/>
      <c r="G2289" s="154"/>
    </row>
    <row r="2290" spans="1:7" x14ac:dyDescent="0.3">
      <c r="A2290" s="173" t="s">
        <v>5279</v>
      </c>
      <c r="B2290" s="20" t="s">
        <v>5280</v>
      </c>
      <c r="C2290" s="116">
        <v>0</v>
      </c>
      <c r="E2290" s="154"/>
      <c r="F2290" s="154"/>
      <c r="G2290" s="154"/>
    </row>
    <row r="2291" spans="1:7" x14ac:dyDescent="0.3">
      <c r="A2291" s="173" t="s">
        <v>5281</v>
      </c>
      <c r="B2291" s="20" t="s">
        <v>5282</v>
      </c>
      <c r="C2291" s="116">
        <v>0</v>
      </c>
      <c r="E2291" s="154"/>
      <c r="F2291" s="154"/>
      <c r="G2291" s="154"/>
    </row>
    <row r="2292" spans="1:7" x14ac:dyDescent="0.3">
      <c r="A2292" s="173" t="s">
        <v>5283</v>
      </c>
      <c r="B2292" s="20" t="s">
        <v>5284</v>
      </c>
      <c r="C2292" s="116">
        <v>0</v>
      </c>
      <c r="E2292" s="154"/>
      <c r="F2292" s="154"/>
      <c r="G2292" s="154"/>
    </row>
    <row r="2293" spans="1:7" x14ac:dyDescent="0.3">
      <c r="A2293" s="173" t="s">
        <v>5285</v>
      </c>
      <c r="B2293" s="20" t="s">
        <v>5286</v>
      </c>
      <c r="C2293" s="116">
        <v>0</v>
      </c>
      <c r="E2293" s="154"/>
      <c r="F2293" s="154"/>
      <c r="G2293" s="154"/>
    </row>
    <row r="2294" spans="1:7" x14ac:dyDescent="0.3">
      <c r="A2294" s="173" t="s">
        <v>986</v>
      </c>
      <c r="B2294" s="20" t="s">
        <v>987</v>
      </c>
      <c r="C2294" s="116">
        <v>-1.28</v>
      </c>
      <c r="E2294" s="154"/>
      <c r="F2294" s="154"/>
      <c r="G2294" s="154"/>
    </row>
    <row r="2295" spans="1:7" x14ac:dyDescent="0.3">
      <c r="A2295" s="173" t="s">
        <v>5287</v>
      </c>
      <c r="B2295" s="20" t="s">
        <v>5288</v>
      </c>
      <c r="C2295" s="116">
        <v>0</v>
      </c>
      <c r="E2295" s="154"/>
      <c r="F2295" s="154"/>
      <c r="G2295" s="154"/>
    </row>
    <row r="2296" spans="1:7" x14ac:dyDescent="0.3">
      <c r="A2296" s="173" t="s">
        <v>5289</v>
      </c>
      <c r="B2296" s="20" t="s">
        <v>5290</v>
      </c>
      <c r="C2296" s="116">
        <v>0.03</v>
      </c>
      <c r="E2296" s="154"/>
      <c r="F2296" s="154"/>
      <c r="G2296" s="154"/>
    </row>
    <row r="2297" spans="1:7" x14ac:dyDescent="0.3">
      <c r="A2297" s="173" t="s">
        <v>5291</v>
      </c>
      <c r="B2297" s="20" t="s">
        <v>5292</v>
      </c>
      <c r="C2297" s="116">
        <v>0</v>
      </c>
      <c r="E2297" s="154"/>
      <c r="F2297" s="154"/>
      <c r="G2297" s="154"/>
    </row>
    <row r="2298" spans="1:7" x14ac:dyDescent="0.3">
      <c r="A2298" s="173" t="s">
        <v>5293</v>
      </c>
      <c r="B2298" s="20" t="s">
        <v>5294</v>
      </c>
      <c r="C2298" s="116">
        <v>0</v>
      </c>
      <c r="E2298" s="154"/>
      <c r="F2298" s="154"/>
      <c r="G2298" s="154"/>
    </row>
    <row r="2299" spans="1:7" x14ac:dyDescent="0.3">
      <c r="A2299" s="173" t="s">
        <v>5295</v>
      </c>
      <c r="B2299" s="20" t="s">
        <v>5296</v>
      </c>
      <c r="C2299" s="116">
        <v>0</v>
      </c>
      <c r="E2299" s="154"/>
      <c r="F2299" s="154"/>
      <c r="G2299" s="154"/>
    </row>
    <row r="2300" spans="1:7" x14ac:dyDescent="0.3">
      <c r="A2300" s="173" t="s">
        <v>5297</v>
      </c>
      <c r="B2300" s="20" t="s">
        <v>5298</v>
      </c>
      <c r="C2300" s="116">
        <v>0</v>
      </c>
      <c r="E2300" s="154"/>
      <c r="F2300" s="154"/>
      <c r="G2300" s="154"/>
    </row>
    <row r="2301" spans="1:7" x14ac:dyDescent="0.3">
      <c r="A2301" s="173" t="s">
        <v>5299</v>
      </c>
      <c r="B2301" s="20" t="s">
        <v>5300</v>
      </c>
      <c r="C2301" s="116">
        <v>0</v>
      </c>
      <c r="E2301" s="154"/>
      <c r="F2301" s="154"/>
      <c r="G2301" s="154"/>
    </row>
    <row r="2302" spans="1:7" x14ac:dyDescent="0.3">
      <c r="A2302" s="173" t="s">
        <v>5301</v>
      </c>
      <c r="B2302" s="20" t="s">
        <v>5302</v>
      </c>
      <c r="C2302" s="116">
        <v>0.32</v>
      </c>
      <c r="E2302" s="154"/>
      <c r="F2302" s="154"/>
      <c r="G2302" s="154"/>
    </row>
    <row r="2303" spans="1:7" x14ac:dyDescent="0.3">
      <c r="A2303" s="173" t="s">
        <v>5303</v>
      </c>
      <c r="B2303" s="20" t="s">
        <v>5304</v>
      </c>
      <c r="C2303" s="116">
        <v>0</v>
      </c>
      <c r="E2303" s="154"/>
      <c r="F2303" s="154"/>
      <c r="G2303" s="154"/>
    </row>
    <row r="2304" spans="1:7" x14ac:dyDescent="0.3">
      <c r="A2304" s="173" t="s">
        <v>5305</v>
      </c>
      <c r="B2304" s="20" t="s">
        <v>5306</v>
      </c>
      <c r="C2304" s="116">
        <v>0</v>
      </c>
      <c r="E2304" s="154"/>
      <c r="F2304" s="154"/>
      <c r="G2304" s="154"/>
    </row>
    <row r="2305" spans="1:7" x14ac:dyDescent="0.3">
      <c r="A2305" s="173" t="s">
        <v>981</v>
      </c>
      <c r="B2305" s="20" t="s">
        <v>982</v>
      </c>
      <c r="C2305" s="116">
        <v>0</v>
      </c>
      <c r="E2305" s="154"/>
      <c r="F2305" s="154"/>
      <c r="G2305" s="154"/>
    </row>
    <row r="2306" spans="1:7" x14ac:dyDescent="0.3">
      <c r="A2306" s="173" t="s">
        <v>5307</v>
      </c>
      <c r="B2306" s="20" t="s">
        <v>5308</v>
      </c>
      <c r="C2306" s="116">
        <v>0</v>
      </c>
      <c r="E2306" s="154"/>
      <c r="F2306" s="154"/>
      <c r="G2306" s="154"/>
    </row>
    <row r="2307" spans="1:7" x14ac:dyDescent="0.3">
      <c r="A2307" s="173" t="s">
        <v>5309</v>
      </c>
      <c r="B2307" s="20" t="s">
        <v>5310</v>
      </c>
      <c r="C2307" s="116">
        <v>0</v>
      </c>
      <c r="E2307" s="154"/>
      <c r="F2307" s="154"/>
      <c r="G2307" s="154"/>
    </row>
    <row r="2308" spans="1:7" x14ac:dyDescent="0.3">
      <c r="A2308" s="173" t="s">
        <v>5311</v>
      </c>
      <c r="B2308" s="20" t="s">
        <v>5312</v>
      </c>
      <c r="C2308" s="116">
        <v>0</v>
      </c>
      <c r="E2308" s="154"/>
      <c r="F2308" s="154"/>
      <c r="G2308" s="154"/>
    </row>
    <row r="2309" spans="1:7" x14ac:dyDescent="0.3">
      <c r="A2309" s="173" t="s">
        <v>5313</v>
      </c>
      <c r="B2309" s="20" t="s">
        <v>5314</v>
      </c>
      <c r="C2309" s="116">
        <v>0</v>
      </c>
      <c r="E2309" s="154"/>
      <c r="F2309" s="154"/>
      <c r="G2309" s="154"/>
    </row>
    <row r="2310" spans="1:7" x14ac:dyDescent="0.3">
      <c r="A2310" s="173" t="s">
        <v>5315</v>
      </c>
      <c r="B2310" s="20" t="s">
        <v>5316</v>
      </c>
      <c r="C2310" s="116">
        <v>247714.17</v>
      </c>
      <c r="E2310" s="154"/>
      <c r="F2310" s="154"/>
      <c r="G2310" s="154"/>
    </row>
    <row r="2311" spans="1:7" x14ac:dyDescent="0.3">
      <c r="A2311" s="173" t="s">
        <v>5317</v>
      </c>
      <c r="B2311" s="20" t="s">
        <v>5318</v>
      </c>
      <c r="C2311" s="116">
        <v>0.52</v>
      </c>
      <c r="E2311" s="154"/>
      <c r="F2311" s="154"/>
      <c r="G2311" s="154"/>
    </row>
    <row r="2312" spans="1:7" x14ac:dyDescent="0.3">
      <c r="A2312" s="173" t="s">
        <v>861</v>
      </c>
      <c r="B2312" s="20" t="s">
        <v>862</v>
      </c>
      <c r="C2312" s="116">
        <v>-1866680.15</v>
      </c>
      <c r="E2312" s="154"/>
      <c r="F2312" s="154"/>
      <c r="G2312" s="154"/>
    </row>
    <row r="2313" spans="1:7" x14ac:dyDescent="0.3">
      <c r="A2313" s="173" t="s">
        <v>5319</v>
      </c>
      <c r="B2313" s="20" t="s">
        <v>5320</v>
      </c>
      <c r="C2313" s="116">
        <v>-3051522.34</v>
      </c>
      <c r="E2313" s="154"/>
      <c r="F2313" s="154"/>
      <c r="G2313" s="154"/>
    </row>
    <row r="2314" spans="1:7" x14ac:dyDescent="0.3">
      <c r="A2314" s="173" t="s">
        <v>5321</v>
      </c>
      <c r="B2314" s="20" t="s">
        <v>5322</v>
      </c>
      <c r="C2314" s="116">
        <v>42235</v>
      </c>
      <c r="E2314" s="154"/>
      <c r="F2314" s="154"/>
      <c r="G2314" s="154"/>
    </row>
    <row r="2315" spans="1:7" x14ac:dyDescent="0.3">
      <c r="A2315" s="173" t="s">
        <v>5323</v>
      </c>
      <c r="B2315" s="20" t="s">
        <v>5324</v>
      </c>
      <c r="C2315" s="116">
        <v>48516</v>
      </c>
      <c r="E2315" s="154"/>
      <c r="F2315" s="154"/>
      <c r="G2315" s="154"/>
    </row>
    <row r="2316" spans="1:7" x14ac:dyDescent="0.3">
      <c r="A2316" s="173" t="s">
        <v>5325</v>
      </c>
      <c r="B2316" s="20" t="s">
        <v>5326</v>
      </c>
      <c r="C2316" s="116">
        <v>422285</v>
      </c>
      <c r="E2316" s="154"/>
      <c r="F2316" s="154"/>
      <c r="G2316" s="154"/>
    </row>
    <row r="2317" spans="1:7" x14ac:dyDescent="0.3">
      <c r="A2317" s="173" t="s">
        <v>5327</v>
      </c>
      <c r="B2317" s="20" t="s">
        <v>5328</v>
      </c>
      <c r="C2317" s="116">
        <v>50235</v>
      </c>
      <c r="E2317" s="154"/>
      <c r="F2317" s="154"/>
      <c r="G2317" s="154"/>
    </row>
    <row r="2318" spans="1:7" x14ac:dyDescent="0.3">
      <c r="A2318" s="173" t="s">
        <v>5329</v>
      </c>
      <c r="B2318" s="20" t="s">
        <v>5330</v>
      </c>
      <c r="C2318" s="116">
        <v>-9268054.0399999991</v>
      </c>
      <c r="E2318" s="154"/>
      <c r="F2318" s="154"/>
      <c r="G2318" s="154"/>
    </row>
    <row r="2319" spans="1:7" x14ac:dyDescent="0.3">
      <c r="A2319" s="173" t="s">
        <v>951</v>
      </c>
      <c r="B2319" s="20" t="s">
        <v>952</v>
      </c>
      <c r="C2319" s="116">
        <v>-10893160.529999999</v>
      </c>
      <c r="E2319" s="154"/>
      <c r="F2319" s="154"/>
      <c r="G2319" s="154"/>
    </row>
    <row r="2320" spans="1:7" x14ac:dyDescent="0.3">
      <c r="A2320" s="173" t="s">
        <v>5331</v>
      </c>
      <c r="B2320" s="20" t="s">
        <v>3692</v>
      </c>
      <c r="C2320" s="116">
        <v>384326</v>
      </c>
      <c r="E2320" s="154"/>
      <c r="F2320" s="154"/>
      <c r="G2320" s="154"/>
    </row>
    <row r="2321" spans="1:7" x14ac:dyDescent="0.3">
      <c r="A2321" s="173" t="s">
        <v>5332</v>
      </c>
      <c r="B2321" s="20" t="s">
        <v>5333</v>
      </c>
      <c r="C2321" s="116">
        <v>223474</v>
      </c>
      <c r="E2321" s="154"/>
      <c r="F2321" s="154"/>
      <c r="G2321" s="154"/>
    </row>
    <row r="2322" spans="1:7" x14ac:dyDescent="0.3">
      <c r="A2322" s="173" t="s">
        <v>5334</v>
      </c>
      <c r="B2322" s="20" t="s">
        <v>5335</v>
      </c>
      <c r="C2322" s="116">
        <v>377423.5</v>
      </c>
      <c r="E2322" s="154"/>
      <c r="F2322" s="154"/>
      <c r="G2322" s="154"/>
    </row>
    <row r="2323" spans="1:7" x14ac:dyDescent="0.3">
      <c r="A2323" s="173" t="s">
        <v>5336</v>
      </c>
      <c r="B2323" s="20" t="s">
        <v>5337</v>
      </c>
      <c r="C2323" s="116">
        <v>1210949.6499999999</v>
      </c>
      <c r="E2323" s="154"/>
      <c r="F2323" s="154"/>
      <c r="G2323" s="154"/>
    </row>
    <row r="2324" spans="1:7" x14ac:dyDescent="0.3">
      <c r="A2324" s="173" t="s">
        <v>5338</v>
      </c>
      <c r="B2324" s="20" t="s">
        <v>5339</v>
      </c>
      <c r="C2324" s="116">
        <v>264377006.38999999</v>
      </c>
      <c r="E2324" s="154"/>
      <c r="F2324" s="154"/>
      <c r="G2324" s="154"/>
    </row>
    <row r="2325" spans="1:7" x14ac:dyDescent="0.3">
      <c r="A2325" s="173" t="s">
        <v>5340</v>
      </c>
      <c r="B2325" s="20" t="s">
        <v>5341</v>
      </c>
      <c r="C2325" s="116">
        <v>24250</v>
      </c>
      <c r="E2325" s="154"/>
      <c r="F2325" s="154"/>
      <c r="G2325" s="154"/>
    </row>
    <row r="2326" spans="1:7" x14ac:dyDescent="0.3">
      <c r="A2326" s="173" t="s">
        <v>5342</v>
      </c>
      <c r="B2326" s="20" t="s">
        <v>5343</v>
      </c>
      <c r="C2326" s="116">
        <v>383400</v>
      </c>
      <c r="E2326" s="154"/>
      <c r="F2326" s="154"/>
      <c r="G2326" s="154"/>
    </row>
    <row r="2327" spans="1:7" x14ac:dyDescent="0.3">
      <c r="A2327" s="173" t="s">
        <v>5344</v>
      </c>
      <c r="B2327" s="20" t="s">
        <v>5345</v>
      </c>
      <c r="C2327" s="116">
        <v>182055</v>
      </c>
      <c r="E2327" s="154"/>
      <c r="F2327" s="154"/>
      <c r="G2327" s="154"/>
    </row>
    <row r="2328" spans="1:7" x14ac:dyDescent="0.3">
      <c r="A2328" s="173" t="s">
        <v>5346</v>
      </c>
      <c r="B2328" s="20" t="s">
        <v>5347</v>
      </c>
      <c r="C2328" s="116">
        <v>83332.5</v>
      </c>
      <c r="E2328" s="154"/>
      <c r="F2328" s="154"/>
      <c r="G2328" s="154"/>
    </row>
    <row r="2329" spans="1:7" x14ac:dyDescent="0.3">
      <c r="A2329" s="173" t="s">
        <v>5348</v>
      </c>
      <c r="B2329" s="20" t="s">
        <v>5349</v>
      </c>
      <c r="C2329" s="116">
        <v>463553.5</v>
      </c>
      <c r="E2329" s="154"/>
      <c r="F2329" s="154"/>
      <c r="G2329" s="154"/>
    </row>
    <row r="2330" spans="1:7" x14ac:dyDescent="0.3">
      <c r="A2330" s="173" t="s">
        <v>5350</v>
      </c>
      <c r="B2330" s="20" t="s">
        <v>5351</v>
      </c>
      <c r="C2330" s="116">
        <v>38000</v>
      </c>
      <c r="E2330" s="154"/>
      <c r="F2330" s="154"/>
      <c r="G2330" s="154"/>
    </row>
    <row r="2331" spans="1:7" x14ac:dyDescent="0.3">
      <c r="A2331" s="173" t="s">
        <v>5352</v>
      </c>
      <c r="B2331" s="20" t="s">
        <v>5353</v>
      </c>
      <c r="C2331" s="116">
        <v>916552.21</v>
      </c>
      <c r="E2331" s="154"/>
      <c r="F2331" s="154"/>
      <c r="G2331" s="154"/>
    </row>
    <row r="2332" spans="1:7" x14ac:dyDescent="0.3">
      <c r="A2332" s="173" t="s">
        <v>5354</v>
      </c>
      <c r="B2332" s="20" t="s">
        <v>5355</v>
      </c>
      <c r="C2332" s="116">
        <v>0</v>
      </c>
      <c r="E2332" s="154"/>
      <c r="F2332" s="154"/>
      <c r="G2332" s="154"/>
    </row>
    <row r="2333" spans="1:7" x14ac:dyDescent="0.3">
      <c r="A2333" s="173" t="s">
        <v>5356</v>
      </c>
      <c r="B2333" s="20" t="s">
        <v>5357</v>
      </c>
      <c r="C2333" s="116">
        <v>26850</v>
      </c>
      <c r="E2333" s="154"/>
      <c r="F2333" s="154"/>
      <c r="G2333" s="154"/>
    </row>
    <row r="2334" spans="1:7" x14ac:dyDescent="0.3">
      <c r="A2334" s="173" t="s">
        <v>5358</v>
      </c>
      <c r="B2334" s="20" t="s">
        <v>5359</v>
      </c>
      <c r="C2334" s="116">
        <v>214794.53</v>
      </c>
      <c r="E2334" s="154"/>
      <c r="F2334" s="154"/>
      <c r="G2334" s="154"/>
    </row>
    <row r="2335" spans="1:7" x14ac:dyDescent="0.3">
      <c r="A2335" s="173" t="s">
        <v>5360</v>
      </c>
      <c r="B2335" s="20" t="s">
        <v>5361</v>
      </c>
      <c r="C2335" s="116">
        <v>76845.119999999995</v>
      </c>
      <c r="E2335" s="154"/>
      <c r="F2335" s="154"/>
      <c r="G2335" s="154"/>
    </row>
    <row r="2336" spans="1:7" x14ac:dyDescent="0.3">
      <c r="A2336" s="173" t="s">
        <v>5362</v>
      </c>
      <c r="B2336" s="20" t="s">
        <v>5363</v>
      </c>
      <c r="C2336" s="116">
        <v>98195</v>
      </c>
      <c r="E2336" s="154"/>
      <c r="F2336" s="154"/>
      <c r="G2336" s="154"/>
    </row>
    <row r="2337" spans="1:7" x14ac:dyDescent="0.3">
      <c r="A2337" s="173" t="s">
        <v>5364</v>
      </c>
      <c r="B2337" s="20" t="s">
        <v>5365</v>
      </c>
      <c r="C2337" s="116">
        <v>13722429.529999999</v>
      </c>
      <c r="E2337" s="154"/>
      <c r="F2337" s="154"/>
      <c r="G2337" s="154"/>
    </row>
    <row r="2338" spans="1:7" x14ac:dyDescent="0.3">
      <c r="A2338" s="173" t="s">
        <v>5366</v>
      </c>
      <c r="B2338" s="20" t="s">
        <v>5367</v>
      </c>
      <c r="C2338" s="116">
        <v>0</v>
      </c>
      <c r="E2338" s="154"/>
      <c r="F2338" s="154"/>
      <c r="G2338" s="154"/>
    </row>
    <row r="2339" spans="1:7" x14ac:dyDescent="0.3">
      <c r="A2339" s="173" t="s">
        <v>5368</v>
      </c>
      <c r="B2339" s="20" t="s">
        <v>5369</v>
      </c>
      <c r="C2339" s="116">
        <v>125323.71</v>
      </c>
      <c r="E2339" s="154"/>
      <c r="F2339" s="154"/>
      <c r="G2339" s="154"/>
    </row>
    <row r="2340" spans="1:7" x14ac:dyDescent="0.3">
      <c r="A2340" s="173" t="s">
        <v>5370</v>
      </c>
      <c r="B2340" s="20" t="s">
        <v>5371</v>
      </c>
      <c r="C2340" s="116">
        <v>137081.13</v>
      </c>
      <c r="E2340" s="154"/>
      <c r="F2340" s="154"/>
      <c r="G2340" s="154"/>
    </row>
    <row r="2341" spans="1:7" x14ac:dyDescent="0.3">
      <c r="A2341" s="173" t="s">
        <v>5372</v>
      </c>
      <c r="B2341" s="20" t="s">
        <v>5373</v>
      </c>
      <c r="C2341" s="116">
        <v>46941474.189999998</v>
      </c>
      <c r="E2341" s="154"/>
      <c r="F2341" s="154"/>
      <c r="G2341" s="154"/>
    </row>
    <row r="2342" spans="1:7" x14ac:dyDescent="0.3">
      <c r="A2342" s="173" t="s">
        <v>5374</v>
      </c>
      <c r="B2342" s="20" t="s">
        <v>5375</v>
      </c>
      <c r="C2342" s="116">
        <v>12645.66</v>
      </c>
      <c r="E2342" s="154"/>
      <c r="F2342" s="154"/>
      <c r="G2342" s="154"/>
    </row>
    <row r="2343" spans="1:7" x14ac:dyDescent="0.3">
      <c r="A2343" s="173" t="s">
        <v>5376</v>
      </c>
      <c r="B2343" s="20" t="s">
        <v>5377</v>
      </c>
      <c r="C2343" s="116">
        <v>21499470</v>
      </c>
      <c r="E2343" s="154"/>
      <c r="F2343" s="154"/>
      <c r="G2343" s="154"/>
    </row>
    <row r="2344" spans="1:7" x14ac:dyDescent="0.3">
      <c r="A2344" s="173" t="s">
        <v>5378</v>
      </c>
      <c r="B2344" s="20" t="s">
        <v>5379</v>
      </c>
      <c r="C2344" s="116">
        <v>55569.3</v>
      </c>
      <c r="E2344" s="154"/>
      <c r="F2344" s="154"/>
      <c r="G2344" s="154"/>
    </row>
    <row r="2345" spans="1:7" x14ac:dyDescent="0.3">
      <c r="A2345" s="173" t="s">
        <v>5380</v>
      </c>
      <c r="B2345" s="20" t="s">
        <v>5381</v>
      </c>
      <c r="C2345" s="116">
        <v>1587678.1</v>
      </c>
      <c r="E2345" s="154"/>
      <c r="F2345" s="154"/>
      <c r="G2345" s="154"/>
    </row>
    <row r="2346" spans="1:7" x14ac:dyDescent="0.3">
      <c r="A2346" s="173" t="s">
        <v>5382</v>
      </c>
      <c r="B2346" s="20" t="s">
        <v>5383</v>
      </c>
      <c r="C2346" s="116">
        <v>91419.75</v>
      </c>
      <c r="E2346" s="154"/>
      <c r="F2346" s="154"/>
      <c r="G2346" s="154"/>
    </row>
    <row r="2347" spans="1:7" x14ac:dyDescent="0.3">
      <c r="A2347" s="173" t="s">
        <v>5384</v>
      </c>
      <c r="B2347" s="20" t="s">
        <v>5385</v>
      </c>
      <c r="C2347" s="116">
        <v>484493.74</v>
      </c>
      <c r="E2347" s="154"/>
      <c r="F2347" s="154"/>
      <c r="G2347" s="154"/>
    </row>
    <row r="2348" spans="1:7" x14ac:dyDescent="0.3">
      <c r="A2348" s="173" t="s">
        <v>5386</v>
      </c>
      <c r="B2348" s="20" t="s">
        <v>5387</v>
      </c>
      <c r="C2348" s="116">
        <v>108195.54</v>
      </c>
      <c r="E2348" s="154"/>
      <c r="F2348" s="154"/>
      <c r="G2348" s="154"/>
    </row>
    <row r="2349" spans="1:7" x14ac:dyDescent="0.3">
      <c r="A2349" s="173" t="s">
        <v>5388</v>
      </c>
      <c r="B2349" s="20" t="s">
        <v>5389</v>
      </c>
      <c r="C2349" s="116">
        <v>42500</v>
      </c>
      <c r="E2349" s="154"/>
      <c r="F2349" s="154"/>
      <c r="G2349" s="154"/>
    </row>
    <row r="2350" spans="1:7" x14ac:dyDescent="0.3">
      <c r="A2350" s="173" t="s">
        <v>5390</v>
      </c>
      <c r="B2350" s="20" t="s">
        <v>5391</v>
      </c>
      <c r="C2350" s="116">
        <v>0</v>
      </c>
      <c r="E2350" s="154"/>
      <c r="F2350" s="154"/>
      <c r="G2350" s="154"/>
    </row>
    <row r="2351" spans="1:7" x14ac:dyDescent="0.3">
      <c r="A2351" s="173" t="s">
        <v>5392</v>
      </c>
      <c r="B2351" s="20" t="s">
        <v>5393</v>
      </c>
      <c r="C2351" s="116">
        <v>0</v>
      </c>
      <c r="E2351" s="154"/>
      <c r="F2351" s="154"/>
      <c r="G2351" s="154"/>
    </row>
    <row r="2352" spans="1:7" x14ac:dyDescent="0.3">
      <c r="A2352" s="173" t="s">
        <v>5394</v>
      </c>
      <c r="B2352" s="20" t="s">
        <v>5395</v>
      </c>
      <c r="C2352" s="116">
        <v>6393.69</v>
      </c>
      <c r="E2352" s="154"/>
      <c r="F2352" s="154"/>
      <c r="G2352" s="154"/>
    </row>
    <row r="2353" spans="1:7" x14ac:dyDescent="0.3">
      <c r="A2353" s="173" t="s">
        <v>5396</v>
      </c>
      <c r="B2353" s="20" t="s">
        <v>5397</v>
      </c>
      <c r="C2353" s="116">
        <v>137290</v>
      </c>
      <c r="E2353" s="154"/>
      <c r="F2353" s="154"/>
      <c r="G2353" s="154"/>
    </row>
    <row r="2354" spans="1:7" x14ac:dyDescent="0.3">
      <c r="A2354" s="173" t="s">
        <v>5398</v>
      </c>
      <c r="B2354" s="20" t="s">
        <v>5399</v>
      </c>
      <c r="C2354" s="116">
        <v>60131.93</v>
      </c>
      <c r="E2354" s="154"/>
      <c r="F2354" s="154"/>
      <c r="G2354" s="154"/>
    </row>
    <row r="2355" spans="1:7" x14ac:dyDescent="0.3">
      <c r="A2355" s="173" t="s">
        <v>5400</v>
      </c>
      <c r="B2355" s="20" t="s">
        <v>5401</v>
      </c>
      <c r="C2355" s="116">
        <v>55569.3</v>
      </c>
      <c r="E2355" s="154"/>
      <c r="F2355" s="154"/>
      <c r="G2355" s="154"/>
    </row>
    <row r="2356" spans="1:7" x14ac:dyDescent="0.3">
      <c r="A2356" s="173" t="s">
        <v>5402</v>
      </c>
      <c r="B2356" s="20" t="s">
        <v>5403</v>
      </c>
      <c r="C2356" s="116">
        <v>48926.37</v>
      </c>
      <c r="E2356" s="154"/>
      <c r="F2356" s="154"/>
      <c r="G2356" s="154"/>
    </row>
    <row r="2357" spans="1:7" x14ac:dyDescent="0.3">
      <c r="A2357" s="173" t="s">
        <v>5404</v>
      </c>
      <c r="B2357" s="20" t="s">
        <v>5405</v>
      </c>
      <c r="C2357" s="116">
        <v>0</v>
      </c>
      <c r="E2357" s="154"/>
      <c r="F2357" s="154"/>
      <c r="G2357" s="154"/>
    </row>
    <row r="2358" spans="1:7" x14ac:dyDescent="0.3">
      <c r="A2358" s="173" t="s">
        <v>5406</v>
      </c>
      <c r="B2358" s="20" t="s">
        <v>5407</v>
      </c>
      <c r="C2358" s="116">
        <v>87268.5</v>
      </c>
      <c r="E2358" s="154"/>
      <c r="F2358" s="154"/>
      <c r="G2358" s="154"/>
    </row>
    <row r="2359" spans="1:7" x14ac:dyDescent="0.3">
      <c r="A2359" s="173" t="s">
        <v>5408</v>
      </c>
      <c r="B2359" s="20" t="s">
        <v>5409</v>
      </c>
      <c r="C2359" s="116">
        <v>60976.5</v>
      </c>
      <c r="E2359" s="154"/>
      <c r="F2359" s="154"/>
      <c r="G2359" s="154"/>
    </row>
    <row r="2360" spans="1:7" x14ac:dyDescent="0.3">
      <c r="A2360" s="173" t="s">
        <v>5410</v>
      </c>
      <c r="B2360" s="20" t="s">
        <v>5411</v>
      </c>
      <c r="C2360" s="116">
        <v>4300</v>
      </c>
      <c r="E2360" s="154"/>
      <c r="F2360" s="154"/>
      <c r="G2360" s="154"/>
    </row>
    <row r="2361" spans="1:7" x14ac:dyDescent="0.3">
      <c r="A2361" s="173" t="s">
        <v>5412</v>
      </c>
      <c r="B2361" s="20" t="s">
        <v>5413</v>
      </c>
      <c r="C2361" s="116">
        <v>111138.55</v>
      </c>
      <c r="E2361" s="154"/>
      <c r="F2361" s="154"/>
      <c r="G2361" s="154"/>
    </row>
    <row r="2362" spans="1:7" x14ac:dyDescent="0.3">
      <c r="A2362" s="173" t="s">
        <v>5414</v>
      </c>
      <c r="B2362" s="20" t="s">
        <v>5415</v>
      </c>
      <c r="C2362" s="116">
        <v>84506.7</v>
      </c>
      <c r="E2362" s="154"/>
      <c r="F2362" s="154"/>
      <c r="G2362" s="154"/>
    </row>
    <row r="2363" spans="1:7" x14ac:dyDescent="0.3">
      <c r="A2363" s="173" t="s">
        <v>5416</v>
      </c>
      <c r="B2363" s="20" t="s">
        <v>5417</v>
      </c>
      <c r="C2363" s="116">
        <v>0</v>
      </c>
      <c r="E2363" s="154"/>
      <c r="F2363" s="154"/>
      <c r="G2363" s="154"/>
    </row>
    <row r="2364" spans="1:7" x14ac:dyDescent="0.3">
      <c r="A2364" s="173" t="s">
        <v>5418</v>
      </c>
      <c r="B2364" s="20" t="s">
        <v>5419</v>
      </c>
      <c r="C2364" s="116">
        <v>0</v>
      </c>
      <c r="E2364" s="154"/>
      <c r="F2364" s="154"/>
      <c r="G2364" s="154"/>
    </row>
    <row r="2365" spans="1:7" x14ac:dyDescent="0.3">
      <c r="A2365" s="173" t="s">
        <v>5420</v>
      </c>
      <c r="B2365" s="20" t="s">
        <v>5421</v>
      </c>
      <c r="C2365" s="116">
        <v>0</v>
      </c>
      <c r="E2365" s="154"/>
      <c r="F2365" s="154"/>
      <c r="G2365" s="154"/>
    </row>
    <row r="2366" spans="1:7" x14ac:dyDescent="0.3">
      <c r="A2366" s="173" t="s">
        <v>5422</v>
      </c>
      <c r="B2366" s="20" t="s">
        <v>5423</v>
      </c>
      <c r="C2366" s="116">
        <v>0</v>
      </c>
      <c r="E2366" s="154"/>
      <c r="F2366" s="154"/>
      <c r="G2366" s="154"/>
    </row>
    <row r="2367" spans="1:7" x14ac:dyDescent="0.3">
      <c r="A2367" s="173" t="s">
        <v>5424</v>
      </c>
      <c r="B2367" s="20" t="s">
        <v>5425</v>
      </c>
      <c r="C2367" s="116">
        <v>0</v>
      </c>
      <c r="E2367" s="154"/>
      <c r="F2367" s="154"/>
      <c r="G2367" s="154"/>
    </row>
    <row r="2368" spans="1:7" x14ac:dyDescent="0.3">
      <c r="A2368" s="173" t="s">
        <v>5426</v>
      </c>
      <c r="B2368" s="20" t="s">
        <v>5427</v>
      </c>
      <c r="C2368" s="116">
        <v>0</v>
      </c>
      <c r="E2368" s="154"/>
      <c r="F2368" s="154"/>
      <c r="G2368" s="154"/>
    </row>
    <row r="2369" spans="1:7" x14ac:dyDescent="0.3">
      <c r="A2369" s="173" t="s">
        <v>5428</v>
      </c>
      <c r="B2369" s="20" t="s">
        <v>5429</v>
      </c>
      <c r="C2369" s="116">
        <v>21965</v>
      </c>
      <c r="E2369" s="154"/>
      <c r="F2369" s="154"/>
      <c r="G2369" s="154"/>
    </row>
    <row r="2370" spans="1:7" x14ac:dyDescent="0.3">
      <c r="A2370" s="173" t="s">
        <v>5430</v>
      </c>
      <c r="B2370" s="20" t="s">
        <v>5431</v>
      </c>
      <c r="C2370" s="116">
        <v>0</v>
      </c>
      <c r="E2370" s="154"/>
      <c r="F2370" s="154"/>
      <c r="G2370" s="154"/>
    </row>
    <row r="2371" spans="1:7" x14ac:dyDescent="0.3">
      <c r="A2371" s="173" t="s">
        <v>5432</v>
      </c>
      <c r="B2371" s="20" t="s">
        <v>5433</v>
      </c>
      <c r="C2371" s="116">
        <v>0</v>
      </c>
      <c r="E2371" s="154"/>
      <c r="F2371" s="154"/>
      <c r="G2371" s="154"/>
    </row>
    <row r="2372" spans="1:7" x14ac:dyDescent="0.3">
      <c r="A2372" s="173" t="s">
        <v>5434</v>
      </c>
      <c r="B2372" s="20" t="s">
        <v>5435</v>
      </c>
      <c r="C2372" s="116">
        <v>0</v>
      </c>
      <c r="E2372" s="154"/>
      <c r="F2372" s="154"/>
      <c r="G2372" s="154"/>
    </row>
    <row r="2373" spans="1:7" x14ac:dyDescent="0.3">
      <c r="A2373" s="173" t="s">
        <v>5436</v>
      </c>
      <c r="B2373" s="20" t="s">
        <v>5437</v>
      </c>
      <c r="C2373" s="116">
        <v>0</v>
      </c>
      <c r="E2373" s="154"/>
      <c r="F2373" s="154"/>
      <c r="G2373" s="154"/>
    </row>
    <row r="2374" spans="1:7" x14ac:dyDescent="0.3">
      <c r="A2374" s="173" t="s">
        <v>843</v>
      </c>
      <c r="B2374" s="20" t="s">
        <v>5438</v>
      </c>
      <c r="C2374" s="116">
        <v>0</v>
      </c>
      <c r="E2374" s="154"/>
      <c r="F2374" s="154"/>
      <c r="G2374" s="154"/>
    </row>
    <row r="2375" spans="1:7" x14ac:dyDescent="0.3">
      <c r="A2375" s="173" t="s">
        <v>5439</v>
      </c>
      <c r="B2375" s="20" t="s">
        <v>5440</v>
      </c>
      <c r="C2375" s="116">
        <v>0</v>
      </c>
      <c r="E2375" s="154"/>
      <c r="F2375" s="154"/>
      <c r="G2375" s="154"/>
    </row>
    <row r="2376" spans="1:7" x14ac:dyDescent="0.3">
      <c r="A2376" s="173" t="s">
        <v>5441</v>
      </c>
      <c r="B2376" s="20" t="s">
        <v>5442</v>
      </c>
      <c r="C2376" s="116">
        <v>0</v>
      </c>
      <c r="E2376" s="154"/>
      <c r="F2376" s="154"/>
      <c r="G2376" s="154"/>
    </row>
    <row r="2377" spans="1:7" x14ac:dyDescent="0.3">
      <c r="A2377" s="173" t="s">
        <v>5443</v>
      </c>
      <c r="B2377" s="20" t="s">
        <v>5444</v>
      </c>
      <c r="C2377" s="116">
        <v>0</v>
      </c>
      <c r="E2377" s="154"/>
      <c r="F2377" s="154"/>
      <c r="G2377" s="154"/>
    </row>
    <row r="2378" spans="1:7" x14ac:dyDescent="0.3">
      <c r="A2378" s="173" t="s">
        <v>5445</v>
      </c>
      <c r="B2378" s="20" t="s">
        <v>5446</v>
      </c>
      <c r="C2378" s="116">
        <v>0</v>
      </c>
      <c r="E2378" s="154"/>
      <c r="F2378" s="154"/>
      <c r="G2378" s="154"/>
    </row>
    <row r="2379" spans="1:7" x14ac:dyDescent="0.3">
      <c r="A2379" s="173" t="s">
        <v>5447</v>
      </c>
      <c r="B2379" s="20" t="s">
        <v>5448</v>
      </c>
      <c r="C2379" s="116">
        <v>0</v>
      </c>
      <c r="E2379" s="154"/>
      <c r="F2379" s="154"/>
      <c r="G2379" s="154"/>
    </row>
    <row r="2380" spans="1:7" x14ac:dyDescent="0.3">
      <c r="A2380" s="173" t="s">
        <v>5449</v>
      </c>
      <c r="B2380" s="20" t="s">
        <v>5450</v>
      </c>
      <c r="C2380" s="116">
        <v>0</v>
      </c>
      <c r="E2380" s="154"/>
      <c r="F2380" s="154"/>
      <c r="G2380" s="154"/>
    </row>
    <row r="2381" spans="1:7" x14ac:dyDescent="0.3">
      <c r="A2381" s="173" t="s">
        <v>5451</v>
      </c>
      <c r="B2381" s="20" t="s">
        <v>5452</v>
      </c>
      <c r="C2381" s="116">
        <v>0</v>
      </c>
      <c r="E2381" s="154"/>
      <c r="F2381" s="154"/>
      <c r="G2381" s="154"/>
    </row>
    <row r="2382" spans="1:7" x14ac:dyDescent="0.3">
      <c r="A2382" s="173" t="s">
        <v>5453</v>
      </c>
      <c r="B2382" s="20" t="s">
        <v>5454</v>
      </c>
      <c r="C2382" s="116">
        <v>0</v>
      </c>
      <c r="E2382" s="154"/>
      <c r="F2382" s="154"/>
      <c r="G2382" s="154"/>
    </row>
    <row r="2383" spans="1:7" x14ac:dyDescent="0.3">
      <c r="A2383" s="173" t="s">
        <v>5455</v>
      </c>
      <c r="B2383" s="20" t="s">
        <v>5456</v>
      </c>
      <c r="C2383" s="116">
        <v>0</v>
      </c>
      <c r="E2383" s="154"/>
      <c r="F2383" s="154"/>
      <c r="G2383" s="154"/>
    </row>
    <row r="2384" spans="1:7" x14ac:dyDescent="0.3">
      <c r="A2384" s="173" t="s">
        <v>5457</v>
      </c>
      <c r="B2384" s="20" t="s">
        <v>5458</v>
      </c>
      <c r="C2384" s="116">
        <v>0</v>
      </c>
      <c r="E2384" s="154"/>
      <c r="F2384" s="154"/>
      <c r="G2384" s="154"/>
    </row>
    <row r="2385" spans="1:7" x14ac:dyDescent="0.3">
      <c r="A2385" s="173" t="s">
        <v>5459</v>
      </c>
      <c r="B2385" s="20" t="s">
        <v>5460</v>
      </c>
      <c r="C2385" s="116">
        <v>0</v>
      </c>
      <c r="E2385" s="154"/>
      <c r="F2385" s="154"/>
      <c r="G2385" s="154"/>
    </row>
    <row r="2386" spans="1:7" x14ac:dyDescent="0.3">
      <c r="A2386" s="173" t="s">
        <v>5461</v>
      </c>
      <c r="B2386" s="20" t="s">
        <v>5462</v>
      </c>
      <c r="C2386" s="116">
        <v>0</v>
      </c>
      <c r="E2386" s="154"/>
      <c r="F2386" s="154"/>
      <c r="G2386" s="154"/>
    </row>
    <row r="2387" spans="1:7" x14ac:dyDescent="0.3">
      <c r="A2387" s="173" t="s">
        <v>5463</v>
      </c>
      <c r="B2387" s="20" t="s">
        <v>5464</v>
      </c>
      <c r="C2387" s="116">
        <v>0</v>
      </c>
      <c r="E2387" s="154"/>
      <c r="F2387" s="154"/>
      <c r="G2387" s="154"/>
    </row>
    <row r="2388" spans="1:7" x14ac:dyDescent="0.3">
      <c r="A2388" s="173" t="s">
        <v>5465</v>
      </c>
      <c r="B2388" s="20" t="s">
        <v>5466</v>
      </c>
      <c r="C2388" s="116">
        <v>0</v>
      </c>
      <c r="E2388" s="154"/>
      <c r="F2388" s="154"/>
      <c r="G2388" s="154"/>
    </row>
    <row r="2389" spans="1:7" x14ac:dyDescent="0.3">
      <c r="A2389" s="173" t="s">
        <v>5467</v>
      </c>
      <c r="B2389" s="20" t="s">
        <v>5468</v>
      </c>
      <c r="C2389" s="116">
        <v>0</v>
      </c>
      <c r="E2389" s="154"/>
      <c r="F2389" s="154"/>
      <c r="G2389" s="154"/>
    </row>
    <row r="2390" spans="1:7" x14ac:dyDescent="0.3">
      <c r="A2390" s="173" t="s">
        <v>5469</v>
      </c>
      <c r="B2390" s="20" t="s">
        <v>5470</v>
      </c>
      <c r="C2390" s="116">
        <v>0</v>
      </c>
      <c r="E2390" s="154"/>
      <c r="F2390" s="154"/>
      <c r="G2390" s="154"/>
    </row>
    <row r="2391" spans="1:7" x14ac:dyDescent="0.3">
      <c r="A2391" s="173" t="s">
        <v>5471</v>
      </c>
      <c r="B2391" s="20" t="s">
        <v>5472</v>
      </c>
      <c r="C2391" s="116">
        <v>0</v>
      </c>
      <c r="E2391" s="154"/>
      <c r="F2391" s="154"/>
      <c r="G2391" s="154"/>
    </row>
    <row r="2392" spans="1:7" x14ac:dyDescent="0.3">
      <c r="A2392" s="173" t="s">
        <v>5473</v>
      </c>
      <c r="B2392" s="20" t="s">
        <v>5474</v>
      </c>
      <c r="C2392" s="116">
        <v>555094.68999999994</v>
      </c>
      <c r="E2392" s="154"/>
      <c r="F2392" s="154"/>
      <c r="G2392" s="154"/>
    </row>
    <row r="2393" spans="1:7" x14ac:dyDescent="0.3">
      <c r="A2393" s="173" t="s">
        <v>5475</v>
      </c>
      <c r="B2393" s="20" t="s">
        <v>5476</v>
      </c>
      <c r="C2393" s="116">
        <v>371721.44</v>
      </c>
      <c r="E2393" s="154"/>
      <c r="F2393" s="154"/>
      <c r="G2393" s="154"/>
    </row>
    <row r="2394" spans="1:7" x14ac:dyDescent="0.3">
      <c r="A2394" s="173" t="s">
        <v>5477</v>
      </c>
      <c r="B2394" s="20" t="s">
        <v>5478</v>
      </c>
      <c r="C2394" s="116">
        <v>0</v>
      </c>
      <c r="E2394" s="154"/>
      <c r="F2394" s="154"/>
      <c r="G2394" s="154"/>
    </row>
    <row r="2395" spans="1:7" x14ac:dyDescent="0.3">
      <c r="A2395" s="173" t="s">
        <v>1054</v>
      </c>
      <c r="B2395" s="20" t="s">
        <v>1055</v>
      </c>
      <c r="C2395" s="116">
        <v>-4396092</v>
      </c>
      <c r="E2395" s="154"/>
      <c r="F2395" s="154"/>
      <c r="G2395" s="154"/>
    </row>
    <row r="2396" spans="1:7" x14ac:dyDescent="0.3">
      <c r="A2396" s="173" t="s">
        <v>5479</v>
      </c>
      <c r="B2396" s="20" t="s">
        <v>5480</v>
      </c>
      <c r="C2396" s="116">
        <v>-849139.04</v>
      </c>
      <c r="E2396" s="154"/>
      <c r="F2396" s="154"/>
      <c r="G2396" s="154"/>
    </row>
    <row r="2397" spans="1:7" x14ac:dyDescent="0.3">
      <c r="A2397" s="173" t="s">
        <v>5481</v>
      </c>
      <c r="B2397" s="20" t="s">
        <v>5482</v>
      </c>
      <c r="C2397" s="116">
        <v>111138.55</v>
      </c>
      <c r="E2397" s="154"/>
      <c r="F2397" s="154"/>
      <c r="G2397" s="154"/>
    </row>
    <row r="2398" spans="1:7" x14ac:dyDescent="0.3">
      <c r="A2398" s="173" t="s">
        <v>5483</v>
      </c>
      <c r="B2398" s="20" t="s">
        <v>5484</v>
      </c>
      <c r="C2398" s="116">
        <v>1022000</v>
      </c>
      <c r="E2398" s="154"/>
      <c r="F2398" s="154"/>
      <c r="G2398" s="154"/>
    </row>
    <row r="2399" spans="1:7" x14ac:dyDescent="0.3">
      <c r="A2399" s="173" t="s">
        <v>5485</v>
      </c>
      <c r="B2399" s="20" t="s">
        <v>5486</v>
      </c>
      <c r="C2399" s="116">
        <v>-957073.2</v>
      </c>
      <c r="E2399" s="154"/>
      <c r="F2399" s="154"/>
      <c r="G2399" s="154"/>
    </row>
    <row r="2400" spans="1:7" x14ac:dyDescent="0.3">
      <c r="A2400" s="173" t="s">
        <v>5487</v>
      </c>
      <c r="B2400" s="20" t="s">
        <v>5488</v>
      </c>
      <c r="C2400" s="116">
        <v>204090</v>
      </c>
      <c r="E2400" s="154"/>
      <c r="F2400" s="154"/>
      <c r="G2400" s="154"/>
    </row>
    <row r="2401" spans="1:7" x14ac:dyDescent="0.3">
      <c r="A2401" s="173" t="s">
        <v>5489</v>
      </c>
      <c r="B2401" s="20" t="s">
        <v>5490</v>
      </c>
      <c r="C2401" s="116">
        <v>0</v>
      </c>
      <c r="E2401" s="154"/>
      <c r="F2401" s="154"/>
      <c r="G2401" s="154"/>
    </row>
    <row r="2402" spans="1:7" x14ac:dyDescent="0.3">
      <c r="A2402" s="173" t="s">
        <v>5491</v>
      </c>
      <c r="B2402" s="20" t="s">
        <v>5492</v>
      </c>
      <c r="C2402" s="116">
        <v>114440</v>
      </c>
      <c r="E2402" s="154"/>
      <c r="F2402" s="154"/>
      <c r="G2402" s="154"/>
    </row>
    <row r="2403" spans="1:7" x14ac:dyDescent="0.3">
      <c r="A2403" s="173" t="s">
        <v>5493</v>
      </c>
      <c r="B2403" s="20" t="s">
        <v>5494</v>
      </c>
      <c r="C2403" s="116">
        <v>498970327.25999999</v>
      </c>
      <c r="E2403" s="154"/>
      <c r="F2403" s="154"/>
      <c r="G2403" s="154"/>
    </row>
    <row r="2404" spans="1:7" x14ac:dyDescent="0.3">
      <c r="A2404" s="173" t="s">
        <v>5495</v>
      </c>
      <c r="B2404" s="20" t="s">
        <v>5496</v>
      </c>
      <c r="C2404" s="116">
        <v>131364</v>
      </c>
      <c r="E2404" s="154"/>
      <c r="F2404" s="154"/>
      <c r="G2404" s="154"/>
    </row>
    <row r="2405" spans="1:7" x14ac:dyDescent="0.3">
      <c r="A2405" s="173" t="s">
        <v>5497</v>
      </c>
      <c r="B2405" s="20" t="s">
        <v>5498</v>
      </c>
      <c r="C2405" s="116">
        <v>126087990</v>
      </c>
      <c r="E2405" s="154"/>
      <c r="F2405" s="154"/>
      <c r="G2405" s="154"/>
    </row>
    <row r="2406" spans="1:7" x14ac:dyDescent="0.3">
      <c r="A2406" s="173" t="s">
        <v>5499</v>
      </c>
      <c r="B2406" s="20" t="s">
        <v>5500</v>
      </c>
      <c r="C2406" s="116">
        <v>381215</v>
      </c>
      <c r="E2406" s="154"/>
      <c r="F2406" s="154"/>
      <c r="G2406" s="154"/>
    </row>
    <row r="2407" spans="1:7" x14ac:dyDescent="0.3">
      <c r="A2407" s="173" t="s">
        <v>5501</v>
      </c>
      <c r="B2407" s="20" t="s">
        <v>5502</v>
      </c>
      <c r="C2407" s="116">
        <v>1943652.08</v>
      </c>
      <c r="E2407" s="154"/>
      <c r="F2407" s="154"/>
      <c r="G2407" s="154"/>
    </row>
    <row r="2408" spans="1:7" x14ac:dyDescent="0.3">
      <c r="A2408" s="173" t="s">
        <v>5503</v>
      </c>
      <c r="B2408" s="20" t="s">
        <v>5504</v>
      </c>
      <c r="C2408" s="116">
        <v>42700</v>
      </c>
      <c r="E2408" s="154"/>
      <c r="F2408" s="154"/>
      <c r="G2408" s="154"/>
    </row>
    <row r="2409" spans="1:7" x14ac:dyDescent="0.3">
      <c r="A2409" s="173" t="s">
        <v>5505</v>
      </c>
      <c r="B2409" s="20" t="s">
        <v>5506</v>
      </c>
      <c r="C2409" s="116">
        <v>7920</v>
      </c>
      <c r="E2409" s="154"/>
      <c r="F2409" s="154"/>
      <c r="G2409" s="154"/>
    </row>
    <row r="2410" spans="1:7" x14ac:dyDescent="0.3">
      <c r="A2410" s="173" t="s">
        <v>5507</v>
      </c>
      <c r="B2410" s="20" t="s">
        <v>5508</v>
      </c>
      <c r="C2410" s="116">
        <v>132932.25</v>
      </c>
      <c r="E2410" s="154"/>
      <c r="F2410" s="154"/>
      <c r="G2410" s="154"/>
    </row>
    <row r="2411" spans="1:7" x14ac:dyDescent="0.3">
      <c r="A2411" s="173" t="s">
        <v>5509</v>
      </c>
      <c r="B2411" s="20" t="s">
        <v>5510</v>
      </c>
      <c r="C2411" s="116">
        <v>1896840666.45</v>
      </c>
      <c r="E2411" s="154"/>
      <c r="F2411" s="154"/>
      <c r="G2411" s="154"/>
    </row>
    <row r="2412" spans="1:7" x14ac:dyDescent="0.3">
      <c r="A2412" s="173" t="s">
        <v>5511</v>
      </c>
      <c r="B2412" s="20" t="s">
        <v>5512</v>
      </c>
      <c r="C2412" s="116">
        <v>17115</v>
      </c>
      <c r="E2412" s="154"/>
      <c r="F2412" s="154"/>
      <c r="G2412" s="154"/>
    </row>
    <row r="2413" spans="1:7" x14ac:dyDescent="0.3">
      <c r="A2413" s="173" t="s">
        <v>5513</v>
      </c>
      <c r="B2413" s="20" t="s">
        <v>5514</v>
      </c>
      <c r="C2413" s="116">
        <v>22283.42</v>
      </c>
      <c r="E2413" s="154"/>
      <c r="F2413" s="154"/>
      <c r="G2413" s="154"/>
    </row>
    <row r="2414" spans="1:7" x14ac:dyDescent="0.3">
      <c r="A2414" s="173" t="s">
        <v>5515</v>
      </c>
      <c r="B2414" s="20" t="s">
        <v>5516</v>
      </c>
      <c r="C2414" s="116">
        <v>49575.45</v>
      </c>
      <c r="E2414" s="154"/>
      <c r="F2414" s="154"/>
      <c r="G2414" s="154"/>
    </row>
    <row r="2415" spans="1:7" x14ac:dyDescent="0.3">
      <c r="A2415" s="173" t="s">
        <v>5517</v>
      </c>
      <c r="B2415" s="20" t="s">
        <v>5518</v>
      </c>
      <c r="C2415" s="116">
        <v>25833333.350000001</v>
      </c>
      <c r="E2415" s="154"/>
      <c r="F2415" s="154"/>
      <c r="G2415" s="154"/>
    </row>
    <row r="2416" spans="1:7" x14ac:dyDescent="0.3">
      <c r="A2416" s="173" t="s">
        <v>5519</v>
      </c>
      <c r="B2416" s="20" t="s">
        <v>5520</v>
      </c>
      <c r="C2416" s="116">
        <v>692730</v>
      </c>
      <c r="E2416" s="154"/>
      <c r="F2416" s="154"/>
      <c r="G2416" s="154"/>
    </row>
    <row r="2417" spans="1:7" x14ac:dyDescent="0.3">
      <c r="A2417" s="173" t="s">
        <v>5521</v>
      </c>
      <c r="B2417" s="20" t="s">
        <v>5522</v>
      </c>
      <c r="C2417" s="116">
        <v>202213</v>
      </c>
      <c r="E2417" s="154"/>
      <c r="F2417" s="154"/>
      <c r="G2417" s="154"/>
    </row>
    <row r="2418" spans="1:7" x14ac:dyDescent="0.3">
      <c r="A2418" s="173" t="s">
        <v>5523</v>
      </c>
      <c r="B2418" s="20" t="s">
        <v>5524</v>
      </c>
      <c r="C2418" s="116">
        <v>205591.17</v>
      </c>
      <c r="E2418" s="154"/>
      <c r="F2418" s="154"/>
      <c r="G2418" s="154"/>
    </row>
    <row r="2419" spans="1:7" x14ac:dyDescent="0.3">
      <c r="A2419" s="173" t="s">
        <v>5525</v>
      </c>
      <c r="B2419" s="20" t="s">
        <v>5526</v>
      </c>
      <c r="C2419" s="116">
        <v>556624.5</v>
      </c>
      <c r="E2419" s="154"/>
      <c r="F2419" s="154"/>
      <c r="G2419" s="154"/>
    </row>
    <row r="2420" spans="1:7" x14ac:dyDescent="0.3">
      <c r="A2420" s="173" t="s">
        <v>5527</v>
      </c>
      <c r="B2420" s="20" t="s">
        <v>5528</v>
      </c>
      <c r="C2420" s="116">
        <v>98369.25</v>
      </c>
      <c r="E2420" s="154"/>
      <c r="F2420" s="154"/>
      <c r="G2420" s="154"/>
    </row>
    <row r="2421" spans="1:7" x14ac:dyDescent="0.3">
      <c r="A2421" s="173" t="s">
        <v>5529</v>
      </c>
      <c r="B2421" s="20" t="s">
        <v>5530</v>
      </c>
      <c r="C2421" s="116">
        <v>632617</v>
      </c>
      <c r="E2421" s="154"/>
      <c r="F2421" s="154"/>
      <c r="G2421" s="154"/>
    </row>
    <row r="2422" spans="1:7" x14ac:dyDescent="0.3">
      <c r="A2422" s="173" t="s">
        <v>5531</v>
      </c>
      <c r="B2422" s="20" t="s">
        <v>5532</v>
      </c>
      <c r="C2422" s="116">
        <v>28074.17</v>
      </c>
      <c r="E2422" s="154"/>
      <c r="F2422" s="154"/>
      <c r="G2422" s="154"/>
    </row>
    <row r="2423" spans="1:7" x14ac:dyDescent="0.3">
      <c r="A2423" s="173" t="s">
        <v>5533</v>
      </c>
      <c r="B2423" s="20" t="s">
        <v>3390</v>
      </c>
      <c r="C2423" s="116">
        <v>48793</v>
      </c>
      <c r="E2423" s="154"/>
      <c r="F2423" s="154"/>
      <c r="G2423" s="154"/>
    </row>
    <row r="2424" spans="1:7" x14ac:dyDescent="0.3">
      <c r="A2424" s="173" t="s">
        <v>5534</v>
      </c>
      <c r="B2424" s="20" t="s">
        <v>5535</v>
      </c>
      <c r="C2424" s="116">
        <v>0</v>
      </c>
      <c r="E2424" s="154"/>
      <c r="F2424" s="154"/>
      <c r="G2424" s="154"/>
    </row>
    <row r="2425" spans="1:7" x14ac:dyDescent="0.3">
      <c r="A2425" s="173" t="s">
        <v>5536</v>
      </c>
      <c r="B2425" s="20" t="s">
        <v>5537</v>
      </c>
      <c r="C2425" s="116">
        <v>152600</v>
      </c>
      <c r="E2425" s="154"/>
      <c r="F2425" s="154"/>
      <c r="G2425" s="154"/>
    </row>
    <row r="2426" spans="1:7" x14ac:dyDescent="0.3">
      <c r="A2426" s="173" t="s">
        <v>836</v>
      </c>
      <c r="B2426" s="20" t="s">
        <v>837</v>
      </c>
      <c r="C2426" s="116">
        <v>28358305.190000001</v>
      </c>
      <c r="E2426" s="154"/>
      <c r="F2426" s="154"/>
      <c r="G2426" s="154"/>
    </row>
    <row r="2427" spans="1:7" x14ac:dyDescent="0.3">
      <c r="A2427" s="173" t="s">
        <v>5538</v>
      </c>
      <c r="B2427" s="20" t="s">
        <v>5539</v>
      </c>
      <c r="C2427" s="116">
        <v>111138.55</v>
      </c>
      <c r="E2427" s="154"/>
      <c r="F2427" s="154"/>
      <c r="G2427" s="154"/>
    </row>
    <row r="2428" spans="1:7" x14ac:dyDescent="0.3">
      <c r="A2428" s="173" t="s">
        <v>5540</v>
      </c>
      <c r="B2428" s="20" t="s">
        <v>5541</v>
      </c>
      <c r="C2428" s="116">
        <v>0</v>
      </c>
      <c r="E2428" s="154"/>
      <c r="F2428" s="154"/>
      <c r="G2428" s="154"/>
    </row>
    <row r="2429" spans="1:7" x14ac:dyDescent="0.3">
      <c r="A2429" s="173" t="s">
        <v>5542</v>
      </c>
      <c r="B2429" s="20" t="s">
        <v>5543</v>
      </c>
      <c r="C2429" s="116">
        <v>0</v>
      </c>
      <c r="E2429" s="154"/>
      <c r="F2429" s="154"/>
      <c r="G2429" s="154"/>
    </row>
    <row r="2430" spans="1:7" x14ac:dyDescent="0.3">
      <c r="A2430" s="173" t="s">
        <v>5544</v>
      </c>
      <c r="B2430" s="20" t="s">
        <v>5545</v>
      </c>
      <c r="C2430" s="116">
        <v>0</v>
      </c>
      <c r="E2430" s="154"/>
      <c r="F2430" s="154"/>
      <c r="G2430" s="154"/>
    </row>
    <row r="2431" spans="1:7" x14ac:dyDescent="0.3">
      <c r="A2431" s="173" t="s">
        <v>5546</v>
      </c>
      <c r="B2431" s="20" t="s">
        <v>5547</v>
      </c>
      <c r="C2431" s="116">
        <v>21199999.699999999</v>
      </c>
    </row>
    <row r="2432" spans="1:7" x14ac:dyDescent="0.3">
      <c r="A2432" s="173" t="s">
        <v>5548</v>
      </c>
      <c r="B2432" s="20" t="s">
        <v>5549</v>
      </c>
      <c r="C2432" s="116">
        <v>183602.77</v>
      </c>
    </row>
    <row r="2433" spans="1:3" x14ac:dyDescent="0.3">
      <c r="A2433" s="173" t="s">
        <v>5550</v>
      </c>
      <c r="B2433" s="20" t="s">
        <v>5551</v>
      </c>
      <c r="C2433" s="116">
        <v>33773.699999999997</v>
      </c>
    </row>
    <row r="2434" spans="1:3" x14ac:dyDescent="0.3">
      <c r="A2434" s="173" t="s">
        <v>5552</v>
      </c>
      <c r="B2434" s="20" t="s">
        <v>5553</v>
      </c>
      <c r="C2434" s="116">
        <v>86957.88</v>
      </c>
    </row>
    <row r="2435" spans="1:3" x14ac:dyDescent="0.3">
      <c r="A2435" s="173" t="s">
        <v>5554</v>
      </c>
      <c r="B2435" s="20" t="s">
        <v>5555</v>
      </c>
      <c r="C2435" s="116">
        <v>111138.55</v>
      </c>
    </row>
    <row r="2436" spans="1:3" x14ac:dyDescent="0.3">
      <c r="A2436" s="173" t="s">
        <v>5556</v>
      </c>
      <c r="B2436" s="20" t="s">
        <v>5557</v>
      </c>
      <c r="C2436" s="116">
        <v>0</v>
      </c>
    </row>
    <row r="2437" spans="1:3" x14ac:dyDescent="0.3">
      <c r="A2437" s="173" t="s">
        <v>5558</v>
      </c>
      <c r="B2437" s="20" t="s">
        <v>5559</v>
      </c>
      <c r="C2437" s="116">
        <v>0</v>
      </c>
    </row>
    <row r="2438" spans="1:3" x14ac:dyDescent="0.3">
      <c r="A2438" s="173" t="s">
        <v>5560</v>
      </c>
      <c r="B2438" s="20" t="s">
        <v>5561</v>
      </c>
      <c r="C2438" s="116">
        <v>0</v>
      </c>
    </row>
    <row r="2439" spans="1:3" x14ac:dyDescent="0.3">
      <c r="A2439" s="173" t="s">
        <v>5562</v>
      </c>
      <c r="B2439" s="20" t="s">
        <v>5563</v>
      </c>
      <c r="C2439" s="116">
        <v>0</v>
      </c>
    </row>
    <row r="2440" spans="1:3" x14ac:dyDescent="0.3">
      <c r="A2440" s="173" t="s">
        <v>5564</v>
      </c>
      <c r="B2440" s="20" t="s">
        <v>5565</v>
      </c>
      <c r="C2440" s="116">
        <v>31535.68</v>
      </c>
    </row>
    <row r="2441" spans="1:3" x14ac:dyDescent="0.3">
      <c r="A2441" s="173" t="s">
        <v>5566</v>
      </c>
      <c r="B2441" s="20" t="s">
        <v>5567</v>
      </c>
      <c r="C2441" s="116">
        <v>439984.78</v>
      </c>
    </row>
    <row r="2442" spans="1:3" x14ac:dyDescent="0.3">
      <c r="A2442" s="173" t="s">
        <v>5568</v>
      </c>
      <c r="B2442" s="20" t="s">
        <v>5569</v>
      </c>
      <c r="C2442" s="116">
        <v>-24322.03</v>
      </c>
    </row>
    <row r="2443" spans="1:3" x14ac:dyDescent="0.3">
      <c r="A2443" s="173" t="s">
        <v>5570</v>
      </c>
      <c r="B2443" s="20" t="s">
        <v>5571</v>
      </c>
      <c r="C2443" s="116">
        <v>0</v>
      </c>
    </row>
    <row r="2444" spans="1:3" x14ac:dyDescent="0.3">
      <c r="A2444" s="173" t="s">
        <v>5572</v>
      </c>
      <c r="B2444" s="20" t="s">
        <v>5573</v>
      </c>
      <c r="C2444" s="116">
        <v>50968</v>
      </c>
    </row>
    <row r="2445" spans="1:3" x14ac:dyDescent="0.3">
      <c r="A2445" s="173" t="s">
        <v>5574</v>
      </c>
      <c r="B2445" s="20" t="s">
        <v>5575</v>
      </c>
      <c r="C2445" s="116">
        <v>0</v>
      </c>
    </row>
    <row r="2446" spans="1:3" x14ac:dyDescent="0.3">
      <c r="A2446" s="173" t="s">
        <v>5576</v>
      </c>
      <c r="B2446" s="20" t="s">
        <v>5577</v>
      </c>
      <c r="C2446" s="116">
        <v>0</v>
      </c>
    </row>
    <row r="2447" spans="1:3" x14ac:dyDescent="0.3">
      <c r="A2447" s="173" t="s">
        <v>5578</v>
      </c>
      <c r="B2447" s="20" t="s">
        <v>5579</v>
      </c>
      <c r="C2447" s="116">
        <v>0</v>
      </c>
    </row>
    <row r="2448" spans="1:3" x14ac:dyDescent="0.3">
      <c r="A2448" s="173" t="s">
        <v>642</v>
      </c>
      <c r="B2448" s="20" t="s">
        <v>643</v>
      </c>
      <c r="C2448" s="116">
        <v>2500</v>
      </c>
    </row>
    <row r="2449" spans="1:3" x14ac:dyDescent="0.3">
      <c r="A2449" s="173" t="s">
        <v>939</v>
      </c>
      <c r="B2449" s="20" t="s">
        <v>940</v>
      </c>
      <c r="C2449" s="116">
        <v>0</v>
      </c>
    </row>
    <row r="2450" spans="1:3" x14ac:dyDescent="0.3">
      <c r="A2450" s="173" t="s">
        <v>5580</v>
      </c>
      <c r="B2450" s="20" t="s">
        <v>5581</v>
      </c>
      <c r="C2450" s="116">
        <v>0</v>
      </c>
    </row>
    <row r="2451" spans="1:3" x14ac:dyDescent="0.3">
      <c r="A2451" s="173" t="s">
        <v>5582</v>
      </c>
      <c r="B2451" s="20" t="s">
        <v>5583</v>
      </c>
      <c r="C2451" s="116">
        <v>0</v>
      </c>
    </row>
    <row r="2452" spans="1:3" x14ac:dyDescent="0.3">
      <c r="A2452" s="173" t="s">
        <v>875</v>
      </c>
      <c r="B2452" s="20" t="s">
        <v>876</v>
      </c>
      <c r="C2452" s="116">
        <v>0</v>
      </c>
    </row>
    <row r="2453" spans="1:3" x14ac:dyDescent="0.3">
      <c r="A2453" s="173" t="s">
        <v>5584</v>
      </c>
      <c r="B2453" s="20" t="s">
        <v>5585</v>
      </c>
      <c r="C2453" s="116">
        <v>0</v>
      </c>
    </row>
    <row r="2454" spans="1:3" x14ac:dyDescent="0.3">
      <c r="A2454" s="173" t="s">
        <v>879</v>
      </c>
      <c r="B2454" s="20" t="s">
        <v>880</v>
      </c>
      <c r="C2454" s="116">
        <v>0</v>
      </c>
    </row>
    <row r="2455" spans="1:3" x14ac:dyDescent="0.3">
      <c r="A2455" s="173" t="s">
        <v>5586</v>
      </c>
      <c r="B2455" s="20" t="s">
        <v>5587</v>
      </c>
      <c r="C2455" s="116">
        <v>0</v>
      </c>
    </row>
    <row r="2456" spans="1:3" x14ac:dyDescent="0.3">
      <c r="A2456" s="173" t="s">
        <v>5588</v>
      </c>
      <c r="B2456" s="20" t="s">
        <v>5589</v>
      </c>
      <c r="C2456" s="116">
        <v>-44386500</v>
      </c>
    </row>
    <row r="2457" spans="1:3" x14ac:dyDescent="0.3">
      <c r="A2457" s="173" t="s">
        <v>536</v>
      </c>
      <c r="B2457" s="20" t="s">
        <v>537</v>
      </c>
      <c r="C2457" s="116">
        <v>0</v>
      </c>
    </row>
    <row r="2458" spans="1:3" x14ac:dyDescent="0.3">
      <c r="A2458" s="173" t="s">
        <v>5590</v>
      </c>
      <c r="B2458" s="20" t="s">
        <v>5591</v>
      </c>
      <c r="C2458" s="116">
        <v>0</v>
      </c>
    </row>
    <row r="2459" spans="1:3" x14ac:dyDescent="0.3">
      <c r="A2459" s="173" t="s">
        <v>871</v>
      </c>
      <c r="B2459" s="20" t="s">
        <v>5592</v>
      </c>
      <c r="C2459" s="116">
        <v>0</v>
      </c>
    </row>
    <row r="2460" spans="1:3" x14ac:dyDescent="0.3">
      <c r="A2460" s="173" t="s">
        <v>5593</v>
      </c>
      <c r="B2460" s="20" t="s">
        <v>5594</v>
      </c>
      <c r="C2460" s="116">
        <v>0</v>
      </c>
    </row>
    <row r="2461" spans="1:3" x14ac:dyDescent="0.3">
      <c r="A2461" s="173" t="s">
        <v>5595</v>
      </c>
      <c r="B2461" s="20" t="s">
        <v>5596</v>
      </c>
      <c r="C2461" s="116">
        <v>0</v>
      </c>
    </row>
    <row r="2462" spans="1:3" x14ac:dyDescent="0.3">
      <c r="A2462" s="173" t="s">
        <v>5597</v>
      </c>
      <c r="B2462" s="20" t="s">
        <v>5598</v>
      </c>
      <c r="C2462" s="116">
        <v>0</v>
      </c>
    </row>
    <row r="2463" spans="1:3" x14ac:dyDescent="0.3">
      <c r="A2463" s="173" t="s">
        <v>929</v>
      </c>
      <c r="B2463" s="20" t="s">
        <v>930</v>
      </c>
      <c r="C2463" s="116">
        <v>0</v>
      </c>
    </row>
    <row r="2464" spans="1:3" x14ac:dyDescent="0.3">
      <c r="A2464" s="173" t="s">
        <v>5599</v>
      </c>
      <c r="B2464" s="20" t="s">
        <v>5600</v>
      </c>
      <c r="C2464" s="116">
        <v>0</v>
      </c>
    </row>
    <row r="2465" spans="1:3" x14ac:dyDescent="0.3">
      <c r="A2465" s="173" t="s">
        <v>5601</v>
      </c>
      <c r="B2465" s="20" t="s">
        <v>5602</v>
      </c>
      <c r="C2465" s="116">
        <v>0</v>
      </c>
    </row>
    <row r="2466" spans="1:3" x14ac:dyDescent="0.3">
      <c r="A2466" s="173" t="s">
        <v>5603</v>
      </c>
      <c r="B2466" s="20" t="s">
        <v>5604</v>
      </c>
      <c r="C2466" s="116">
        <v>0</v>
      </c>
    </row>
    <row r="2467" spans="1:3" x14ac:dyDescent="0.3">
      <c r="A2467" s="173" t="s">
        <v>5605</v>
      </c>
      <c r="B2467" s="20" t="s">
        <v>5606</v>
      </c>
      <c r="C2467" s="116">
        <v>0</v>
      </c>
    </row>
    <row r="2468" spans="1:3" x14ac:dyDescent="0.3">
      <c r="A2468" s="173" t="s">
        <v>5607</v>
      </c>
      <c r="B2468" s="20" t="s">
        <v>5608</v>
      </c>
      <c r="C2468" s="116">
        <v>250574037.11000001</v>
      </c>
    </row>
    <row r="2469" spans="1:3" x14ac:dyDescent="0.3">
      <c r="A2469" s="173" t="s">
        <v>5609</v>
      </c>
      <c r="B2469" s="20" t="s">
        <v>5610</v>
      </c>
      <c r="C2469" s="116">
        <v>8405</v>
      </c>
    </row>
    <row r="2470" spans="1:3" x14ac:dyDescent="0.3">
      <c r="A2470" s="173" t="s">
        <v>5611</v>
      </c>
      <c r="B2470" s="20" t="s">
        <v>5612</v>
      </c>
      <c r="C2470" s="116">
        <v>1754189474.9400001</v>
      </c>
    </row>
    <row r="2471" spans="1:3" x14ac:dyDescent="0.3">
      <c r="A2471" s="173" t="s">
        <v>5613</v>
      </c>
      <c r="B2471" s="20" t="s">
        <v>5614</v>
      </c>
      <c r="C2471" s="116">
        <v>1009309.96</v>
      </c>
    </row>
    <row r="2472" spans="1:3" x14ac:dyDescent="0.3">
      <c r="A2472" s="173" t="s">
        <v>5615</v>
      </c>
      <c r="B2472" s="20" t="s">
        <v>5616</v>
      </c>
      <c r="C2472" s="116">
        <v>64868.73</v>
      </c>
    </row>
    <row r="2473" spans="1:3" x14ac:dyDescent="0.3">
      <c r="A2473" s="173" t="s">
        <v>5617</v>
      </c>
      <c r="B2473" s="20" t="s">
        <v>5618</v>
      </c>
      <c r="C2473" s="116">
        <v>251550</v>
      </c>
    </row>
    <row r="2474" spans="1:3" x14ac:dyDescent="0.3">
      <c r="A2474" s="173" t="s">
        <v>5619</v>
      </c>
      <c r="B2474" s="20" t="s">
        <v>5620</v>
      </c>
      <c r="C2474" s="116">
        <v>842531.25</v>
      </c>
    </row>
    <row r="2475" spans="1:3" x14ac:dyDescent="0.3">
      <c r="A2475" s="173" t="s">
        <v>1014</v>
      </c>
      <c r="B2475" s="20" t="s">
        <v>1015</v>
      </c>
      <c r="C2475" s="116">
        <v>-2212430.38</v>
      </c>
    </row>
    <row r="2476" spans="1:3" x14ac:dyDescent="0.3">
      <c r="A2476" s="173" t="s">
        <v>5621</v>
      </c>
      <c r="B2476" s="20" t="s">
        <v>5622</v>
      </c>
      <c r="C2476" s="116">
        <v>0</v>
      </c>
    </row>
    <row r="2477" spans="1:3" x14ac:dyDescent="0.3">
      <c r="A2477" s="173" t="s">
        <v>5623</v>
      </c>
      <c r="B2477" s="20" t="s">
        <v>4600</v>
      </c>
      <c r="C2477" s="116">
        <v>30297.47</v>
      </c>
    </row>
    <row r="2478" spans="1:3" x14ac:dyDescent="0.3">
      <c r="A2478" s="173" t="s">
        <v>5624</v>
      </c>
      <c r="B2478" s="20" t="s">
        <v>5625</v>
      </c>
      <c r="C2478" s="116">
        <v>3200</v>
      </c>
    </row>
    <row r="2479" spans="1:3" x14ac:dyDescent="0.3">
      <c r="A2479" s="173" t="s">
        <v>5626</v>
      </c>
      <c r="B2479" s="20" t="s">
        <v>5627</v>
      </c>
      <c r="C2479" s="116">
        <v>59364</v>
      </c>
    </row>
    <row r="2480" spans="1:3" x14ac:dyDescent="0.3">
      <c r="A2480" s="173" t="s">
        <v>5628</v>
      </c>
      <c r="B2480" s="20" t="s">
        <v>5629</v>
      </c>
      <c r="C2480" s="116">
        <v>617501</v>
      </c>
    </row>
    <row r="2481" spans="1:3" x14ac:dyDescent="0.3">
      <c r="A2481" s="173" t="s">
        <v>5630</v>
      </c>
      <c r="B2481" s="20" t="s">
        <v>5631</v>
      </c>
      <c r="C2481" s="116">
        <v>624737.5</v>
      </c>
    </row>
    <row r="2482" spans="1:3" x14ac:dyDescent="0.3">
      <c r="A2482" s="173" t="s">
        <v>5632</v>
      </c>
      <c r="B2482" s="20" t="s">
        <v>5633</v>
      </c>
      <c r="C2482" s="116">
        <v>182975</v>
      </c>
    </row>
    <row r="2483" spans="1:3" x14ac:dyDescent="0.3">
      <c r="A2483" s="173" t="s">
        <v>5634</v>
      </c>
      <c r="B2483" s="20" t="s">
        <v>5635</v>
      </c>
      <c r="C2483" s="116">
        <v>210175</v>
      </c>
    </row>
    <row r="2484" spans="1:3" x14ac:dyDescent="0.3">
      <c r="A2484" s="173" t="s">
        <v>953</v>
      </c>
      <c r="B2484" s="20" t="s">
        <v>954</v>
      </c>
      <c r="C2484" s="116">
        <v>-440336.56</v>
      </c>
    </row>
    <row r="2485" spans="1:3" x14ac:dyDescent="0.3">
      <c r="A2485" s="173" t="s">
        <v>5636</v>
      </c>
      <c r="B2485" s="20" t="s">
        <v>5637</v>
      </c>
      <c r="C2485" s="116">
        <v>126990.99</v>
      </c>
    </row>
    <row r="2486" spans="1:3" x14ac:dyDescent="0.3">
      <c r="A2486" s="173" t="s">
        <v>5638</v>
      </c>
      <c r="B2486" s="20" t="s">
        <v>5639</v>
      </c>
      <c r="C2486" s="116">
        <v>36900</v>
      </c>
    </row>
    <row r="2487" spans="1:3" x14ac:dyDescent="0.3">
      <c r="A2487" s="173" t="s">
        <v>5640</v>
      </c>
      <c r="B2487" s="20" t="s">
        <v>5641</v>
      </c>
      <c r="C2487" s="116">
        <v>377460553.23000002</v>
      </c>
    </row>
    <row r="2488" spans="1:3" x14ac:dyDescent="0.3">
      <c r="A2488" s="173" t="s">
        <v>712</v>
      </c>
      <c r="B2488" s="20" t="s">
        <v>713</v>
      </c>
      <c r="C2488" s="116">
        <v>121235.45</v>
      </c>
    </row>
    <row r="2489" spans="1:3" x14ac:dyDescent="0.3">
      <c r="A2489" s="173" t="s">
        <v>5642</v>
      </c>
      <c r="B2489" s="20" t="s">
        <v>5643</v>
      </c>
      <c r="C2489" s="116">
        <v>9000</v>
      </c>
    </row>
    <row r="2490" spans="1:3" x14ac:dyDescent="0.3">
      <c r="A2490" s="173" t="s">
        <v>5644</v>
      </c>
      <c r="B2490" s="20" t="s">
        <v>5645</v>
      </c>
      <c r="C2490" s="116">
        <v>21518186.649999999</v>
      </c>
    </row>
    <row r="2491" spans="1:3" x14ac:dyDescent="0.3">
      <c r="A2491" s="173" t="s">
        <v>5646</v>
      </c>
      <c r="B2491" s="20" t="s">
        <v>5647</v>
      </c>
      <c r="C2491" s="116">
        <v>157873</v>
      </c>
    </row>
    <row r="2492" spans="1:3" x14ac:dyDescent="0.3">
      <c r="A2492" s="173" t="s">
        <v>5648</v>
      </c>
      <c r="B2492" s="20" t="s">
        <v>5649</v>
      </c>
      <c r="C2492" s="116">
        <v>616997.16</v>
      </c>
    </row>
    <row r="2493" spans="1:3" x14ac:dyDescent="0.3">
      <c r="A2493" s="173" t="s">
        <v>5650</v>
      </c>
      <c r="B2493" s="20" t="s">
        <v>5651</v>
      </c>
      <c r="C2493" s="116">
        <v>0</v>
      </c>
    </row>
    <row r="2494" spans="1:3" x14ac:dyDescent="0.3">
      <c r="A2494" s="173" t="s">
        <v>5652</v>
      </c>
      <c r="B2494" s="20" t="s">
        <v>5653</v>
      </c>
      <c r="C2494" s="116">
        <v>1042131.06</v>
      </c>
    </row>
    <row r="2495" spans="1:3" x14ac:dyDescent="0.3">
      <c r="A2495" s="173" t="s">
        <v>5654</v>
      </c>
      <c r="B2495" s="20" t="s">
        <v>5655</v>
      </c>
      <c r="C2495" s="116">
        <v>79805.5</v>
      </c>
    </row>
    <row r="2496" spans="1:3" x14ac:dyDescent="0.3">
      <c r="A2496" s="173" t="s">
        <v>5656</v>
      </c>
      <c r="B2496" s="20" t="s">
        <v>5657</v>
      </c>
      <c r="C2496" s="116">
        <v>377369</v>
      </c>
    </row>
    <row r="2497" spans="1:3" x14ac:dyDescent="0.3">
      <c r="A2497" s="173" t="s">
        <v>5658</v>
      </c>
      <c r="B2497" s="20" t="s">
        <v>5659</v>
      </c>
      <c r="C2497" s="116">
        <v>510000</v>
      </c>
    </row>
    <row r="2498" spans="1:3" x14ac:dyDescent="0.3">
      <c r="A2498" s="173" t="s">
        <v>5660</v>
      </c>
      <c r="B2498" s="20" t="s">
        <v>5661</v>
      </c>
      <c r="C2498" s="116">
        <v>23600</v>
      </c>
    </row>
    <row r="2499" spans="1:3" x14ac:dyDescent="0.3">
      <c r="A2499" s="173" t="s">
        <v>5662</v>
      </c>
      <c r="B2499" s="20" t="s">
        <v>5663</v>
      </c>
      <c r="C2499" s="116">
        <v>0</v>
      </c>
    </row>
    <row r="2500" spans="1:3" x14ac:dyDescent="0.3">
      <c r="A2500" s="173" t="s">
        <v>576</v>
      </c>
      <c r="B2500" s="20" t="s">
        <v>5664</v>
      </c>
      <c r="C2500" s="116">
        <v>0</v>
      </c>
    </row>
    <row r="2501" spans="1:3" x14ac:dyDescent="0.3">
      <c r="A2501" s="173" t="s">
        <v>5665</v>
      </c>
      <c r="B2501" s="20" t="s">
        <v>5666</v>
      </c>
      <c r="C2501" s="116">
        <v>179305</v>
      </c>
    </row>
    <row r="2502" spans="1:3" x14ac:dyDescent="0.3">
      <c r="A2502" s="173" t="s">
        <v>5667</v>
      </c>
      <c r="B2502" s="20" t="s">
        <v>5668</v>
      </c>
      <c r="C2502" s="116">
        <v>7402</v>
      </c>
    </row>
    <row r="2503" spans="1:3" x14ac:dyDescent="0.3">
      <c r="A2503" s="173" t="s">
        <v>5669</v>
      </c>
      <c r="B2503" s="20" t="s">
        <v>5670</v>
      </c>
      <c r="C2503" s="116">
        <v>6212.25</v>
      </c>
    </row>
    <row r="2504" spans="1:3" x14ac:dyDescent="0.3">
      <c r="A2504" s="173" t="s">
        <v>5671</v>
      </c>
      <c r="B2504" s="20" t="s">
        <v>5672</v>
      </c>
      <c r="C2504" s="116">
        <v>839256.43</v>
      </c>
    </row>
    <row r="2505" spans="1:3" x14ac:dyDescent="0.3">
      <c r="A2505" s="173" t="s">
        <v>5673</v>
      </c>
      <c r="B2505" s="20" t="s">
        <v>5674</v>
      </c>
      <c r="C2505" s="116">
        <v>888040.08</v>
      </c>
    </row>
    <row r="2506" spans="1:3" x14ac:dyDescent="0.3">
      <c r="A2506" s="173" t="s">
        <v>5675</v>
      </c>
      <c r="B2506" s="20" t="s">
        <v>5676</v>
      </c>
      <c r="C2506" s="116">
        <v>4186339.35</v>
      </c>
    </row>
    <row r="2507" spans="1:3" x14ac:dyDescent="0.3">
      <c r="A2507" s="173" t="s">
        <v>5677</v>
      </c>
      <c r="B2507" s="20" t="s">
        <v>5678</v>
      </c>
      <c r="C2507" s="116">
        <v>0</v>
      </c>
    </row>
    <row r="2508" spans="1:3" x14ac:dyDescent="0.3">
      <c r="A2508" s="173" t="s">
        <v>5679</v>
      </c>
      <c r="B2508" s="20" t="s">
        <v>5680</v>
      </c>
      <c r="C2508" s="116">
        <v>20582</v>
      </c>
    </row>
    <row r="2509" spans="1:3" x14ac:dyDescent="0.3">
      <c r="A2509" s="173" t="s">
        <v>5681</v>
      </c>
      <c r="B2509" s="20" t="s">
        <v>5682</v>
      </c>
      <c r="C2509" s="116">
        <v>0</v>
      </c>
    </row>
    <row r="2510" spans="1:3" x14ac:dyDescent="0.3">
      <c r="A2510" s="173" t="s">
        <v>5683</v>
      </c>
      <c r="B2510" s="20" t="s">
        <v>5684</v>
      </c>
      <c r="C2510" s="116">
        <v>111138.55</v>
      </c>
    </row>
    <row r="2511" spans="1:3" x14ac:dyDescent="0.3">
      <c r="A2511" s="173" t="s">
        <v>5685</v>
      </c>
      <c r="B2511" s="20" t="s">
        <v>5686</v>
      </c>
      <c r="C2511" s="116">
        <v>0</v>
      </c>
    </row>
    <row r="2512" spans="1:3" x14ac:dyDescent="0.3">
      <c r="A2512" s="173" t="s">
        <v>5687</v>
      </c>
      <c r="B2512" s="20" t="s">
        <v>5688</v>
      </c>
      <c r="C2512" s="116">
        <v>0</v>
      </c>
    </row>
    <row r="2513" spans="1:3" x14ac:dyDescent="0.3">
      <c r="A2513" s="173" t="s">
        <v>969</v>
      </c>
      <c r="B2513" s="20" t="s">
        <v>970</v>
      </c>
      <c r="C2513" s="116">
        <v>-693306.63</v>
      </c>
    </row>
    <row r="2514" spans="1:3" x14ac:dyDescent="0.3">
      <c r="A2514" s="173" t="s">
        <v>5689</v>
      </c>
      <c r="B2514" s="20" t="s">
        <v>5690</v>
      </c>
      <c r="C2514" s="116">
        <v>45422</v>
      </c>
    </row>
    <row r="2515" spans="1:3" x14ac:dyDescent="0.3">
      <c r="A2515" s="173" t="s">
        <v>5691</v>
      </c>
      <c r="B2515" s="20" t="s">
        <v>5692</v>
      </c>
      <c r="C2515" s="116">
        <v>148266.88</v>
      </c>
    </row>
    <row r="2516" spans="1:3" x14ac:dyDescent="0.3">
      <c r="A2516" s="173" t="s">
        <v>5693</v>
      </c>
      <c r="B2516" s="20" t="s">
        <v>5694</v>
      </c>
      <c r="C2516" s="116">
        <v>103945.25</v>
      </c>
    </row>
    <row r="2517" spans="1:3" x14ac:dyDescent="0.3">
      <c r="A2517" s="173" t="s">
        <v>5695</v>
      </c>
      <c r="B2517" s="20" t="s">
        <v>5696</v>
      </c>
      <c r="C2517" s="116">
        <v>0</v>
      </c>
    </row>
    <row r="2518" spans="1:3" x14ac:dyDescent="0.3">
      <c r="A2518" s="173" t="s">
        <v>5697</v>
      </c>
      <c r="B2518" s="20" t="s">
        <v>5698</v>
      </c>
      <c r="C2518" s="116">
        <v>0</v>
      </c>
    </row>
    <row r="2519" spans="1:3" x14ac:dyDescent="0.3">
      <c r="A2519" s="173" t="s">
        <v>5699</v>
      </c>
      <c r="B2519" s="20" t="s">
        <v>5700</v>
      </c>
      <c r="C2519" s="116">
        <v>0</v>
      </c>
    </row>
    <row r="2520" spans="1:3" x14ac:dyDescent="0.3">
      <c r="A2520" s="173" t="s">
        <v>5701</v>
      </c>
      <c r="B2520" s="20" t="s">
        <v>5702</v>
      </c>
      <c r="C2520" s="116">
        <v>0</v>
      </c>
    </row>
    <row r="2521" spans="1:3" x14ac:dyDescent="0.3">
      <c r="A2521" s="173" t="s">
        <v>5703</v>
      </c>
      <c r="B2521" s="20" t="s">
        <v>5704</v>
      </c>
      <c r="C2521" s="116">
        <v>0</v>
      </c>
    </row>
    <row r="2522" spans="1:3" x14ac:dyDescent="0.3">
      <c r="A2522" s="173" t="s">
        <v>5705</v>
      </c>
      <c r="B2522" s="20" t="s">
        <v>5706</v>
      </c>
      <c r="C2522" s="116">
        <v>3031656.25</v>
      </c>
    </row>
    <row r="2523" spans="1:3" x14ac:dyDescent="0.3">
      <c r="A2523" s="173" t="s">
        <v>5707</v>
      </c>
      <c r="B2523" s="20" t="s">
        <v>5708</v>
      </c>
      <c r="C2523" s="116">
        <v>0</v>
      </c>
    </row>
    <row r="2524" spans="1:3" x14ac:dyDescent="0.3">
      <c r="A2524" s="173" t="s">
        <v>5709</v>
      </c>
      <c r="B2524" s="20" t="s">
        <v>5710</v>
      </c>
      <c r="C2524" s="116">
        <v>0</v>
      </c>
    </row>
    <row r="2525" spans="1:3" x14ac:dyDescent="0.3">
      <c r="A2525" s="173" t="s">
        <v>5711</v>
      </c>
      <c r="B2525" s="20" t="s">
        <v>5712</v>
      </c>
      <c r="C2525" s="116">
        <v>0</v>
      </c>
    </row>
    <row r="2526" spans="1:3" x14ac:dyDescent="0.3">
      <c r="A2526" s="173" t="s">
        <v>5713</v>
      </c>
      <c r="B2526" s="20" t="s">
        <v>5714</v>
      </c>
      <c r="C2526" s="116">
        <v>-1</v>
      </c>
    </row>
    <row r="2527" spans="1:3" x14ac:dyDescent="0.3">
      <c r="A2527" s="173" t="s">
        <v>5715</v>
      </c>
      <c r="B2527" s="20" t="s">
        <v>5716</v>
      </c>
      <c r="C2527" s="116">
        <v>30000</v>
      </c>
    </row>
    <row r="2528" spans="1:3" x14ac:dyDescent="0.3">
      <c r="A2528" s="173" t="s">
        <v>5717</v>
      </c>
      <c r="B2528" s="20" t="s">
        <v>5718</v>
      </c>
      <c r="C2528" s="116">
        <v>0</v>
      </c>
    </row>
    <row r="2529" spans="1:3" x14ac:dyDescent="0.3">
      <c r="A2529" s="173" t="s">
        <v>5719</v>
      </c>
      <c r="B2529" s="20" t="s">
        <v>5720</v>
      </c>
      <c r="C2529" s="116">
        <v>0</v>
      </c>
    </row>
    <row r="2530" spans="1:3" x14ac:dyDescent="0.3">
      <c r="A2530" s="173" t="s">
        <v>5721</v>
      </c>
      <c r="B2530" s="20" t="s">
        <v>5722</v>
      </c>
      <c r="C2530" s="116">
        <v>0</v>
      </c>
    </row>
    <row r="2531" spans="1:3" x14ac:dyDescent="0.3">
      <c r="A2531" s="173" t="s">
        <v>5723</v>
      </c>
      <c r="B2531" s="20" t="s">
        <v>5724</v>
      </c>
      <c r="C2531" s="116">
        <v>0</v>
      </c>
    </row>
    <row r="2532" spans="1:3" x14ac:dyDescent="0.3">
      <c r="A2532" s="173" t="s">
        <v>5725</v>
      </c>
      <c r="B2532" s="20" t="s">
        <v>5726</v>
      </c>
      <c r="C2532" s="116">
        <v>0</v>
      </c>
    </row>
    <row r="2533" spans="1:3" x14ac:dyDescent="0.3">
      <c r="A2533" s="173" t="s">
        <v>5727</v>
      </c>
      <c r="B2533" s="20" t="s">
        <v>5728</v>
      </c>
      <c r="C2533" s="116">
        <v>0</v>
      </c>
    </row>
    <row r="2534" spans="1:3" x14ac:dyDescent="0.3">
      <c r="A2534" s="173" t="s">
        <v>5729</v>
      </c>
      <c r="B2534" s="20" t="s">
        <v>5730</v>
      </c>
      <c r="C2534" s="116">
        <v>0</v>
      </c>
    </row>
    <row r="2535" spans="1:3" x14ac:dyDescent="0.3">
      <c r="A2535" s="173" t="s">
        <v>5731</v>
      </c>
      <c r="B2535" s="20" t="s">
        <v>5732</v>
      </c>
      <c r="C2535" s="116">
        <v>0</v>
      </c>
    </row>
    <row r="2536" spans="1:3" x14ac:dyDescent="0.3">
      <c r="A2536" s="173" t="s">
        <v>5733</v>
      </c>
      <c r="B2536" s="20" t="s">
        <v>5734</v>
      </c>
      <c r="C2536" s="116">
        <v>0</v>
      </c>
    </row>
    <row r="2537" spans="1:3" x14ac:dyDescent="0.3">
      <c r="A2537" s="173" t="s">
        <v>5735</v>
      </c>
      <c r="B2537" s="20" t="s">
        <v>5736</v>
      </c>
      <c r="C2537" s="116">
        <v>0</v>
      </c>
    </row>
    <row r="2538" spans="1:3" x14ac:dyDescent="0.3">
      <c r="A2538" s="173" t="s">
        <v>5737</v>
      </c>
      <c r="B2538" s="20" t="s">
        <v>5738</v>
      </c>
      <c r="C2538" s="116">
        <v>0</v>
      </c>
    </row>
    <row r="2539" spans="1:3" x14ac:dyDescent="0.3">
      <c r="A2539" s="173" t="s">
        <v>5739</v>
      </c>
      <c r="B2539" s="20" t="s">
        <v>5740</v>
      </c>
      <c r="C2539" s="116">
        <v>0</v>
      </c>
    </row>
    <row r="2540" spans="1:3" x14ac:dyDescent="0.3">
      <c r="A2540" s="173" t="s">
        <v>532</v>
      </c>
      <c r="B2540" s="20" t="s">
        <v>533</v>
      </c>
      <c r="C2540" s="116">
        <v>0</v>
      </c>
    </row>
    <row r="2541" spans="1:3" x14ac:dyDescent="0.3">
      <c r="A2541" s="173" t="s">
        <v>5741</v>
      </c>
      <c r="B2541" s="20" t="s">
        <v>5742</v>
      </c>
      <c r="C2541" s="116">
        <v>0</v>
      </c>
    </row>
    <row r="2542" spans="1:3" x14ac:dyDescent="0.3">
      <c r="A2542" s="173" t="s">
        <v>5743</v>
      </c>
      <c r="B2542" s="20" t="s">
        <v>5744</v>
      </c>
      <c r="C2542" s="116">
        <v>0</v>
      </c>
    </row>
    <row r="2543" spans="1:3" x14ac:dyDescent="0.3">
      <c r="A2543" s="173" t="s">
        <v>5745</v>
      </c>
      <c r="B2543" s="20" t="s">
        <v>5746</v>
      </c>
      <c r="C2543" s="116">
        <v>0</v>
      </c>
    </row>
    <row r="2544" spans="1:3" x14ac:dyDescent="0.3">
      <c r="A2544" s="173" t="s">
        <v>5747</v>
      </c>
      <c r="B2544" s="20" t="s">
        <v>5748</v>
      </c>
      <c r="C2544" s="116">
        <v>0</v>
      </c>
    </row>
    <row r="2545" spans="1:3" x14ac:dyDescent="0.3">
      <c r="A2545" s="173" t="s">
        <v>5749</v>
      </c>
      <c r="B2545" s="20" t="s">
        <v>5750</v>
      </c>
      <c r="C2545" s="116">
        <v>0</v>
      </c>
    </row>
    <row r="2546" spans="1:3" x14ac:dyDescent="0.3">
      <c r="A2546" s="173" t="s">
        <v>5751</v>
      </c>
      <c r="B2546" s="20" t="s">
        <v>5752</v>
      </c>
      <c r="C2546" s="116">
        <v>0</v>
      </c>
    </row>
    <row r="2547" spans="1:3" x14ac:dyDescent="0.3">
      <c r="A2547" s="173" t="s">
        <v>5753</v>
      </c>
      <c r="B2547" s="20" t="s">
        <v>5754</v>
      </c>
      <c r="C2547" s="116">
        <v>0</v>
      </c>
    </row>
    <row r="2548" spans="1:3" x14ac:dyDescent="0.3">
      <c r="A2548" s="173" t="s">
        <v>5755</v>
      </c>
      <c r="B2548" s="20" t="s">
        <v>5756</v>
      </c>
      <c r="C2548" s="116">
        <v>0</v>
      </c>
    </row>
    <row r="2549" spans="1:3" x14ac:dyDescent="0.3">
      <c r="A2549" s="173" t="s">
        <v>5757</v>
      </c>
      <c r="B2549" s="20" t="s">
        <v>5758</v>
      </c>
      <c r="C2549" s="116">
        <v>0</v>
      </c>
    </row>
    <row r="2550" spans="1:3" x14ac:dyDescent="0.3">
      <c r="A2550" s="173" t="s">
        <v>5759</v>
      </c>
      <c r="B2550" s="20" t="s">
        <v>5760</v>
      </c>
      <c r="C2550" s="116">
        <v>0</v>
      </c>
    </row>
    <row r="2551" spans="1:3" x14ac:dyDescent="0.3">
      <c r="A2551" s="173" t="s">
        <v>1008</v>
      </c>
      <c r="B2551" s="20" t="s">
        <v>1009</v>
      </c>
      <c r="C2551" s="116">
        <v>0</v>
      </c>
    </row>
    <row r="2552" spans="1:3" x14ac:dyDescent="0.3">
      <c r="A2552" s="173" t="s">
        <v>5761</v>
      </c>
      <c r="B2552" s="20" t="s">
        <v>5762</v>
      </c>
      <c r="C2552" s="116">
        <v>49758673223.809998</v>
      </c>
    </row>
    <row r="2553" spans="1:3" x14ac:dyDescent="0.3">
      <c r="A2553" s="173" t="s">
        <v>5763</v>
      </c>
      <c r="B2553" s="20" t="s">
        <v>5764</v>
      </c>
      <c r="C2553" s="116">
        <v>154359</v>
      </c>
    </row>
    <row r="2554" spans="1:3" x14ac:dyDescent="0.3">
      <c r="A2554" s="173" t="s">
        <v>885</v>
      </c>
      <c r="B2554" s="20" t="s">
        <v>886</v>
      </c>
      <c r="C2554" s="116">
        <v>-3170730</v>
      </c>
    </row>
    <row r="2555" spans="1:3" x14ac:dyDescent="0.3">
      <c r="A2555" s="173" t="s">
        <v>5765</v>
      </c>
      <c r="B2555" s="20" t="s">
        <v>5766</v>
      </c>
      <c r="C2555" s="116">
        <v>9800</v>
      </c>
    </row>
    <row r="2556" spans="1:3" x14ac:dyDescent="0.3">
      <c r="A2556" s="173" t="s">
        <v>5767</v>
      </c>
      <c r="B2556" s="20" t="s">
        <v>5768</v>
      </c>
      <c r="C2556" s="116">
        <v>348313</v>
      </c>
    </row>
    <row r="2557" spans="1:3" x14ac:dyDescent="0.3">
      <c r="A2557" s="173" t="s">
        <v>5769</v>
      </c>
      <c r="B2557" s="20" t="s">
        <v>5770</v>
      </c>
      <c r="C2557" s="116">
        <v>354617.78</v>
      </c>
    </row>
    <row r="2558" spans="1:3" x14ac:dyDescent="0.3">
      <c r="A2558" s="173" t="s">
        <v>5771</v>
      </c>
      <c r="B2558" s="20" t="s">
        <v>5772</v>
      </c>
      <c r="C2558" s="116">
        <v>364055</v>
      </c>
    </row>
    <row r="2559" spans="1:3" x14ac:dyDescent="0.3">
      <c r="A2559" s="173" t="s">
        <v>5773</v>
      </c>
      <c r="B2559" s="20" t="s">
        <v>5774</v>
      </c>
      <c r="C2559" s="116">
        <v>220435.55</v>
      </c>
    </row>
    <row r="2560" spans="1:3" x14ac:dyDescent="0.3">
      <c r="A2560" s="173" t="s">
        <v>5775</v>
      </c>
      <c r="B2560" s="20" t="s">
        <v>5776</v>
      </c>
      <c r="C2560" s="116">
        <v>97875</v>
      </c>
    </row>
    <row r="2561" spans="1:3" x14ac:dyDescent="0.3">
      <c r="A2561" s="173" t="s">
        <v>5777</v>
      </c>
      <c r="B2561" s="20" t="s">
        <v>5778</v>
      </c>
      <c r="C2561" s="116">
        <v>70574.8</v>
      </c>
    </row>
    <row r="2562" spans="1:3" x14ac:dyDescent="0.3">
      <c r="A2562" s="173" t="s">
        <v>5779</v>
      </c>
      <c r="B2562" s="20" t="s">
        <v>5780</v>
      </c>
      <c r="C2562" s="116">
        <v>70101</v>
      </c>
    </row>
    <row r="2563" spans="1:3" x14ac:dyDescent="0.3">
      <c r="A2563" s="173" t="s">
        <v>5781</v>
      </c>
      <c r="B2563" s="20" t="s">
        <v>5782</v>
      </c>
      <c r="C2563" s="116">
        <v>111138.55</v>
      </c>
    </row>
    <row r="2564" spans="1:3" x14ac:dyDescent="0.3">
      <c r="A2564" s="173" t="s">
        <v>5783</v>
      </c>
      <c r="B2564" s="20" t="s">
        <v>5784</v>
      </c>
      <c r="C2564" s="116">
        <v>21111.82</v>
      </c>
    </row>
    <row r="2565" spans="1:3" x14ac:dyDescent="0.3">
      <c r="A2565" s="173" t="s">
        <v>5785</v>
      </c>
      <c r="B2565" s="20" t="s">
        <v>5786</v>
      </c>
      <c r="C2565" s="116">
        <v>156261.25</v>
      </c>
    </row>
    <row r="2566" spans="1:3" x14ac:dyDescent="0.3">
      <c r="A2566" s="173" t="s">
        <v>5787</v>
      </c>
      <c r="B2566" s="20" t="s">
        <v>5788</v>
      </c>
      <c r="C2566" s="116">
        <v>111138.55</v>
      </c>
    </row>
    <row r="2567" spans="1:3" x14ac:dyDescent="0.3">
      <c r="A2567" s="173" t="s">
        <v>5789</v>
      </c>
      <c r="B2567" s="20" t="s">
        <v>5790</v>
      </c>
      <c r="C2567" s="116">
        <v>30759283.82</v>
      </c>
    </row>
    <row r="2568" spans="1:3" x14ac:dyDescent="0.3">
      <c r="A2568" s="173" t="s">
        <v>5791</v>
      </c>
      <c r="B2568" s="20" t="s">
        <v>5792</v>
      </c>
      <c r="C2568" s="116">
        <v>216140</v>
      </c>
    </row>
    <row r="2569" spans="1:3" x14ac:dyDescent="0.3">
      <c r="A2569" s="173" t="s">
        <v>5793</v>
      </c>
      <c r="B2569" s="20" t="s">
        <v>5794</v>
      </c>
      <c r="C2569" s="116">
        <v>121322009.38</v>
      </c>
    </row>
    <row r="2570" spans="1:3" x14ac:dyDescent="0.3">
      <c r="A2570" s="173" t="s">
        <v>5795</v>
      </c>
      <c r="B2570" s="20" t="s">
        <v>5796</v>
      </c>
      <c r="C2570" s="116">
        <v>2430677.96</v>
      </c>
    </row>
    <row r="2571" spans="1:3" x14ac:dyDescent="0.3">
      <c r="A2571" s="173" t="s">
        <v>5797</v>
      </c>
      <c r="B2571" s="20" t="s">
        <v>5798</v>
      </c>
      <c r="C2571" s="116">
        <v>225712</v>
      </c>
    </row>
    <row r="2572" spans="1:3" x14ac:dyDescent="0.3">
      <c r="A2572" s="173" t="s">
        <v>5799</v>
      </c>
      <c r="B2572" s="20" t="s">
        <v>5800</v>
      </c>
      <c r="C2572" s="116">
        <v>0</v>
      </c>
    </row>
    <row r="2573" spans="1:3" x14ac:dyDescent="0.3">
      <c r="A2573" s="173" t="s">
        <v>5801</v>
      </c>
      <c r="B2573" s="20" t="s">
        <v>5802</v>
      </c>
      <c r="C2573" s="116">
        <v>258368</v>
      </c>
    </row>
    <row r="2574" spans="1:3" x14ac:dyDescent="0.3">
      <c r="A2574" s="173" t="s">
        <v>5803</v>
      </c>
      <c r="B2574" s="20" t="s">
        <v>5804</v>
      </c>
      <c r="C2574" s="116">
        <v>62330</v>
      </c>
    </row>
    <row r="2575" spans="1:3" x14ac:dyDescent="0.3">
      <c r="A2575" s="173" t="s">
        <v>5805</v>
      </c>
      <c r="B2575" s="20" t="s">
        <v>5806</v>
      </c>
      <c r="C2575" s="116">
        <v>353293.02</v>
      </c>
    </row>
    <row r="2576" spans="1:3" x14ac:dyDescent="0.3">
      <c r="A2576" s="173" t="s">
        <v>5807</v>
      </c>
      <c r="B2576" s="20" t="s">
        <v>5808</v>
      </c>
      <c r="C2576" s="116">
        <v>0</v>
      </c>
    </row>
    <row r="2577" spans="1:3" x14ac:dyDescent="0.3">
      <c r="A2577" s="173" t="s">
        <v>5809</v>
      </c>
      <c r="B2577" s="20" t="s">
        <v>5810</v>
      </c>
      <c r="C2577" s="116">
        <v>3655816.7</v>
      </c>
    </row>
    <row r="2578" spans="1:3" x14ac:dyDescent="0.3">
      <c r="A2578" s="173" t="s">
        <v>5811</v>
      </c>
      <c r="B2578" s="20" t="s">
        <v>5812</v>
      </c>
      <c r="C2578" s="116">
        <v>858700</v>
      </c>
    </row>
    <row r="2579" spans="1:3" x14ac:dyDescent="0.3">
      <c r="A2579" s="173" t="s">
        <v>666</v>
      </c>
      <c r="B2579" s="20" t="s">
        <v>5813</v>
      </c>
      <c r="C2579" s="116">
        <v>0</v>
      </c>
    </row>
    <row r="2580" spans="1:3" x14ac:dyDescent="0.3">
      <c r="A2580" s="173" t="s">
        <v>646</v>
      </c>
      <c r="B2580" s="20" t="s">
        <v>647</v>
      </c>
      <c r="C2580" s="116">
        <v>0</v>
      </c>
    </row>
    <row r="2581" spans="1:3" x14ac:dyDescent="0.3">
      <c r="A2581" s="173" t="s">
        <v>5814</v>
      </c>
      <c r="B2581" s="20" t="s">
        <v>5815</v>
      </c>
      <c r="C2581" s="116">
        <v>11536947</v>
      </c>
    </row>
    <row r="2582" spans="1:3" x14ac:dyDescent="0.3">
      <c r="A2582" s="173" t="s">
        <v>5816</v>
      </c>
      <c r="B2582" s="20" t="s">
        <v>5817</v>
      </c>
      <c r="C2582" s="116">
        <v>167212.29999999999</v>
      </c>
    </row>
    <row r="2583" spans="1:3" x14ac:dyDescent="0.3">
      <c r="A2583" s="173" t="s">
        <v>5818</v>
      </c>
      <c r="B2583" s="20" t="s">
        <v>5819</v>
      </c>
      <c r="C2583" s="116">
        <v>58693.33</v>
      </c>
    </row>
    <row r="2584" spans="1:3" x14ac:dyDescent="0.3">
      <c r="A2584" s="173" t="s">
        <v>5820</v>
      </c>
      <c r="B2584" s="20" t="s">
        <v>5821</v>
      </c>
      <c r="C2584" s="116">
        <v>39160</v>
      </c>
    </row>
    <row r="2585" spans="1:3" x14ac:dyDescent="0.3">
      <c r="A2585" s="173" t="s">
        <v>5822</v>
      </c>
      <c r="B2585" s="20" t="s">
        <v>5823</v>
      </c>
      <c r="C2585" s="116">
        <v>0</v>
      </c>
    </row>
    <row r="2586" spans="1:3" x14ac:dyDescent="0.3">
      <c r="A2586" s="173" t="s">
        <v>5824</v>
      </c>
      <c r="B2586" s="20" t="s">
        <v>5825</v>
      </c>
      <c r="C2586" s="116">
        <v>95901.25</v>
      </c>
    </row>
    <row r="2587" spans="1:3" x14ac:dyDescent="0.3">
      <c r="A2587" s="173" t="s">
        <v>5826</v>
      </c>
      <c r="B2587" s="20" t="s">
        <v>5827</v>
      </c>
      <c r="C2587" s="116">
        <v>106047.08</v>
      </c>
    </row>
    <row r="2588" spans="1:3" x14ac:dyDescent="0.3">
      <c r="A2588" s="173" t="s">
        <v>538</v>
      </c>
      <c r="B2588" s="20" t="s">
        <v>539</v>
      </c>
      <c r="C2588" s="21">
        <v>0</v>
      </c>
    </row>
    <row r="2589" spans="1:3" x14ac:dyDescent="0.3">
      <c r="A2589" s="173" t="s">
        <v>5828</v>
      </c>
      <c r="B2589" s="20" t="s">
        <v>5829</v>
      </c>
      <c r="C2589" s="21">
        <v>10160</v>
      </c>
    </row>
    <row r="2590" spans="1:3" x14ac:dyDescent="0.3">
      <c r="A2590" s="173" t="s">
        <v>5830</v>
      </c>
      <c r="B2590" s="20" t="s">
        <v>5831</v>
      </c>
      <c r="C2590" s="21">
        <v>0</v>
      </c>
    </row>
    <row r="2591" spans="1:3" x14ac:dyDescent="0.3">
      <c r="A2591" s="173" t="s">
        <v>913</v>
      </c>
      <c r="B2591" s="20" t="s">
        <v>914</v>
      </c>
      <c r="C2591" s="21">
        <v>-121019</v>
      </c>
    </row>
    <row r="2592" spans="1:3" x14ac:dyDescent="0.3">
      <c r="A2592" s="173" t="s">
        <v>5832</v>
      </c>
      <c r="B2592" s="20" t="s">
        <v>5833</v>
      </c>
      <c r="C2592" s="21">
        <v>400279.43</v>
      </c>
    </row>
    <row r="2593" spans="1:3" x14ac:dyDescent="0.3">
      <c r="A2593" s="173" t="s">
        <v>945</v>
      </c>
      <c r="B2593" s="20" t="s">
        <v>5834</v>
      </c>
      <c r="C2593" s="21">
        <v>-0.69</v>
      </c>
    </row>
    <row r="2594" spans="1:3" x14ac:dyDescent="0.3">
      <c r="A2594" s="173" t="s">
        <v>5835</v>
      </c>
      <c r="B2594" s="20" t="s">
        <v>5836</v>
      </c>
      <c r="C2594" s="21">
        <v>113337.78</v>
      </c>
    </row>
    <row r="2595" spans="1:3" x14ac:dyDescent="0.3">
      <c r="A2595" s="173" t="s">
        <v>5837</v>
      </c>
      <c r="B2595" s="20" t="s">
        <v>5838</v>
      </c>
      <c r="C2595" s="21">
        <v>0</v>
      </c>
    </row>
    <row r="2596" spans="1:3" x14ac:dyDescent="0.3">
      <c r="A2596" s="173" t="s">
        <v>5839</v>
      </c>
      <c r="B2596" s="20" t="s">
        <v>5840</v>
      </c>
      <c r="C2596" s="21">
        <v>7660</v>
      </c>
    </row>
    <row r="2597" spans="1:3" x14ac:dyDescent="0.3">
      <c r="A2597" s="173" t="s">
        <v>5841</v>
      </c>
      <c r="B2597" s="20" t="s">
        <v>5842</v>
      </c>
      <c r="C2597" s="21">
        <v>0</v>
      </c>
    </row>
    <row r="2598" spans="1:3" x14ac:dyDescent="0.3">
      <c r="A2598" s="173" t="s">
        <v>5843</v>
      </c>
      <c r="B2598" s="20" t="s">
        <v>5844</v>
      </c>
      <c r="C2598" s="21">
        <v>0</v>
      </c>
    </row>
    <row r="2599" spans="1:3" x14ac:dyDescent="0.3">
      <c r="A2599" s="173" t="s">
        <v>5845</v>
      </c>
      <c r="B2599" s="20" t="s">
        <v>5846</v>
      </c>
      <c r="C2599" s="21">
        <v>0</v>
      </c>
    </row>
    <row r="2600" spans="1:3" x14ac:dyDescent="0.3">
      <c r="A2600" s="173" t="s">
        <v>5847</v>
      </c>
      <c r="B2600" s="20" t="s">
        <v>5848</v>
      </c>
      <c r="C2600" s="21">
        <v>-4210</v>
      </c>
    </row>
    <row r="2601" spans="1:3" x14ac:dyDescent="0.3">
      <c r="A2601" s="173" t="s">
        <v>895</v>
      </c>
      <c r="B2601" s="20" t="s">
        <v>896</v>
      </c>
      <c r="C2601" s="21">
        <v>0</v>
      </c>
    </row>
    <row r="2602" spans="1:3" x14ac:dyDescent="0.3">
      <c r="A2602" s="173" t="s">
        <v>5849</v>
      </c>
      <c r="B2602" s="20" t="s">
        <v>5850</v>
      </c>
      <c r="C2602" s="21">
        <v>0</v>
      </c>
    </row>
    <row r="2603" spans="1:3" x14ac:dyDescent="0.3">
      <c r="A2603" s="173" t="s">
        <v>5851</v>
      </c>
      <c r="B2603" s="20" t="s">
        <v>5852</v>
      </c>
      <c r="C2603" s="21">
        <v>0</v>
      </c>
    </row>
    <row r="2604" spans="1:3" x14ac:dyDescent="0.3">
      <c r="A2604" s="173" t="s">
        <v>5853</v>
      </c>
      <c r="B2604" s="20" t="s">
        <v>5854</v>
      </c>
      <c r="C2604" s="21">
        <v>0</v>
      </c>
    </row>
    <row r="2605" spans="1:3" x14ac:dyDescent="0.3">
      <c r="A2605" s="173" t="s">
        <v>5855</v>
      </c>
      <c r="B2605" s="20" t="s">
        <v>5856</v>
      </c>
      <c r="C2605" s="21">
        <v>0</v>
      </c>
    </row>
    <row r="2606" spans="1:3" x14ac:dyDescent="0.3">
      <c r="A2606" s="173" t="s">
        <v>5857</v>
      </c>
      <c r="B2606" s="20" t="s">
        <v>5858</v>
      </c>
      <c r="C2606" s="21">
        <v>0</v>
      </c>
    </row>
    <row r="2607" spans="1:3" x14ac:dyDescent="0.3">
      <c r="A2607" s="173" t="s">
        <v>5859</v>
      </c>
      <c r="B2607" s="20" t="s">
        <v>5860</v>
      </c>
      <c r="C2607" s="21">
        <v>0</v>
      </c>
    </row>
    <row r="2608" spans="1:3" x14ac:dyDescent="0.3">
      <c r="A2608" s="173" t="s">
        <v>596</v>
      </c>
      <c r="B2608" s="20" t="s">
        <v>597</v>
      </c>
      <c r="C2608" s="21">
        <v>1229510</v>
      </c>
    </row>
    <row r="2609" spans="1:3" x14ac:dyDescent="0.3">
      <c r="A2609" s="173" t="s">
        <v>5861</v>
      </c>
      <c r="B2609" s="20" t="s">
        <v>5862</v>
      </c>
      <c r="C2609" s="21">
        <v>0</v>
      </c>
    </row>
    <row r="2610" spans="1:3" x14ac:dyDescent="0.3">
      <c r="A2610" s="173" t="s">
        <v>5863</v>
      </c>
      <c r="B2610" s="20" t="s">
        <v>5864</v>
      </c>
      <c r="C2610" s="21">
        <v>0</v>
      </c>
    </row>
    <row r="2611" spans="1:3" x14ac:dyDescent="0.3">
      <c r="A2611" s="173" t="s">
        <v>5865</v>
      </c>
      <c r="B2611" s="20" t="s">
        <v>5866</v>
      </c>
      <c r="C2611" s="21">
        <v>0</v>
      </c>
    </row>
    <row r="2612" spans="1:3" x14ac:dyDescent="0.3">
      <c r="A2612" s="173" t="s">
        <v>5867</v>
      </c>
      <c r="B2612" s="20" t="s">
        <v>5868</v>
      </c>
      <c r="C2612" s="21">
        <v>0</v>
      </c>
    </row>
    <row r="2613" spans="1:3" x14ac:dyDescent="0.3">
      <c r="A2613" s="173" t="s">
        <v>5869</v>
      </c>
      <c r="B2613" s="20" t="s">
        <v>5870</v>
      </c>
      <c r="C2613" s="21">
        <v>5339595</v>
      </c>
    </row>
    <row r="2614" spans="1:3" x14ac:dyDescent="0.3">
      <c r="A2614" s="173" t="s">
        <v>5871</v>
      </c>
      <c r="B2614" s="20" t="s">
        <v>5872</v>
      </c>
      <c r="C2614" s="21">
        <v>0</v>
      </c>
    </row>
    <row r="2615" spans="1:3" x14ac:dyDescent="0.3">
      <c r="A2615" s="173" t="s">
        <v>5873</v>
      </c>
      <c r="B2615" s="20" t="s">
        <v>5510</v>
      </c>
      <c r="C2615" s="21">
        <v>0</v>
      </c>
    </row>
    <row r="2616" spans="1:3" x14ac:dyDescent="0.3">
      <c r="A2616" s="173" t="s">
        <v>5874</v>
      </c>
      <c r="B2616" s="20" t="s">
        <v>5875</v>
      </c>
      <c r="C2616" s="21">
        <v>0</v>
      </c>
    </row>
    <row r="2617" spans="1:3" x14ac:dyDescent="0.3">
      <c r="A2617" s="173" t="s">
        <v>5876</v>
      </c>
      <c r="B2617" s="20" t="s">
        <v>5877</v>
      </c>
      <c r="C2617" s="21">
        <v>0</v>
      </c>
    </row>
    <row r="2618" spans="1:3" x14ac:dyDescent="0.3">
      <c r="A2618" s="173" t="s">
        <v>5878</v>
      </c>
      <c r="B2618" s="20" t="s">
        <v>5879</v>
      </c>
      <c r="C2618" s="21">
        <v>0</v>
      </c>
    </row>
    <row r="2619" spans="1:3" x14ac:dyDescent="0.3">
      <c r="A2619" s="173" t="s">
        <v>5880</v>
      </c>
      <c r="B2619" s="20" t="s">
        <v>5881</v>
      </c>
      <c r="C2619" s="21">
        <v>0</v>
      </c>
    </row>
    <row r="2620" spans="1:3" x14ac:dyDescent="0.3">
      <c r="A2620" s="173" t="s">
        <v>5882</v>
      </c>
      <c r="B2620" s="20" t="s">
        <v>5883</v>
      </c>
      <c r="C2620" s="21">
        <v>0</v>
      </c>
    </row>
    <row r="2621" spans="1:3" x14ac:dyDescent="0.3">
      <c r="A2621" s="173" t="s">
        <v>5884</v>
      </c>
      <c r="B2621" s="20" t="s">
        <v>5885</v>
      </c>
      <c r="C2621" s="21">
        <v>0</v>
      </c>
    </row>
    <row r="2622" spans="1:3" x14ac:dyDescent="0.3">
      <c r="A2622" s="173" t="s">
        <v>5886</v>
      </c>
      <c r="B2622" s="20" t="s">
        <v>5887</v>
      </c>
      <c r="C2622" s="21">
        <v>0</v>
      </c>
    </row>
    <row r="2623" spans="1:3" x14ac:dyDescent="0.3">
      <c r="A2623" s="173" t="s">
        <v>5888</v>
      </c>
      <c r="B2623" s="20" t="s">
        <v>5889</v>
      </c>
      <c r="C2623" s="21">
        <v>0</v>
      </c>
    </row>
    <row r="2624" spans="1:3" x14ac:dyDescent="0.3">
      <c r="A2624" s="173" t="s">
        <v>5890</v>
      </c>
      <c r="B2624" s="20" t="s">
        <v>5891</v>
      </c>
      <c r="C2624" s="21">
        <v>0</v>
      </c>
    </row>
    <row r="2625" spans="1:3" x14ac:dyDescent="0.3">
      <c r="A2625" s="173" t="s">
        <v>5892</v>
      </c>
      <c r="B2625" s="20" t="s">
        <v>5893</v>
      </c>
      <c r="C2625" s="21">
        <v>0</v>
      </c>
    </row>
    <row r="2626" spans="1:3" x14ac:dyDescent="0.3">
      <c r="A2626" s="173" t="s">
        <v>5894</v>
      </c>
      <c r="B2626" s="20" t="s">
        <v>5895</v>
      </c>
      <c r="C2626" s="21">
        <v>0</v>
      </c>
    </row>
    <row r="2627" spans="1:3" x14ac:dyDescent="0.3">
      <c r="A2627" s="173" t="s">
        <v>5896</v>
      </c>
      <c r="B2627" s="20" t="s">
        <v>5897</v>
      </c>
      <c r="C2627" s="21">
        <v>0</v>
      </c>
    </row>
    <row r="2628" spans="1:3" x14ac:dyDescent="0.3">
      <c r="A2628" s="173" t="s">
        <v>5898</v>
      </c>
      <c r="B2628" s="20" t="s">
        <v>5899</v>
      </c>
      <c r="C2628" s="21">
        <v>0</v>
      </c>
    </row>
    <row r="2629" spans="1:3" x14ac:dyDescent="0.3">
      <c r="A2629" s="173" t="s">
        <v>5900</v>
      </c>
      <c r="B2629" s="20" t="s">
        <v>5901</v>
      </c>
      <c r="C2629" s="21">
        <v>0</v>
      </c>
    </row>
    <row r="2630" spans="1:3" x14ac:dyDescent="0.3">
      <c r="A2630" s="173" t="s">
        <v>5902</v>
      </c>
      <c r="B2630" s="20" t="s">
        <v>5903</v>
      </c>
      <c r="C2630" s="21">
        <v>0</v>
      </c>
    </row>
    <row r="2631" spans="1:3" x14ac:dyDescent="0.3">
      <c r="A2631" s="173" t="s">
        <v>5904</v>
      </c>
      <c r="B2631" s="20" t="s">
        <v>5905</v>
      </c>
      <c r="C2631" s="21">
        <v>12000000</v>
      </c>
    </row>
    <row r="2632" spans="1:3" x14ac:dyDescent="0.3">
      <c r="A2632" s="173" t="s">
        <v>5906</v>
      </c>
      <c r="B2632" s="20" t="s">
        <v>5907</v>
      </c>
      <c r="C2632" s="21">
        <v>261461</v>
      </c>
    </row>
    <row r="2633" spans="1:3" x14ac:dyDescent="0.3">
      <c r="A2633" s="173" t="s">
        <v>5908</v>
      </c>
      <c r="B2633" s="20" t="s">
        <v>5909</v>
      </c>
      <c r="C2633" s="21">
        <v>0</v>
      </c>
    </row>
    <row r="2634" spans="1:3" x14ac:dyDescent="0.3">
      <c r="A2634" s="173" t="s">
        <v>1071</v>
      </c>
      <c r="B2634" s="20" t="s">
        <v>1072</v>
      </c>
      <c r="C2634" s="21">
        <v>-491328678.82999998</v>
      </c>
    </row>
    <row r="2635" spans="1:3" x14ac:dyDescent="0.3">
      <c r="A2635" s="173" t="s">
        <v>5910</v>
      </c>
      <c r="B2635" s="20" t="s">
        <v>5911</v>
      </c>
      <c r="C2635" s="21">
        <v>117.78</v>
      </c>
    </row>
    <row r="2636" spans="1:3" x14ac:dyDescent="0.3">
      <c r="A2636" s="173" t="s">
        <v>5912</v>
      </c>
      <c r="B2636" s="20" t="s">
        <v>5913</v>
      </c>
      <c r="C2636" s="21">
        <v>1264933.1100000001</v>
      </c>
    </row>
    <row r="2637" spans="1:3" x14ac:dyDescent="0.3">
      <c r="A2637" s="173" t="s">
        <v>5914</v>
      </c>
      <c r="B2637" s="20" t="s">
        <v>5915</v>
      </c>
      <c r="C2637" s="21">
        <v>7723446.5</v>
      </c>
    </row>
    <row r="2638" spans="1:3" x14ac:dyDescent="0.3">
      <c r="A2638" s="173" t="s">
        <v>5916</v>
      </c>
      <c r="B2638" s="20" t="s">
        <v>5917</v>
      </c>
      <c r="C2638" s="21">
        <v>192500</v>
      </c>
    </row>
    <row r="2639" spans="1:3" x14ac:dyDescent="0.3">
      <c r="A2639" s="173" t="s">
        <v>5918</v>
      </c>
      <c r="B2639" s="20" t="s">
        <v>5919</v>
      </c>
      <c r="C2639" s="21">
        <v>200225</v>
      </c>
    </row>
    <row r="2640" spans="1:3" x14ac:dyDescent="0.3">
      <c r="A2640" s="173" t="s">
        <v>5920</v>
      </c>
      <c r="B2640" s="20" t="s">
        <v>5921</v>
      </c>
      <c r="C2640" s="21">
        <v>432574.2</v>
      </c>
    </row>
    <row r="2641" spans="1:3" x14ac:dyDescent="0.3">
      <c r="A2641" s="173" t="s">
        <v>5922</v>
      </c>
      <c r="B2641" s="20" t="s">
        <v>5923</v>
      </c>
      <c r="C2641" s="21">
        <v>0</v>
      </c>
    </row>
    <row r="2642" spans="1:3" x14ac:dyDescent="0.3">
      <c r="A2642" s="173" t="s">
        <v>5924</v>
      </c>
      <c r="B2642" s="20" t="s">
        <v>5925</v>
      </c>
      <c r="C2642" s="21">
        <v>172340</v>
      </c>
    </row>
    <row r="2643" spans="1:3" x14ac:dyDescent="0.3">
      <c r="A2643" s="173" t="s">
        <v>935</v>
      </c>
      <c r="B2643" s="20" t="s">
        <v>5926</v>
      </c>
      <c r="C2643" s="21">
        <v>-17530382.280000001</v>
      </c>
    </row>
    <row r="2644" spans="1:3" x14ac:dyDescent="0.3">
      <c r="A2644" s="173" t="s">
        <v>5927</v>
      </c>
      <c r="B2644" s="20" t="s">
        <v>5928</v>
      </c>
      <c r="C2644" s="21">
        <v>118698.91</v>
      </c>
    </row>
    <row r="2645" spans="1:3" x14ac:dyDescent="0.3">
      <c r="A2645" s="173" t="s">
        <v>5929</v>
      </c>
      <c r="B2645" s="20" t="s">
        <v>5930</v>
      </c>
      <c r="C2645" s="21">
        <v>-9762796.2799999993</v>
      </c>
    </row>
    <row r="2646" spans="1:3" x14ac:dyDescent="0.3">
      <c r="A2646" s="173" t="s">
        <v>700</v>
      </c>
      <c r="B2646" s="20" t="s">
        <v>701</v>
      </c>
      <c r="C2646" s="21">
        <v>2832723</v>
      </c>
    </row>
    <row r="2647" spans="1:3" x14ac:dyDescent="0.3">
      <c r="A2647" s="173" t="s">
        <v>5931</v>
      </c>
      <c r="B2647" s="20" t="s">
        <v>5932</v>
      </c>
      <c r="C2647" s="21">
        <v>-385647.97</v>
      </c>
    </row>
    <row r="2648" spans="1:3" x14ac:dyDescent="0.3">
      <c r="A2648" s="173" t="s">
        <v>5933</v>
      </c>
      <c r="B2648" s="20" t="s">
        <v>5934</v>
      </c>
      <c r="C2648" s="21">
        <v>103467.58</v>
      </c>
    </row>
    <row r="2649" spans="1:3" x14ac:dyDescent="0.3">
      <c r="A2649" s="173" t="s">
        <v>5935</v>
      </c>
      <c r="B2649" s="20" t="s">
        <v>5936</v>
      </c>
      <c r="C2649" s="21">
        <v>179450</v>
      </c>
    </row>
    <row r="2650" spans="1:3" x14ac:dyDescent="0.3">
      <c r="A2650" s="173" t="s">
        <v>5937</v>
      </c>
      <c r="B2650" s="20" t="s">
        <v>5938</v>
      </c>
      <c r="C2650" s="21">
        <v>15340</v>
      </c>
    </row>
    <row r="2651" spans="1:3" x14ac:dyDescent="0.3">
      <c r="A2651" s="173" t="s">
        <v>5939</v>
      </c>
      <c r="B2651" s="20" t="s">
        <v>5940</v>
      </c>
      <c r="C2651" s="21">
        <v>400831.08</v>
      </c>
    </row>
    <row r="2652" spans="1:3" x14ac:dyDescent="0.3">
      <c r="A2652" s="173" t="s">
        <v>5941</v>
      </c>
      <c r="B2652" s="20" t="s">
        <v>5942</v>
      </c>
      <c r="C2652" s="21">
        <v>119375.97</v>
      </c>
    </row>
    <row r="2653" spans="1:3" x14ac:dyDescent="0.3">
      <c r="A2653" s="173" t="s">
        <v>5943</v>
      </c>
      <c r="B2653" s="20" t="s">
        <v>5944</v>
      </c>
      <c r="C2653" s="21">
        <v>997497.98</v>
      </c>
    </row>
    <row r="2654" spans="1:3" x14ac:dyDescent="0.3">
      <c r="A2654" s="173" t="s">
        <v>5945</v>
      </c>
      <c r="B2654" s="20" t="s">
        <v>5946</v>
      </c>
      <c r="C2654" s="21">
        <v>35685.599999999999</v>
      </c>
    </row>
    <row r="2655" spans="1:3" x14ac:dyDescent="0.3">
      <c r="A2655" s="173" t="s">
        <v>1038</v>
      </c>
      <c r="B2655" s="20" t="s">
        <v>1039</v>
      </c>
      <c r="C2655" s="21">
        <v>-52835318.509999998</v>
      </c>
    </row>
    <row r="2656" spans="1:3" x14ac:dyDescent="0.3">
      <c r="A2656" s="173" t="s">
        <v>5947</v>
      </c>
      <c r="B2656" s="20" t="s">
        <v>5948</v>
      </c>
      <c r="C2656" s="21">
        <v>132184</v>
      </c>
    </row>
    <row r="2657" spans="1:3" x14ac:dyDescent="0.3">
      <c r="A2657" s="173" t="s">
        <v>5949</v>
      </c>
      <c r="B2657" s="20" t="s">
        <v>5950</v>
      </c>
      <c r="C2657" s="21">
        <v>0</v>
      </c>
    </row>
    <row r="2658" spans="1:3" x14ac:dyDescent="0.3">
      <c r="A2658" s="173" t="s">
        <v>5951</v>
      </c>
      <c r="B2658" s="20" t="s">
        <v>5952</v>
      </c>
      <c r="C2658" s="21">
        <v>24751</v>
      </c>
    </row>
    <row r="2659" spans="1:3" x14ac:dyDescent="0.3">
      <c r="A2659" s="173" t="s">
        <v>732</v>
      </c>
      <c r="B2659" s="20" t="s">
        <v>733</v>
      </c>
      <c r="C2659" s="21">
        <v>-0.06</v>
      </c>
    </row>
    <row r="2660" spans="1:3" x14ac:dyDescent="0.3">
      <c r="A2660" s="173" t="s">
        <v>5953</v>
      </c>
      <c r="B2660" s="20" t="s">
        <v>5954</v>
      </c>
      <c r="C2660" s="21">
        <v>156957.5</v>
      </c>
    </row>
    <row r="2661" spans="1:3" x14ac:dyDescent="0.3">
      <c r="A2661" s="173" t="s">
        <v>5955</v>
      </c>
      <c r="B2661" s="20" t="s">
        <v>5956</v>
      </c>
      <c r="C2661" s="21">
        <v>1010575.42</v>
      </c>
    </row>
    <row r="2662" spans="1:3" x14ac:dyDescent="0.3">
      <c r="A2662" s="173" t="s">
        <v>961</v>
      </c>
      <c r="B2662" s="20" t="s">
        <v>962</v>
      </c>
      <c r="C2662" s="21">
        <v>-424368.64000000001</v>
      </c>
    </row>
    <row r="2663" spans="1:3" x14ac:dyDescent="0.3">
      <c r="A2663" s="173" t="s">
        <v>5957</v>
      </c>
      <c r="B2663" s="20" t="s">
        <v>5958</v>
      </c>
      <c r="C2663" s="21">
        <v>0</v>
      </c>
    </row>
    <row r="2664" spans="1:3" x14ac:dyDescent="0.3">
      <c r="A2664" s="173" t="s">
        <v>5959</v>
      </c>
      <c r="B2664" s="20" t="s">
        <v>5960</v>
      </c>
      <c r="C2664" s="21">
        <v>42696.7</v>
      </c>
    </row>
    <row r="2665" spans="1:3" x14ac:dyDescent="0.3">
      <c r="A2665" s="173" t="s">
        <v>5961</v>
      </c>
      <c r="B2665" s="20" t="s">
        <v>5962</v>
      </c>
      <c r="C2665" s="21">
        <v>3569579.26</v>
      </c>
    </row>
    <row r="2666" spans="1:3" x14ac:dyDescent="0.3">
      <c r="A2666" s="173" t="s">
        <v>5963</v>
      </c>
      <c r="B2666" s="20" t="s">
        <v>5964</v>
      </c>
      <c r="C2666" s="21">
        <v>116452.56</v>
      </c>
    </row>
    <row r="2667" spans="1:3" x14ac:dyDescent="0.3">
      <c r="A2667" s="173" t="s">
        <v>5965</v>
      </c>
      <c r="B2667" s="20" t="s">
        <v>5966</v>
      </c>
      <c r="C2667" s="21">
        <v>-1142000000</v>
      </c>
    </row>
    <row r="2668" spans="1:3" x14ac:dyDescent="0.3">
      <c r="A2668" s="173" t="s">
        <v>5967</v>
      </c>
      <c r="B2668" s="20" t="s">
        <v>5968</v>
      </c>
      <c r="C2668" s="21">
        <v>0</v>
      </c>
    </row>
    <row r="2669" spans="1:3" x14ac:dyDescent="0.3">
      <c r="A2669" s="173" t="s">
        <v>5969</v>
      </c>
      <c r="B2669" s="20" t="s">
        <v>5970</v>
      </c>
      <c r="C2669" s="21">
        <v>686935.49</v>
      </c>
    </row>
    <row r="2670" spans="1:3" x14ac:dyDescent="0.3">
      <c r="A2670" s="173" t="s">
        <v>622</v>
      </c>
      <c r="B2670" s="20" t="s">
        <v>623</v>
      </c>
      <c r="C2670" s="21">
        <v>192672.75</v>
      </c>
    </row>
    <row r="2671" spans="1:3" x14ac:dyDescent="0.3">
      <c r="A2671" s="173" t="s">
        <v>5971</v>
      </c>
      <c r="B2671" s="20" t="s">
        <v>5972</v>
      </c>
      <c r="C2671" s="21">
        <v>0</v>
      </c>
    </row>
    <row r="2672" spans="1:3" x14ac:dyDescent="0.3">
      <c r="A2672" s="173" t="s">
        <v>5973</v>
      </c>
      <c r="B2672" s="20" t="s">
        <v>5974</v>
      </c>
      <c r="C2672" s="21">
        <v>205974.8</v>
      </c>
    </row>
    <row r="2673" spans="1:3" x14ac:dyDescent="0.3">
      <c r="A2673" s="173" t="s">
        <v>5975</v>
      </c>
      <c r="B2673" s="20" t="s">
        <v>5976</v>
      </c>
      <c r="C2673" s="21">
        <v>19788212.34</v>
      </c>
    </row>
    <row r="2674" spans="1:3" x14ac:dyDescent="0.3">
      <c r="A2674" s="173" t="s">
        <v>5977</v>
      </c>
      <c r="B2674" s="20" t="s">
        <v>5978</v>
      </c>
      <c r="C2674" s="21">
        <v>261392.22</v>
      </c>
    </row>
    <row r="2675" spans="1:3" x14ac:dyDescent="0.3">
      <c r="A2675" s="173" t="s">
        <v>5979</v>
      </c>
      <c r="B2675" s="20" t="s">
        <v>5980</v>
      </c>
      <c r="C2675" s="21">
        <v>-244461084.21000001</v>
      </c>
    </row>
    <row r="2676" spans="1:3" x14ac:dyDescent="0.3">
      <c r="A2676" s="173" t="s">
        <v>5981</v>
      </c>
      <c r="B2676" s="20" t="s">
        <v>5982</v>
      </c>
      <c r="C2676" s="21">
        <v>1500</v>
      </c>
    </row>
    <row r="2677" spans="1:3" x14ac:dyDescent="0.3">
      <c r="A2677" s="173" t="s">
        <v>5983</v>
      </c>
      <c r="B2677" s="20" t="s">
        <v>5984</v>
      </c>
      <c r="C2677" s="21">
        <v>0</v>
      </c>
    </row>
    <row r="2678" spans="1:3" x14ac:dyDescent="0.3">
      <c r="A2678" s="173" t="s">
        <v>5985</v>
      </c>
      <c r="B2678" s="20" t="s">
        <v>5986</v>
      </c>
      <c r="C2678" s="21">
        <v>0</v>
      </c>
    </row>
    <row r="2679" spans="1:3" x14ac:dyDescent="0.3">
      <c r="A2679" s="173" t="s">
        <v>5987</v>
      </c>
      <c r="B2679" s="20" t="s">
        <v>5988</v>
      </c>
      <c r="C2679" s="21">
        <v>0</v>
      </c>
    </row>
    <row r="2680" spans="1:3" x14ac:dyDescent="0.3">
      <c r="A2680" s="173" t="s">
        <v>5989</v>
      </c>
      <c r="B2680" s="20" t="s">
        <v>5990</v>
      </c>
      <c r="C2680" s="21">
        <v>14137971.65</v>
      </c>
    </row>
    <row r="2681" spans="1:3" x14ac:dyDescent="0.3">
      <c r="A2681" s="173" t="s">
        <v>887</v>
      </c>
      <c r="B2681" s="20" t="s">
        <v>888</v>
      </c>
      <c r="C2681" s="21">
        <v>0</v>
      </c>
    </row>
    <row r="2682" spans="1:3" x14ac:dyDescent="0.3">
      <c r="A2682" s="173" t="s">
        <v>5991</v>
      </c>
      <c r="B2682" s="20" t="s">
        <v>5992</v>
      </c>
      <c r="C2682" s="21">
        <v>0</v>
      </c>
    </row>
    <row r="2683" spans="1:3" x14ac:dyDescent="0.3">
      <c r="A2683" s="173" t="s">
        <v>5993</v>
      </c>
      <c r="B2683" s="20" t="s">
        <v>5994</v>
      </c>
      <c r="C2683" s="21">
        <v>0</v>
      </c>
    </row>
    <row r="2684" spans="1:3" x14ac:dyDescent="0.3">
      <c r="A2684" s="173" t="s">
        <v>5995</v>
      </c>
      <c r="B2684" s="20" t="s">
        <v>5996</v>
      </c>
      <c r="C2684" s="21">
        <v>0</v>
      </c>
    </row>
    <row r="2685" spans="1:3" x14ac:dyDescent="0.3">
      <c r="A2685" s="173" t="s">
        <v>5997</v>
      </c>
      <c r="B2685" s="20" t="s">
        <v>5998</v>
      </c>
      <c r="C2685" s="21">
        <v>0</v>
      </c>
    </row>
    <row r="2686" spans="1:3" x14ac:dyDescent="0.3">
      <c r="A2686" s="173" t="s">
        <v>5999</v>
      </c>
      <c r="B2686" s="20" t="s">
        <v>6000</v>
      </c>
      <c r="C2686" s="21">
        <v>0</v>
      </c>
    </row>
    <row r="2687" spans="1:3" x14ac:dyDescent="0.3">
      <c r="A2687" s="173" t="s">
        <v>6001</v>
      </c>
      <c r="B2687" s="20" t="s">
        <v>6002</v>
      </c>
      <c r="C2687" s="21">
        <v>0</v>
      </c>
    </row>
    <row r="2688" spans="1:3" x14ac:dyDescent="0.3">
      <c r="A2688" s="173" t="s">
        <v>6003</v>
      </c>
      <c r="B2688" s="20" t="s">
        <v>6004</v>
      </c>
      <c r="C2688" s="21">
        <v>0</v>
      </c>
    </row>
    <row r="2689" spans="1:3" x14ac:dyDescent="0.3">
      <c r="A2689" s="173" t="s">
        <v>6005</v>
      </c>
      <c r="B2689" s="20" t="s">
        <v>6006</v>
      </c>
      <c r="C2689" s="21">
        <v>0</v>
      </c>
    </row>
    <row r="2690" spans="1:3" x14ac:dyDescent="0.3">
      <c r="A2690" s="173" t="s">
        <v>6007</v>
      </c>
      <c r="B2690" s="20" t="s">
        <v>6008</v>
      </c>
      <c r="C2690" s="21">
        <v>0</v>
      </c>
    </row>
    <row r="2691" spans="1:3" x14ac:dyDescent="0.3">
      <c r="A2691" s="173" t="s">
        <v>6009</v>
      </c>
      <c r="B2691" s="20" t="s">
        <v>6010</v>
      </c>
      <c r="C2691" s="21">
        <v>0</v>
      </c>
    </row>
    <row r="2692" spans="1:3" x14ac:dyDescent="0.3">
      <c r="A2692" s="173" t="s">
        <v>6011</v>
      </c>
      <c r="B2692" s="20" t="s">
        <v>6012</v>
      </c>
      <c r="C2692" s="21">
        <v>0</v>
      </c>
    </row>
    <row r="2693" spans="1:3" x14ac:dyDescent="0.3">
      <c r="A2693" s="173" t="s">
        <v>6013</v>
      </c>
      <c r="B2693" s="20" t="s">
        <v>6014</v>
      </c>
      <c r="C2693" s="21">
        <v>0</v>
      </c>
    </row>
    <row r="2694" spans="1:3" x14ac:dyDescent="0.3">
      <c r="A2694" s="173" t="s">
        <v>845</v>
      </c>
      <c r="B2694" s="20" t="s">
        <v>6015</v>
      </c>
      <c r="C2694" s="21">
        <v>0</v>
      </c>
    </row>
    <row r="2695" spans="1:3" x14ac:dyDescent="0.3">
      <c r="A2695" s="173" t="s">
        <v>6016</v>
      </c>
      <c r="B2695" s="20" t="s">
        <v>6017</v>
      </c>
      <c r="C2695" s="21">
        <v>0</v>
      </c>
    </row>
    <row r="2696" spans="1:3" x14ac:dyDescent="0.3">
      <c r="A2696" s="173" t="s">
        <v>6018</v>
      </c>
      <c r="B2696" s="20" t="s">
        <v>6019</v>
      </c>
      <c r="C2696" s="21">
        <v>800</v>
      </c>
    </row>
    <row r="2697" spans="1:3" x14ac:dyDescent="0.3">
      <c r="A2697" s="173" t="s">
        <v>6020</v>
      </c>
      <c r="B2697" s="20" t="s">
        <v>6021</v>
      </c>
      <c r="C2697" s="21">
        <v>0</v>
      </c>
    </row>
    <row r="2698" spans="1:3" x14ac:dyDescent="0.3">
      <c r="A2698" s="173" t="s">
        <v>6022</v>
      </c>
      <c r="B2698" s="20" t="s">
        <v>6023</v>
      </c>
      <c r="C2698" s="21">
        <v>-0.02</v>
      </c>
    </row>
    <row r="2699" spans="1:3" x14ac:dyDescent="0.3">
      <c r="A2699" s="173" t="s">
        <v>6024</v>
      </c>
      <c r="B2699" s="20" t="s">
        <v>6025</v>
      </c>
      <c r="C2699" s="21">
        <v>0</v>
      </c>
    </row>
    <row r="2700" spans="1:3" x14ac:dyDescent="0.3">
      <c r="A2700" s="173" t="s">
        <v>6026</v>
      </c>
      <c r="B2700" s="20" t="s">
        <v>5870</v>
      </c>
      <c r="C2700" s="21">
        <v>0</v>
      </c>
    </row>
    <row r="2701" spans="1:3" x14ac:dyDescent="0.3">
      <c r="A2701" s="173" t="s">
        <v>520</v>
      </c>
      <c r="B2701" s="20" t="s">
        <v>521</v>
      </c>
      <c r="C2701" s="21">
        <v>0</v>
      </c>
    </row>
    <row r="2702" spans="1:3" x14ac:dyDescent="0.3">
      <c r="A2702" s="173" t="s">
        <v>6027</v>
      </c>
      <c r="B2702" s="20" t="s">
        <v>6028</v>
      </c>
      <c r="C2702" s="21">
        <v>0</v>
      </c>
    </row>
    <row r="2703" spans="1:3" x14ac:dyDescent="0.3">
      <c r="A2703" s="173" t="s">
        <v>6029</v>
      </c>
      <c r="B2703" s="20" t="s">
        <v>6030</v>
      </c>
      <c r="C2703" s="21">
        <v>0</v>
      </c>
    </row>
    <row r="2704" spans="1:3" x14ac:dyDescent="0.3">
      <c r="A2704" s="173" t="s">
        <v>6031</v>
      </c>
      <c r="B2704" s="20" t="s">
        <v>6032</v>
      </c>
      <c r="C2704" s="21">
        <v>0</v>
      </c>
    </row>
    <row r="2705" spans="1:3" x14ac:dyDescent="0.3">
      <c r="A2705" s="173" t="s">
        <v>6033</v>
      </c>
      <c r="B2705" s="20" t="s">
        <v>6034</v>
      </c>
      <c r="C2705" s="21">
        <v>0</v>
      </c>
    </row>
    <row r="2706" spans="1:3" x14ac:dyDescent="0.3">
      <c r="A2706" s="173" t="s">
        <v>6035</v>
      </c>
      <c r="B2706" s="20" t="s">
        <v>6036</v>
      </c>
      <c r="C2706" s="21">
        <v>0</v>
      </c>
    </row>
    <row r="2707" spans="1:3" x14ac:dyDescent="0.3">
      <c r="A2707" s="173" t="s">
        <v>6037</v>
      </c>
      <c r="B2707" s="20" t="s">
        <v>6038</v>
      </c>
      <c r="C2707" s="21">
        <v>0</v>
      </c>
    </row>
    <row r="2708" spans="1:3" x14ac:dyDescent="0.3">
      <c r="A2708" s="173" t="s">
        <v>590</v>
      </c>
      <c r="B2708" s="20" t="s">
        <v>591</v>
      </c>
      <c r="C2708" s="21">
        <v>0</v>
      </c>
    </row>
    <row r="2709" spans="1:3" x14ac:dyDescent="0.3">
      <c r="A2709" s="173" t="s">
        <v>6039</v>
      </c>
      <c r="B2709" s="20" t="s">
        <v>6040</v>
      </c>
      <c r="C2709" s="21">
        <v>0</v>
      </c>
    </row>
    <row r="2710" spans="1:3" x14ac:dyDescent="0.3">
      <c r="A2710" s="173" t="s">
        <v>6041</v>
      </c>
      <c r="B2710" s="20" t="s">
        <v>6042</v>
      </c>
      <c r="C2710" s="21">
        <v>0</v>
      </c>
    </row>
    <row r="2711" spans="1:3" x14ac:dyDescent="0.3">
      <c r="A2711" s="173" t="s">
        <v>6043</v>
      </c>
      <c r="B2711" s="20" t="s">
        <v>6044</v>
      </c>
      <c r="C2711" s="21">
        <v>0</v>
      </c>
    </row>
    <row r="2712" spans="1:3" x14ac:dyDescent="0.3">
      <c r="A2712" s="173" t="s">
        <v>6045</v>
      </c>
      <c r="B2712" s="20" t="s">
        <v>6046</v>
      </c>
      <c r="C2712" s="21">
        <v>0</v>
      </c>
    </row>
    <row r="2713" spans="1:3" x14ac:dyDescent="0.3">
      <c r="A2713" s="173" t="s">
        <v>6047</v>
      </c>
      <c r="B2713" s="20" t="s">
        <v>6048</v>
      </c>
      <c r="C2713" s="21">
        <v>0</v>
      </c>
    </row>
    <row r="2714" spans="1:3" x14ac:dyDescent="0.3">
      <c r="A2714" s="173" t="s">
        <v>6049</v>
      </c>
      <c r="B2714" s="20" t="s">
        <v>6050</v>
      </c>
      <c r="C2714" s="21">
        <v>0</v>
      </c>
    </row>
    <row r="2715" spans="1:3" x14ac:dyDescent="0.3">
      <c r="A2715" s="173" t="s">
        <v>6051</v>
      </c>
      <c r="B2715" s="20" t="s">
        <v>6052</v>
      </c>
      <c r="C2715" s="21">
        <v>756567</v>
      </c>
    </row>
    <row r="2716" spans="1:3" x14ac:dyDescent="0.3">
      <c r="A2716" s="173" t="s">
        <v>6053</v>
      </c>
      <c r="B2716" s="20" t="s">
        <v>6054</v>
      </c>
      <c r="C2716" s="21">
        <v>-275641670.74000001</v>
      </c>
    </row>
    <row r="2717" spans="1:3" x14ac:dyDescent="0.3">
      <c r="A2717" s="173" t="s">
        <v>6055</v>
      </c>
      <c r="B2717" s="20" t="s">
        <v>6056</v>
      </c>
      <c r="C2717" s="21">
        <v>261322739</v>
      </c>
    </row>
    <row r="2718" spans="1:3" x14ac:dyDescent="0.3">
      <c r="A2718" s="173" t="s">
        <v>698</v>
      </c>
      <c r="B2718" s="20" t="s">
        <v>699</v>
      </c>
      <c r="C2718" s="21">
        <v>-1873869.18</v>
      </c>
    </row>
    <row r="2719" spans="1:3" x14ac:dyDescent="0.3">
      <c r="A2719" s="173" t="s">
        <v>6057</v>
      </c>
      <c r="B2719" s="20" t="s">
        <v>6058</v>
      </c>
      <c r="C2719" s="21">
        <v>13271195.74</v>
      </c>
    </row>
    <row r="2720" spans="1:3" x14ac:dyDescent="0.3">
      <c r="A2720" s="173" t="s">
        <v>6059</v>
      </c>
      <c r="B2720" s="20" t="s">
        <v>6060</v>
      </c>
      <c r="C2720" s="21">
        <v>226387</v>
      </c>
    </row>
    <row r="2721" spans="1:3" x14ac:dyDescent="0.3">
      <c r="A2721" s="173" t="s">
        <v>6061</v>
      </c>
      <c r="B2721" s="20" t="s">
        <v>6062</v>
      </c>
      <c r="C2721" s="21">
        <v>1252346.1499999999</v>
      </c>
    </row>
    <row r="2722" spans="1:3" x14ac:dyDescent="0.3">
      <c r="A2722" s="173" t="s">
        <v>6063</v>
      </c>
      <c r="B2722" s="20" t="s">
        <v>6064</v>
      </c>
      <c r="C2722" s="21">
        <v>-20.11</v>
      </c>
    </row>
    <row r="2723" spans="1:3" x14ac:dyDescent="0.3">
      <c r="A2723" s="173" t="s">
        <v>6065</v>
      </c>
      <c r="B2723" s="20" t="s">
        <v>6066</v>
      </c>
      <c r="C2723" s="21">
        <v>1056547</v>
      </c>
    </row>
    <row r="2724" spans="1:3" x14ac:dyDescent="0.3">
      <c r="A2724" s="173" t="s">
        <v>6067</v>
      </c>
      <c r="B2724" s="20" t="s">
        <v>6068</v>
      </c>
      <c r="C2724" s="21">
        <v>172155.38</v>
      </c>
    </row>
    <row r="2725" spans="1:3" x14ac:dyDescent="0.3">
      <c r="A2725" s="173" t="s">
        <v>6069</v>
      </c>
      <c r="B2725" s="20" t="s">
        <v>6070</v>
      </c>
      <c r="C2725" s="21">
        <v>105885</v>
      </c>
    </row>
    <row r="2726" spans="1:3" x14ac:dyDescent="0.3">
      <c r="A2726" s="173" t="s">
        <v>6071</v>
      </c>
      <c r="B2726" s="20" t="s">
        <v>6072</v>
      </c>
      <c r="C2726" s="21">
        <v>316962.5</v>
      </c>
    </row>
    <row r="2727" spans="1:3" x14ac:dyDescent="0.3">
      <c r="A2727" s="173" t="s">
        <v>6073</v>
      </c>
      <c r="B2727" s="20" t="s">
        <v>6074</v>
      </c>
      <c r="C2727" s="21">
        <v>111138.55</v>
      </c>
    </row>
    <row r="2728" spans="1:3" x14ac:dyDescent="0.3">
      <c r="A2728" s="173" t="s">
        <v>6075</v>
      </c>
      <c r="B2728" s="20" t="s">
        <v>6076</v>
      </c>
      <c r="C2728" s="21">
        <v>148840.1</v>
      </c>
    </row>
    <row r="2729" spans="1:3" x14ac:dyDescent="0.3">
      <c r="A2729" s="173" t="s">
        <v>6077</v>
      </c>
      <c r="B2729" s="20" t="s">
        <v>6078</v>
      </c>
      <c r="C2729" s="21">
        <v>70535.179999999993</v>
      </c>
    </row>
    <row r="2730" spans="1:3" x14ac:dyDescent="0.3">
      <c r="A2730" s="173" t="s">
        <v>6079</v>
      </c>
      <c r="B2730" s="20" t="s">
        <v>6080</v>
      </c>
      <c r="C2730" s="21">
        <v>36149.5</v>
      </c>
    </row>
    <row r="2731" spans="1:3" x14ac:dyDescent="0.3">
      <c r="A2731" s="173" t="s">
        <v>6081</v>
      </c>
      <c r="B2731" s="20" t="s">
        <v>6082</v>
      </c>
      <c r="C2731" s="21">
        <v>57814.64</v>
      </c>
    </row>
    <row r="2732" spans="1:3" x14ac:dyDescent="0.3">
      <c r="A2732" s="173" t="s">
        <v>6083</v>
      </c>
      <c r="B2732" s="20" t="s">
        <v>6084</v>
      </c>
      <c r="C2732" s="21">
        <v>104660.13</v>
      </c>
    </row>
    <row r="2733" spans="1:3" x14ac:dyDescent="0.3">
      <c r="A2733" s="173" t="s">
        <v>6085</v>
      </c>
      <c r="B2733" s="20" t="s">
        <v>6086</v>
      </c>
      <c r="C2733" s="21">
        <v>201773.03</v>
      </c>
    </row>
    <row r="2734" spans="1:3" x14ac:dyDescent="0.3">
      <c r="A2734" s="173" t="s">
        <v>6087</v>
      </c>
      <c r="B2734" s="20" t="s">
        <v>6088</v>
      </c>
      <c r="C2734" s="21">
        <v>31800</v>
      </c>
    </row>
    <row r="2735" spans="1:3" x14ac:dyDescent="0.3">
      <c r="A2735" s="173" t="s">
        <v>6089</v>
      </c>
      <c r="B2735" s="20" t="s">
        <v>6090</v>
      </c>
      <c r="C2735" s="21">
        <v>199986.99</v>
      </c>
    </row>
    <row r="2736" spans="1:3" x14ac:dyDescent="0.3">
      <c r="A2736" s="173" t="s">
        <v>6091</v>
      </c>
      <c r="B2736" s="20" t="s">
        <v>6092</v>
      </c>
      <c r="C2736" s="21">
        <v>10785640.32</v>
      </c>
    </row>
    <row r="2737" spans="1:3" x14ac:dyDescent="0.3">
      <c r="A2737" s="173" t="s">
        <v>6093</v>
      </c>
      <c r="B2737" s="20" t="s">
        <v>6094</v>
      </c>
      <c r="C2737" s="21">
        <v>10270</v>
      </c>
    </row>
    <row r="2738" spans="1:3" x14ac:dyDescent="0.3">
      <c r="A2738" s="173" t="s">
        <v>6095</v>
      </c>
      <c r="B2738" s="20" t="s">
        <v>6096</v>
      </c>
      <c r="C2738" s="21">
        <v>229456.36</v>
      </c>
    </row>
    <row r="2739" spans="1:3" x14ac:dyDescent="0.3">
      <c r="A2739" s="173" t="s">
        <v>6097</v>
      </c>
      <c r="B2739" s="20" t="s">
        <v>6098</v>
      </c>
      <c r="C2739" s="21">
        <v>39894.75</v>
      </c>
    </row>
    <row r="2740" spans="1:3" x14ac:dyDescent="0.3">
      <c r="A2740" s="173" t="s">
        <v>6099</v>
      </c>
      <c r="B2740" s="20" t="s">
        <v>6100</v>
      </c>
      <c r="C2740" s="21">
        <v>8594.34</v>
      </c>
    </row>
    <row r="2741" spans="1:3" x14ac:dyDescent="0.3">
      <c r="A2741" s="173" t="s">
        <v>6101</v>
      </c>
      <c r="B2741" s="20" t="s">
        <v>6102</v>
      </c>
      <c r="C2741" s="21">
        <v>252562.62</v>
      </c>
    </row>
    <row r="2742" spans="1:3" x14ac:dyDescent="0.3">
      <c r="A2742" s="173" t="s">
        <v>6103</v>
      </c>
      <c r="B2742" s="20" t="s">
        <v>6104</v>
      </c>
      <c r="C2742" s="21">
        <v>0</v>
      </c>
    </row>
    <row r="2743" spans="1:3" x14ac:dyDescent="0.3">
      <c r="A2743" s="173" t="s">
        <v>6105</v>
      </c>
      <c r="B2743" s="20" t="s">
        <v>6106</v>
      </c>
      <c r="C2743" s="21">
        <v>0</v>
      </c>
    </row>
    <row r="2744" spans="1:3" x14ac:dyDescent="0.3">
      <c r="A2744" s="173" t="s">
        <v>6107</v>
      </c>
      <c r="B2744" s="20" t="s">
        <v>6108</v>
      </c>
      <c r="C2744" s="21">
        <v>3080</v>
      </c>
    </row>
    <row r="2745" spans="1:3" x14ac:dyDescent="0.3">
      <c r="A2745" s="173" t="s">
        <v>6109</v>
      </c>
      <c r="B2745" s="20" t="s">
        <v>6110</v>
      </c>
      <c r="C2745" s="21">
        <v>0</v>
      </c>
    </row>
    <row r="2746" spans="1:3" x14ac:dyDescent="0.3">
      <c r="A2746" s="173" t="s">
        <v>6111</v>
      </c>
      <c r="B2746" s="20" t="s">
        <v>6112</v>
      </c>
      <c r="C2746" s="21">
        <v>16535969.48</v>
      </c>
    </row>
    <row r="2747" spans="1:3" x14ac:dyDescent="0.3">
      <c r="A2747" s="173" t="s">
        <v>6113</v>
      </c>
      <c r="B2747" s="20" t="s">
        <v>6114</v>
      </c>
      <c r="C2747" s="21">
        <v>1053449.23</v>
      </c>
    </row>
    <row r="2748" spans="1:3" x14ac:dyDescent="0.3">
      <c r="A2748" s="173" t="s">
        <v>6115</v>
      </c>
      <c r="B2748" s="20" t="s">
        <v>6116</v>
      </c>
      <c r="C2748" s="21">
        <v>118009.75</v>
      </c>
    </row>
    <row r="2749" spans="1:3" x14ac:dyDescent="0.3">
      <c r="A2749" s="173" t="s">
        <v>6117</v>
      </c>
      <c r="B2749" s="20" t="s">
        <v>6118</v>
      </c>
      <c r="C2749" s="21">
        <v>103574.42</v>
      </c>
    </row>
    <row r="2750" spans="1:3" x14ac:dyDescent="0.3">
      <c r="A2750" s="173" t="s">
        <v>6119</v>
      </c>
      <c r="B2750" s="20" t="s">
        <v>6120</v>
      </c>
      <c r="C2750" s="21">
        <v>3340</v>
      </c>
    </row>
    <row r="2751" spans="1:3" x14ac:dyDescent="0.3">
      <c r="A2751" s="173" t="s">
        <v>6121</v>
      </c>
      <c r="B2751" s="20" t="s">
        <v>6122</v>
      </c>
      <c r="C2751" s="21">
        <v>117307.21</v>
      </c>
    </row>
    <row r="2752" spans="1:3" x14ac:dyDescent="0.3">
      <c r="A2752" s="173" t="s">
        <v>6123</v>
      </c>
      <c r="B2752" s="20" t="s">
        <v>6124</v>
      </c>
      <c r="C2752" s="21">
        <v>71022.25</v>
      </c>
    </row>
    <row r="2753" spans="1:3" x14ac:dyDescent="0.3">
      <c r="A2753" s="173" t="s">
        <v>6125</v>
      </c>
      <c r="B2753" s="20" t="s">
        <v>6126</v>
      </c>
      <c r="C2753" s="21">
        <v>0</v>
      </c>
    </row>
    <row r="2754" spans="1:3" x14ac:dyDescent="0.3">
      <c r="A2754" s="173" t="s">
        <v>6127</v>
      </c>
      <c r="B2754" s="20" t="s">
        <v>6128</v>
      </c>
      <c r="C2754" s="21">
        <v>0</v>
      </c>
    </row>
    <row r="2755" spans="1:3" x14ac:dyDescent="0.3">
      <c r="A2755" s="173" t="s">
        <v>6129</v>
      </c>
      <c r="B2755" s="20" t="s">
        <v>6130</v>
      </c>
      <c r="C2755" s="21">
        <v>0</v>
      </c>
    </row>
    <row r="2756" spans="1:3" x14ac:dyDescent="0.3">
      <c r="A2756" s="173" t="s">
        <v>6131</v>
      </c>
      <c r="B2756" s="20" t="s">
        <v>6132</v>
      </c>
      <c r="C2756" s="21">
        <v>99976</v>
      </c>
    </row>
    <row r="2757" spans="1:3" x14ac:dyDescent="0.3">
      <c r="A2757" s="173" t="s">
        <v>6133</v>
      </c>
      <c r="B2757" s="20" t="s">
        <v>6134</v>
      </c>
      <c r="C2757" s="21">
        <v>0</v>
      </c>
    </row>
    <row r="2758" spans="1:3" x14ac:dyDescent="0.3">
      <c r="A2758" s="173" t="s">
        <v>6135</v>
      </c>
      <c r="B2758" s="20" t="s">
        <v>6136</v>
      </c>
      <c r="C2758" s="21">
        <v>104660.13</v>
      </c>
    </row>
    <row r="2759" spans="1:3" x14ac:dyDescent="0.3">
      <c r="A2759" s="173" t="s">
        <v>6137</v>
      </c>
      <c r="B2759" s="20" t="s">
        <v>6138</v>
      </c>
      <c r="C2759" s="21">
        <v>0</v>
      </c>
    </row>
    <row r="2760" spans="1:3" x14ac:dyDescent="0.3">
      <c r="A2760" s="173" t="s">
        <v>684</v>
      </c>
      <c r="B2760" s="20" t="s">
        <v>685</v>
      </c>
      <c r="C2760" s="21">
        <v>0</v>
      </c>
    </row>
    <row r="2761" spans="1:3" x14ac:dyDescent="0.3">
      <c r="A2761" s="173" t="s">
        <v>6139</v>
      </c>
      <c r="B2761" s="20" t="s">
        <v>6140</v>
      </c>
      <c r="C2761" s="21">
        <v>0</v>
      </c>
    </row>
    <row r="2762" spans="1:3" x14ac:dyDescent="0.3">
      <c r="A2762" s="173" t="s">
        <v>6141</v>
      </c>
      <c r="B2762" s="20" t="s">
        <v>6142</v>
      </c>
      <c r="C2762" s="21">
        <v>0</v>
      </c>
    </row>
    <row r="2763" spans="1:3" x14ac:dyDescent="0.3">
      <c r="A2763" s="173" t="s">
        <v>6143</v>
      </c>
      <c r="B2763" s="20" t="s">
        <v>6144</v>
      </c>
      <c r="C2763" s="21">
        <v>0</v>
      </c>
    </row>
    <row r="2764" spans="1:3" x14ac:dyDescent="0.3">
      <c r="A2764" s="173" t="s">
        <v>6145</v>
      </c>
      <c r="B2764" s="20" t="s">
        <v>6146</v>
      </c>
      <c r="C2764" s="21">
        <v>0</v>
      </c>
    </row>
    <row r="2765" spans="1:3" x14ac:dyDescent="0.3">
      <c r="A2765" s="173" t="s">
        <v>6147</v>
      </c>
      <c r="B2765" s="20" t="s">
        <v>6148</v>
      </c>
      <c r="C2765" s="21">
        <v>10310</v>
      </c>
    </row>
    <row r="2766" spans="1:3" x14ac:dyDescent="0.3">
      <c r="A2766" s="173" t="s">
        <v>6149</v>
      </c>
      <c r="B2766" s="20" t="s">
        <v>6150</v>
      </c>
      <c r="C2766" s="21">
        <v>0</v>
      </c>
    </row>
    <row r="2767" spans="1:3" x14ac:dyDescent="0.3">
      <c r="A2767" s="173" t="s">
        <v>6151</v>
      </c>
      <c r="B2767" s="20" t="s">
        <v>6152</v>
      </c>
      <c r="C2767" s="21">
        <v>-2062515000</v>
      </c>
    </row>
    <row r="2768" spans="1:3" x14ac:dyDescent="0.3">
      <c r="A2768" s="173" t="s">
        <v>6153</v>
      </c>
      <c r="B2768" s="20" t="s">
        <v>6154</v>
      </c>
      <c r="C2768" s="21">
        <v>0</v>
      </c>
    </row>
    <row r="2769" spans="1:3" x14ac:dyDescent="0.3">
      <c r="A2769" s="173" t="s">
        <v>6155</v>
      </c>
      <c r="B2769" s="20" t="s">
        <v>6156</v>
      </c>
      <c r="C2769" s="21">
        <v>0</v>
      </c>
    </row>
    <row r="2770" spans="1:3" x14ac:dyDescent="0.3">
      <c r="A2770" s="173" t="s">
        <v>6157</v>
      </c>
      <c r="B2770" s="20" t="s">
        <v>6158</v>
      </c>
      <c r="C2770" s="21">
        <v>400000000</v>
      </c>
    </row>
    <row r="2771" spans="1:3" x14ac:dyDescent="0.3">
      <c r="A2771" s="173" t="s">
        <v>6159</v>
      </c>
      <c r="B2771" s="20" t="s">
        <v>6160</v>
      </c>
      <c r="C2771" s="21">
        <v>0</v>
      </c>
    </row>
    <row r="2772" spans="1:3" x14ac:dyDescent="0.3">
      <c r="A2772" s="173" t="s">
        <v>6161</v>
      </c>
      <c r="B2772" s="20" t="s">
        <v>6162</v>
      </c>
      <c r="C2772" s="21">
        <v>0</v>
      </c>
    </row>
    <row r="2773" spans="1:3" x14ac:dyDescent="0.3">
      <c r="A2773" s="173" t="s">
        <v>6163</v>
      </c>
      <c r="B2773" s="20" t="s">
        <v>6164</v>
      </c>
      <c r="C2773" s="21">
        <v>0</v>
      </c>
    </row>
    <row r="2774" spans="1:3" x14ac:dyDescent="0.3">
      <c r="A2774" s="173" t="s">
        <v>6165</v>
      </c>
      <c r="B2774" s="20" t="s">
        <v>6166</v>
      </c>
      <c r="C2774" s="21">
        <v>0</v>
      </c>
    </row>
    <row r="2775" spans="1:3" x14ac:dyDescent="0.3">
      <c r="A2775" s="173" t="s">
        <v>6167</v>
      </c>
      <c r="B2775" s="20" t="s">
        <v>6168</v>
      </c>
      <c r="C2775" s="21">
        <v>0</v>
      </c>
    </row>
    <row r="2776" spans="1:3" x14ac:dyDescent="0.3">
      <c r="A2776" s="173" t="s">
        <v>6169</v>
      </c>
      <c r="B2776" s="20" t="s">
        <v>6170</v>
      </c>
      <c r="C2776" s="21">
        <v>0</v>
      </c>
    </row>
    <row r="2777" spans="1:3" x14ac:dyDescent="0.3">
      <c r="A2777" s="173" t="s">
        <v>6171</v>
      </c>
      <c r="B2777" s="20" t="s">
        <v>6172</v>
      </c>
      <c r="C2777" s="21">
        <v>0</v>
      </c>
    </row>
    <row r="2778" spans="1:3" x14ac:dyDescent="0.3">
      <c r="A2778" s="175" t="s">
        <v>6173</v>
      </c>
      <c r="B2778" t="s">
        <v>6174</v>
      </c>
      <c r="C2778">
        <v>0.33</v>
      </c>
    </row>
    <row r="2779" spans="1:3" x14ac:dyDescent="0.3">
      <c r="A2779" s="175" t="s">
        <v>6175</v>
      </c>
      <c r="B2779" t="s">
        <v>6176</v>
      </c>
      <c r="C2779">
        <v>0</v>
      </c>
    </row>
    <row r="2780" spans="1:3" x14ac:dyDescent="0.3">
      <c r="A2780" s="175" t="s">
        <v>6177</v>
      </c>
      <c r="B2780" t="s">
        <v>6178</v>
      </c>
      <c r="C2780">
        <v>0</v>
      </c>
    </row>
    <row r="2781" spans="1:3" x14ac:dyDescent="0.3">
      <c r="A2781" s="175" t="s">
        <v>6179</v>
      </c>
      <c r="B2781" t="s">
        <v>6180</v>
      </c>
      <c r="C2781">
        <v>0</v>
      </c>
    </row>
    <row r="2782" spans="1:3" x14ac:dyDescent="0.3">
      <c r="A2782" s="175" t="s">
        <v>6181</v>
      </c>
      <c r="B2782" t="s">
        <v>6182</v>
      </c>
      <c r="C2782">
        <v>0</v>
      </c>
    </row>
    <row r="2783" spans="1:3" x14ac:dyDescent="0.3">
      <c r="A2783" s="175" t="s">
        <v>6183</v>
      </c>
      <c r="B2783" t="s">
        <v>6184</v>
      </c>
      <c r="C2783">
        <v>0</v>
      </c>
    </row>
    <row r="2784" spans="1:3" x14ac:dyDescent="0.3">
      <c r="A2784" s="175" t="s">
        <v>6185</v>
      </c>
      <c r="B2784" t="s">
        <v>6186</v>
      </c>
      <c r="C2784">
        <v>0</v>
      </c>
    </row>
    <row r="2785" spans="1:3" x14ac:dyDescent="0.3">
      <c r="A2785" s="175" t="s">
        <v>6187</v>
      </c>
      <c r="B2785" t="s">
        <v>6188</v>
      </c>
      <c r="C2785">
        <v>0</v>
      </c>
    </row>
    <row r="2786" spans="1:3" x14ac:dyDescent="0.3">
      <c r="A2786" s="175" t="s">
        <v>6189</v>
      </c>
      <c r="B2786" t="s">
        <v>6190</v>
      </c>
      <c r="C2786">
        <v>0</v>
      </c>
    </row>
    <row r="2787" spans="1:3" x14ac:dyDescent="0.3">
      <c r="A2787" s="175" t="s">
        <v>6191</v>
      </c>
      <c r="B2787" t="s">
        <v>6192</v>
      </c>
      <c r="C2787">
        <v>0</v>
      </c>
    </row>
    <row r="2788" spans="1:3" x14ac:dyDescent="0.3">
      <c r="A2788" s="175" t="s">
        <v>6193</v>
      </c>
      <c r="B2788" t="s">
        <v>6194</v>
      </c>
      <c r="C2788">
        <v>0</v>
      </c>
    </row>
    <row r="2789" spans="1:3" x14ac:dyDescent="0.3">
      <c r="A2789" s="175" t="s">
        <v>6195</v>
      </c>
      <c r="B2789" t="s">
        <v>6196</v>
      </c>
      <c r="C2789">
        <v>0</v>
      </c>
    </row>
    <row r="2790" spans="1:3" x14ac:dyDescent="0.3">
      <c r="A2790" s="175" t="s">
        <v>6197</v>
      </c>
      <c r="B2790" t="s">
        <v>6198</v>
      </c>
      <c r="C2790">
        <v>0</v>
      </c>
    </row>
    <row r="2791" spans="1:3" x14ac:dyDescent="0.3">
      <c r="A2791" s="175" t="s">
        <v>6199</v>
      </c>
      <c r="B2791" t="s">
        <v>6200</v>
      </c>
      <c r="C2791">
        <v>0</v>
      </c>
    </row>
    <row r="2792" spans="1:3" x14ac:dyDescent="0.3">
      <c r="A2792" s="175" t="s">
        <v>6201</v>
      </c>
      <c r="B2792" t="s">
        <v>6202</v>
      </c>
      <c r="C2792">
        <v>0</v>
      </c>
    </row>
    <row r="2793" spans="1:3" x14ac:dyDescent="0.3">
      <c r="A2793" s="175" t="s">
        <v>6203</v>
      </c>
      <c r="B2793" t="s">
        <v>6204</v>
      </c>
      <c r="C2793">
        <v>0</v>
      </c>
    </row>
    <row r="2794" spans="1:3" x14ac:dyDescent="0.3">
      <c r="A2794" s="175" t="s">
        <v>6205</v>
      </c>
      <c r="B2794" t="s">
        <v>6206</v>
      </c>
      <c r="C2794">
        <v>0</v>
      </c>
    </row>
    <row r="2795" spans="1:3" x14ac:dyDescent="0.3">
      <c r="A2795" s="175" t="s">
        <v>6207</v>
      </c>
      <c r="B2795" t="s">
        <v>6208</v>
      </c>
      <c r="C2795">
        <v>0</v>
      </c>
    </row>
  </sheetData>
  <autoFilter ref="A1:D2522" xr:uid="{00000000-0009-0000-0000-000009000000}"/>
  <conditionalFormatting sqref="A2:A2777">
    <cfRule type="duplicateValues" dxfId="0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2:C19"/>
  <sheetViews>
    <sheetView workbookViewId="0">
      <selection activeCell="A19" sqref="A19"/>
    </sheetView>
  </sheetViews>
  <sheetFormatPr defaultColWidth="9.109375" defaultRowHeight="14.4" x14ac:dyDescent="0.3"/>
  <cols>
    <col min="1" max="1" width="9.5546875" style="20" bestFit="1" customWidth="1"/>
    <col min="2" max="2" width="10.5546875" style="20" bestFit="1" customWidth="1"/>
    <col min="3" max="3" width="31.5546875" style="20" customWidth="1"/>
    <col min="4" max="6" width="9.109375" style="20" customWidth="1"/>
    <col min="7" max="16384" width="9.109375" style="20"/>
  </cols>
  <sheetData>
    <row r="2" spans="1:3" x14ac:dyDescent="0.3">
      <c r="A2" s="47">
        <v>0</v>
      </c>
      <c r="B2" s="47">
        <v>6</v>
      </c>
      <c r="C2" s="39" t="s">
        <v>765</v>
      </c>
    </row>
    <row r="3" spans="1:3" x14ac:dyDescent="0.3">
      <c r="A3" s="47">
        <v>7</v>
      </c>
      <c r="B3" s="47">
        <v>30</v>
      </c>
      <c r="C3" s="160" t="s">
        <v>767</v>
      </c>
    </row>
    <row r="4" spans="1:3" x14ac:dyDescent="0.3">
      <c r="A4" s="47">
        <v>31</v>
      </c>
      <c r="B4" s="47">
        <v>90</v>
      </c>
      <c r="C4" s="160" t="s">
        <v>768</v>
      </c>
    </row>
    <row r="5" spans="1:3" x14ac:dyDescent="0.3">
      <c r="A5" s="47">
        <v>91</v>
      </c>
      <c r="B5" s="47">
        <v>180</v>
      </c>
      <c r="C5" s="160" t="s">
        <v>770</v>
      </c>
    </row>
    <row r="6" spans="1:3" x14ac:dyDescent="0.3">
      <c r="A6" s="47">
        <v>181</v>
      </c>
      <c r="B6" s="47">
        <v>365</v>
      </c>
      <c r="C6" s="160" t="s">
        <v>772</v>
      </c>
    </row>
    <row r="7" spans="1:3" x14ac:dyDescent="0.3">
      <c r="A7" s="47">
        <v>366</v>
      </c>
      <c r="B7" s="47">
        <f>365*3</f>
        <v>1095</v>
      </c>
      <c r="C7" s="160" t="s">
        <v>775</v>
      </c>
    </row>
    <row r="8" spans="1:3" x14ac:dyDescent="0.3">
      <c r="A8" s="47">
        <v>1096</v>
      </c>
      <c r="B8" s="47">
        <f>365*5</f>
        <v>1825</v>
      </c>
      <c r="C8" s="160" t="s">
        <v>776</v>
      </c>
    </row>
    <row r="9" spans="1:3" x14ac:dyDescent="0.3">
      <c r="A9" s="47">
        <v>1826</v>
      </c>
      <c r="B9" s="47">
        <v>10000</v>
      </c>
      <c r="C9" s="160" t="s">
        <v>778</v>
      </c>
    </row>
    <row r="12" spans="1:3" x14ac:dyDescent="0.3">
      <c r="A12" s="47">
        <v>0</v>
      </c>
      <c r="B12" s="47">
        <v>6</v>
      </c>
      <c r="C12" s="39" t="s">
        <v>453</v>
      </c>
    </row>
    <row r="13" spans="1:3" x14ac:dyDescent="0.3">
      <c r="A13" s="47">
        <v>7</v>
      </c>
      <c r="B13" s="47">
        <v>30</v>
      </c>
      <c r="C13" s="160" t="s">
        <v>454</v>
      </c>
    </row>
    <row r="14" spans="1:3" x14ac:dyDescent="0.3">
      <c r="A14" s="47">
        <v>31</v>
      </c>
      <c r="B14" s="47">
        <v>90</v>
      </c>
      <c r="C14" s="160" t="s">
        <v>455</v>
      </c>
    </row>
    <row r="15" spans="1:3" x14ac:dyDescent="0.3">
      <c r="A15" s="47">
        <v>91</v>
      </c>
      <c r="B15" s="47">
        <v>180</v>
      </c>
      <c r="C15" s="160" t="s">
        <v>456</v>
      </c>
    </row>
    <row r="16" spans="1:3" x14ac:dyDescent="0.3">
      <c r="A16" s="47">
        <v>181</v>
      </c>
      <c r="B16" s="47">
        <v>365</v>
      </c>
      <c r="C16" s="160" t="s">
        <v>457</v>
      </c>
    </row>
    <row r="17" spans="1:3" x14ac:dyDescent="0.3">
      <c r="A17" s="47">
        <v>366</v>
      </c>
      <c r="B17" s="47">
        <f>365*3</f>
        <v>1095</v>
      </c>
      <c r="C17" s="160" t="s">
        <v>458</v>
      </c>
    </row>
    <row r="18" spans="1:3" x14ac:dyDescent="0.3">
      <c r="A18" s="47">
        <v>1096</v>
      </c>
      <c r="B18" s="47">
        <f>365*5</f>
        <v>1825</v>
      </c>
      <c r="C18" s="160" t="s">
        <v>459</v>
      </c>
    </row>
    <row r="19" spans="1:3" x14ac:dyDescent="0.3">
      <c r="A19" s="47">
        <v>1826</v>
      </c>
      <c r="B19" s="47">
        <v>10000</v>
      </c>
      <c r="C19" s="160" t="s">
        <v>460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R75"/>
  <sheetViews>
    <sheetView workbookViewId="0">
      <selection activeCell="P21" sqref="P1:P1048576"/>
    </sheetView>
  </sheetViews>
  <sheetFormatPr defaultRowHeight="14.4" x14ac:dyDescent="0.3"/>
  <cols>
    <col min="8" max="8" width="26.5546875" customWidth="1"/>
    <col min="9" max="9" width="15.33203125" style="119" bestFit="1" customWidth="1"/>
  </cols>
  <sheetData>
    <row r="1" spans="1:18" x14ac:dyDescent="0.3">
      <c r="A1" t="s">
        <v>1089</v>
      </c>
      <c r="B1" t="s">
        <v>6209</v>
      </c>
      <c r="C1" t="s">
        <v>6210</v>
      </c>
      <c r="D1" t="s">
        <v>6211</v>
      </c>
      <c r="E1" t="s">
        <v>6212</v>
      </c>
      <c r="F1" t="s">
        <v>6213</v>
      </c>
      <c r="G1" t="s">
        <v>509</v>
      </c>
      <c r="H1" t="s">
        <v>511</v>
      </c>
      <c r="I1" s="150">
        <v>45504</v>
      </c>
      <c r="P1" t="s">
        <v>510</v>
      </c>
      <c r="Q1" t="s">
        <v>511</v>
      </c>
      <c r="R1" t="s">
        <v>512</v>
      </c>
    </row>
    <row r="2" spans="1:18" x14ac:dyDescent="0.3">
      <c r="A2" t="s">
        <v>1071</v>
      </c>
      <c r="B2" t="s">
        <v>6214</v>
      </c>
      <c r="C2" t="s">
        <v>6215</v>
      </c>
      <c r="D2" t="s">
        <v>6216</v>
      </c>
      <c r="E2" t="s">
        <v>6217</v>
      </c>
      <c r="F2" t="s">
        <v>6218</v>
      </c>
      <c r="G2" t="s">
        <v>356</v>
      </c>
      <c r="H2" t="s">
        <v>1072</v>
      </c>
      <c r="I2" s="119">
        <v>-327013246.91000003</v>
      </c>
      <c r="J2" t="str">
        <f t="shared" ref="J2:J33" si="0">VLOOKUP(A2,P:P,1,FALSE)</f>
        <v>0212</v>
      </c>
      <c r="P2" t="s">
        <v>859</v>
      </c>
      <c r="Q2" t="s">
        <v>860</v>
      </c>
      <c r="R2">
        <v>469985100.63</v>
      </c>
    </row>
    <row r="3" spans="1:18" x14ac:dyDescent="0.3">
      <c r="A3" t="s">
        <v>1073</v>
      </c>
      <c r="B3" t="s">
        <v>6214</v>
      </c>
      <c r="C3" t="s">
        <v>6219</v>
      </c>
      <c r="D3" t="s">
        <v>6220</v>
      </c>
      <c r="E3" t="s">
        <v>6217</v>
      </c>
      <c r="F3" t="s">
        <v>6218</v>
      </c>
      <c r="G3" t="s">
        <v>356</v>
      </c>
      <c r="H3" t="s">
        <v>1074</v>
      </c>
      <c r="I3" s="119">
        <v>-3864297.07</v>
      </c>
      <c r="J3" t="str">
        <f t="shared" si="0"/>
        <v>0241</v>
      </c>
      <c r="P3" t="s">
        <v>861</v>
      </c>
      <c r="Q3" t="s">
        <v>862</v>
      </c>
      <c r="R3">
        <v>1313098.06</v>
      </c>
    </row>
    <row r="4" spans="1:18" x14ac:dyDescent="0.3">
      <c r="A4" t="s">
        <v>1075</v>
      </c>
      <c r="B4" t="s">
        <v>6214</v>
      </c>
      <c r="C4" t="s">
        <v>6215</v>
      </c>
      <c r="D4" t="s">
        <v>6221</v>
      </c>
      <c r="E4" t="s">
        <v>6217</v>
      </c>
      <c r="F4" t="s">
        <v>6222</v>
      </c>
      <c r="G4" t="s">
        <v>356</v>
      </c>
      <c r="H4" t="s">
        <v>1076</v>
      </c>
      <c r="I4" s="119">
        <v>-2710425.92</v>
      </c>
      <c r="J4" t="str">
        <f t="shared" si="0"/>
        <v>0243</v>
      </c>
      <c r="P4" t="s">
        <v>863</v>
      </c>
      <c r="Q4" t="s">
        <v>864</v>
      </c>
      <c r="R4">
        <v>7726015.6500000004</v>
      </c>
    </row>
    <row r="5" spans="1:18" x14ac:dyDescent="0.3">
      <c r="A5" t="s">
        <v>1077</v>
      </c>
      <c r="B5" t="s">
        <v>6214</v>
      </c>
      <c r="C5" t="s">
        <v>6215</v>
      </c>
      <c r="D5" t="s">
        <v>6221</v>
      </c>
      <c r="E5" t="s">
        <v>6217</v>
      </c>
      <c r="F5" t="s">
        <v>6223</v>
      </c>
      <c r="G5" t="s">
        <v>356</v>
      </c>
      <c r="H5" t="s">
        <v>1078</v>
      </c>
      <c r="I5" s="119">
        <v>-14904916.66</v>
      </c>
      <c r="J5" t="str">
        <f t="shared" si="0"/>
        <v>0244</v>
      </c>
      <c r="P5" t="s">
        <v>724</v>
      </c>
      <c r="Q5" t="s">
        <v>725</v>
      </c>
      <c r="R5">
        <v>0</v>
      </c>
    </row>
    <row r="6" spans="1:18" x14ac:dyDescent="0.3">
      <c r="A6" t="s">
        <v>1069</v>
      </c>
      <c r="B6" t="s">
        <v>6214</v>
      </c>
      <c r="C6" t="s">
        <v>6215</v>
      </c>
      <c r="D6" t="s">
        <v>6221</v>
      </c>
      <c r="E6" t="s">
        <v>6217</v>
      </c>
      <c r="F6" t="s">
        <v>6222</v>
      </c>
      <c r="G6" t="s">
        <v>356</v>
      </c>
      <c r="H6" t="s">
        <v>1070</v>
      </c>
      <c r="I6" s="119">
        <v>-2000</v>
      </c>
      <c r="J6" t="str">
        <f t="shared" si="0"/>
        <v>0245</v>
      </c>
      <c r="P6" t="s">
        <v>696</v>
      </c>
      <c r="Q6" t="s">
        <v>697</v>
      </c>
      <c r="R6">
        <v>828604.04</v>
      </c>
    </row>
    <row r="7" spans="1:18" x14ac:dyDescent="0.3">
      <c r="A7" t="s">
        <v>1079</v>
      </c>
      <c r="B7" t="s">
        <v>6214</v>
      </c>
      <c r="C7" t="s">
        <v>6215</v>
      </c>
      <c r="D7" t="s">
        <v>6221</v>
      </c>
      <c r="E7" t="s">
        <v>6217</v>
      </c>
      <c r="F7" t="s">
        <v>6222</v>
      </c>
      <c r="G7" t="s">
        <v>356</v>
      </c>
      <c r="H7" t="s">
        <v>1080</v>
      </c>
      <c r="I7" s="119">
        <v>-34795994.920000002</v>
      </c>
      <c r="J7" t="str">
        <f t="shared" si="0"/>
        <v>0247</v>
      </c>
      <c r="P7" t="s">
        <v>867</v>
      </c>
      <c r="Q7" t="s">
        <v>868</v>
      </c>
      <c r="R7">
        <v>5847500</v>
      </c>
    </row>
    <row r="8" spans="1:18" x14ac:dyDescent="0.3">
      <c r="A8" t="s">
        <v>859</v>
      </c>
      <c r="B8" t="s">
        <v>6214</v>
      </c>
      <c r="C8" t="s">
        <v>6215</v>
      </c>
      <c r="D8" t="s">
        <v>6221</v>
      </c>
      <c r="E8" t="s">
        <v>6217</v>
      </c>
      <c r="F8" t="s">
        <v>6224</v>
      </c>
      <c r="G8" t="s">
        <v>356</v>
      </c>
      <c r="H8" t="s">
        <v>860</v>
      </c>
      <c r="I8" s="119">
        <v>-469985100.63</v>
      </c>
      <c r="J8" t="str">
        <f t="shared" si="0"/>
        <v>0249</v>
      </c>
      <c r="P8" t="s">
        <v>869</v>
      </c>
      <c r="Q8" t="s">
        <v>870</v>
      </c>
      <c r="R8">
        <v>81436248.230000004</v>
      </c>
    </row>
    <row r="9" spans="1:18" x14ac:dyDescent="0.3">
      <c r="A9" t="s">
        <v>861</v>
      </c>
      <c r="B9" t="s">
        <v>6214</v>
      </c>
      <c r="C9" t="s">
        <v>6215</v>
      </c>
      <c r="D9" t="s">
        <v>6221</v>
      </c>
      <c r="E9" t="s">
        <v>6217</v>
      </c>
      <c r="F9" t="s">
        <v>6222</v>
      </c>
      <c r="G9" t="s">
        <v>356</v>
      </c>
      <c r="H9" t="s">
        <v>862</v>
      </c>
      <c r="I9" s="119">
        <v>-1313098.06</v>
      </c>
      <c r="J9" t="str">
        <f t="shared" si="0"/>
        <v>0250</v>
      </c>
      <c r="P9" t="s">
        <v>873</v>
      </c>
      <c r="Q9" t="s">
        <v>874</v>
      </c>
      <c r="R9">
        <v>2591734.4300000002</v>
      </c>
    </row>
    <row r="10" spans="1:18" x14ac:dyDescent="0.3">
      <c r="A10" t="s">
        <v>863</v>
      </c>
      <c r="B10" t="s">
        <v>6214</v>
      </c>
      <c r="C10" t="s">
        <v>6215</v>
      </c>
      <c r="D10" t="s">
        <v>6221</v>
      </c>
      <c r="E10" t="s">
        <v>6217</v>
      </c>
      <c r="F10" t="s">
        <v>6222</v>
      </c>
      <c r="G10" t="s">
        <v>356</v>
      </c>
      <c r="H10" t="s">
        <v>864</v>
      </c>
      <c r="I10" s="119">
        <v>-7726015.6500000004</v>
      </c>
      <c r="J10" t="str">
        <f t="shared" si="0"/>
        <v>0251</v>
      </c>
      <c r="P10" t="s">
        <v>877</v>
      </c>
      <c r="Q10" t="s">
        <v>878</v>
      </c>
      <c r="R10">
        <v>300000</v>
      </c>
    </row>
    <row r="11" spans="1:18" x14ac:dyDescent="0.3">
      <c r="A11" t="s">
        <v>696</v>
      </c>
      <c r="B11" t="s">
        <v>6214</v>
      </c>
      <c r="C11" t="s">
        <v>6215</v>
      </c>
      <c r="D11" t="s">
        <v>6221</v>
      </c>
      <c r="E11" t="s">
        <v>6217</v>
      </c>
      <c r="F11" t="s">
        <v>6222</v>
      </c>
      <c r="G11" t="s">
        <v>356</v>
      </c>
      <c r="H11" t="s">
        <v>697</v>
      </c>
      <c r="I11" s="119">
        <v>-828604.04</v>
      </c>
      <c r="J11" t="str">
        <f t="shared" si="0"/>
        <v>0253</v>
      </c>
      <c r="P11" t="s">
        <v>881</v>
      </c>
      <c r="Q11" t="s">
        <v>882</v>
      </c>
      <c r="R11">
        <v>5502463.5599999996</v>
      </c>
    </row>
    <row r="12" spans="1:18" x14ac:dyDescent="0.3">
      <c r="A12" t="s">
        <v>867</v>
      </c>
      <c r="B12" t="s">
        <v>6214</v>
      </c>
      <c r="C12" t="s">
        <v>6215</v>
      </c>
      <c r="D12" t="s">
        <v>6221</v>
      </c>
      <c r="E12" t="s">
        <v>6217</v>
      </c>
      <c r="F12" t="s">
        <v>6222</v>
      </c>
      <c r="G12" t="s">
        <v>356</v>
      </c>
      <c r="H12" t="s">
        <v>868</v>
      </c>
      <c r="I12" s="119">
        <v>-5847500</v>
      </c>
      <c r="J12" t="str">
        <f t="shared" si="0"/>
        <v>0255</v>
      </c>
      <c r="P12" t="s">
        <v>885</v>
      </c>
      <c r="Q12" t="s">
        <v>886</v>
      </c>
      <c r="R12">
        <v>4499470</v>
      </c>
    </row>
    <row r="13" spans="1:18" x14ac:dyDescent="0.3">
      <c r="A13" t="s">
        <v>869</v>
      </c>
      <c r="B13" t="s">
        <v>6214</v>
      </c>
      <c r="C13" t="s">
        <v>6215</v>
      </c>
      <c r="D13" t="s">
        <v>6221</v>
      </c>
      <c r="E13" t="s">
        <v>6217</v>
      </c>
      <c r="F13" t="s">
        <v>6222</v>
      </c>
      <c r="G13" t="s">
        <v>356</v>
      </c>
      <c r="H13" t="s">
        <v>870</v>
      </c>
      <c r="I13" s="119">
        <v>-81436248.230000004</v>
      </c>
      <c r="J13" t="str">
        <f t="shared" si="0"/>
        <v>0256</v>
      </c>
      <c r="P13" t="s">
        <v>740</v>
      </c>
      <c r="Q13" t="s">
        <v>717</v>
      </c>
      <c r="R13">
        <v>1536130.06</v>
      </c>
    </row>
    <row r="14" spans="1:18" x14ac:dyDescent="0.3">
      <c r="A14" t="s">
        <v>873</v>
      </c>
      <c r="B14" t="s">
        <v>6214</v>
      </c>
      <c r="C14" t="s">
        <v>6215</v>
      </c>
      <c r="D14" t="s">
        <v>6221</v>
      </c>
      <c r="E14" t="s">
        <v>6217</v>
      </c>
      <c r="F14" t="s">
        <v>6222</v>
      </c>
      <c r="G14" t="s">
        <v>356</v>
      </c>
      <c r="H14" t="s">
        <v>874</v>
      </c>
      <c r="I14" s="119">
        <v>-2591734.4300000002</v>
      </c>
      <c r="J14" t="str">
        <f t="shared" si="0"/>
        <v>0259</v>
      </c>
      <c r="P14" t="s">
        <v>897</v>
      </c>
      <c r="Q14" t="s">
        <v>898</v>
      </c>
      <c r="R14">
        <v>265000</v>
      </c>
    </row>
    <row r="15" spans="1:18" x14ac:dyDescent="0.3">
      <c r="A15" t="s">
        <v>877</v>
      </c>
      <c r="B15" t="s">
        <v>6214</v>
      </c>
      <c r="C15" t="s">
        <v>6225</v>
      </c>
      <c r="D15" t="s">
        <v>6226</v>
      </c>
      <c r="E15" t="s">
        <v>6217</v>
      </c>
      <c r="F15" t="s">
        <v>6222</v>
      </c>
      <c r="G15" t="s">
        <v>356</v>
      </c>
      <c r="H15" t="s">
        <v>878</v>
      </c>
      <c r="I15" s="119">
        <v>-300000</v>
      </c>
      <c r="J15" t="str">
        <f t="shared" si="0"/>
        <v>0261</v>
      </c>
      <c r="P15" t="s">
        <v>899</v>
      </c>
      <c r="Q15" t="s">
        <v>900</v>
      </c>
      <c r="R15">
        <v>100209152.69</v>
      </c>
    </row>
    <row r="16" spans="1:18" x14ac:dyDescent="0.3">
      <c r="A16" t="s">
        <v>881</v>
      </c>
      <c r="B16" t="s">
        <v>6214</v>
      </c>
      <c r="C16" t="s">
        <v>6227</v>
      </c>
      <c r="D16" t="s">
        <v>6228</v>
      </c>
      <c r="E16" t="s">
        <v>312</v>
      </c>
      <c r="F16" t="s">
        <v>6229</v>
      </c>
      <c r="G16" t="s">
        <v>356</v>
      </c>
      <c r="H16" t="s">
        <v>882</v>
      </c>
      <c r="I16" s="119">
        <v>-5502463.5599999996</v>
      </c>
      <c r="J16" t="str">
        <f t="shared" si="0"/>
        <v>0263</v>
      </c>
      <c r="P16" t="s">
        <v>901</v>
      </c>
      <c r="Q16" t="s">
        <v>902</v>
      </c>
      <c r="R16">
        <v>64709</v>
      </c>
    </row>
    <row r="17" spans="1:18" x14ac:dyDescent="0.3">
      <c r="A17" t="s">
        <v>885</v>
      </c>
      <c r="B17" t="s">
        <v>6214</v>
      </c>
      <c r="C17" t="s">
        <v>6227</v>
      </c>
      <c r="D17" t="s">
        <v>6228</v>
      </c>
      <c r="E17" t="s">
        <v>312</v>
      </c>
      <c r="F17" t="s">
        <v>6229</v>
      </c>
      <c r="G17" t="s">
        <v>356</v>
      </c>
      <c r="H17" t="s">
        <v>886</v>
      </c>
      <c r="I17" s="119">
        <v>-4499470</v>
      </c>
      <c r="J17" t="str">
        <f t="shared" si="0"/>
        <v>0265</v>
      </c>
      <c r="P17" t="s">
        <v>728</v>
      </c>
      <c r="Q17" t="s">
        <v>729</v>
      </c>
      <c r="R17">
        <v>234.18</v>
      </c>
    </row>
    <row r="18" spans="1:18" x14ac:dyDescent="0.3">
      <c r="A18" t="s">
        <v>740</v>
      </c>
      <c r="B18" t="s">
        <v>6214</v>
      </c>
      <c r="C18" t="s">
        <v>6227</v>
      </c>
      <c r="D18" t="s">
        <v>6228</v>
      </c>
      <c r="E18" t="s">
        <v>312</v>
      </c>
      <c r="F18" t="s">
        <v>6229</v>
      </c>
      <c r="G18" t="s">
        <v>356</v>
      </c>
      <c r="H18" t="s">
        <v>717</v>
      </c>
      <c r="I18" s="119">
        <v>-1536130.06</v>
      </c>
      <c r="J18" t="str">
        <f t="shared" si="0"/>
        <v>0266</v>
      </c>
      <c r="P18" t="s">
        <v>903</v>
      </c>
      <c r="Q18" t="s">
        <v>904</v>
      </c>
      <c r="R18">
        <v>386685.27</v>
      </c>
    </row>
    <row r="19" spans="1:18" x14ac:dyDescent="0.3">
      <c r="A19" t="s">
        <v>897</v>
      </c>
      <c r="B19" t="s">
        <v>6214</v>
      </c>
      <c r="C19" t="s">
        <v>6215</v>
      </c>
      <c r="D19" t="s">
        <v>6216</v>
      </c>
      <c r="E19" t="s">
        <v>6217</v>
      </c>
      <c r="F19" t="s">
        <v>6218</v>
      </c>
      <c r="G19" t="s">
        <v>356</v>
      </c>
      <c r="H19" t="s">
        <v>898</v>
      </c>
      <c r="I19" s="119">
        <v>-265000</v>
      </c>
      <c r="J19" t="str">
        <f t="shared" si="0"/>
        <v>0416</v>
      </c>
      <c r="P19" t="s">
        <v>905</v>
      </c>
      <c r="Q19" t="s">
        <v>906</v>
      </c>
      <c r="R19">
        <v>4060.51</v>
      </c>
    </row>
    <row r="20" spans="1:18" x14ac:dyDescent="0.3">
      <c r="A20" t="s">
        <v>899</v>
      </c>
      <c r="B20" t="s">
        <v>6214</v>
      </c>
      <c r="C20" t="s">
        <v>6227</v>
      </c>
      <c r="D20" t="s">
        <v>6228</v>
      </c>
      <c r="E20" t="s">
        <v>312</v>
      </c>
      <c r="F20" t="s">
        <v>6229</v>
      </c>
      <c r="G20" t="s">
        <v>356</v>
      </c>
      <c r="H20" t="s">
        <v>900</v>
      </c>
      <c r="I20" s="119">
        <v>-100209152.69</v>
      </c>
      <c r="J20" t="str">
        <f t="shared" si="0"/>
        <v>0427</v>
      </c>
      <c r="P20" t="s">
        <v>907</v>
      </c>
      <c r="Q20" t="s">
        <v>908</v>
      </c>
      <c r="R20">
        <v>44440</v>
      </c>
    </row>
    <row r="21" spans="1:18" x14ac:dyDescent="0.3">
      <c r="A21" t="s">
        <v>901</v>
      </c>
      <c r="B21" t="s">
        <v>6214</v>
      </c>
      <c r="C21" t="s">
        <v>6219</v>
      </c>
      <c r="D21" t="s">
        <v>6220</v>
      </c>
      <c r="E21" t="s">
        <v>6217</v>
      </c>
      <c r="F21" t="s">
        <v>6218</v>
      </c>
      <c r="G21" t="s">
        <v>356</v>
      </c>
      <c r="H21" t="s">
        <v>902</v>
      </c>
      <c r="I21" s="119">
        <v>-64709</v>
      </c>
      <c r="J21" t="str">
        <f t="shared" si="0"/>
        <v>0436</v>
      </c>
      <c r="P21" t="s">
        <v>913</v>
      </c>
      <c r="Q21" t="s">
        <v>914</v>
      </c>
      <c r="R21">
        <v>117999</v>
      </c>
    </row>
    <row r="22" spans="1:18" x14ac:dyDescent="0.3">
      <c r="A22" t="s">
        <v>728</v>
      </c>
      <c r="B22" t="s">
        <v>6214</v>
      </c>
      <c r="C22" t="s">
        <v>6219</v>
      </c>
      <c r="D22" t="s">
        <v>6220</v>
      </c>
      <c r="E22" t="s">
        <v>6217</v>
      </c>
      <c r="F22" t="s">
        <v>6230</v>
      </c>
      <c r="G22" t="s">
        <v>356</v>
      </c>
      <c r="H22" t="s">
        <v>729</v>
      </c>
      <c r="I22" s="119">
        <v>-234.18</v>
      </c>
      <c r="J22" t="str">
        <f t="shared" si="0"/>
        <v>0443</v>
      </c>
      <c r="P22" t="s">
        <v>921</v>
      </c>
      <c r="Q22" t="s">
        <v>922</v>
      </c>
      <c r="R22">
        <v>822662.01</v>
      </c>
    </row>
    <row r="23" spans="1:18" x14ac:dyDescent="0.3">
      <c r="A23" t="s">
        <v>903</v>
      </c>
      <c r="B23" t="s">
        <v>6214</v>
      </c>
      <c r="C23" t="s">
        <v>6215</v>
      </c>
      <c r="D23" t="s">
        <v>6216</v>
      </c>
      <c r="E23" t="s">
        <v>6217</v>
      </c>
      <c r="F23" t="s">
        <v>6218</v>
      </c>
      <c r="G23" t="s">
        <v>356</v>
      </c>
      <c r="H23" t="s">
        <v>904</v>
      </c>
      <c r="I23" s="119">
        <v>-386685.27</v>
      </c>
      <c r="J23" t="str">
        <f t="shared" si="0"/>
        <v>0450</v>
      </c>
      <c r="P23" t="s">
        <v>923</v>
      </c>
      <c r="Q23" t="s">
        <v>924</v>
      </c>
      <c r="R23">
        <v>1108080.17</v>
      </c>
    </row>
    <row r="24" spans="1:18" x14ac:dyDescent="0.3">
      <c r="A24" t="s">
        <v>905</v>
      </c>
      <c r="B24" t="s">
        <v>6231</v>
      </c>
      <c r="C24" t="s">
        <v>6232</v>
      </c>
      <c r="D24" t="s">
        <v>6233</v>
      </c>
      <c r="E24" t="s">
        <v>6217</v>
      </c>
      <c r="F24" t="s">
        <v>6230</v>
      </c>
      <c r="G24" t="s">
        <v>356</v>
      </c>
      <c r="H24" t="s">
        <v>906</v>
      </c>
      <c r="I24" s="119">
        <v>-4060.51</v>
      </c>
      <c r="J24" t="str">
        <f t="shared" si="0"/>
        <v>0460</v>
      </c>
      <c r="P24" t="s">
        <v>927</v>
      </c>
      <c r="Q24" t="s">
        <v>928</v>
      </c>
      <c r="R24">
        <v>220772.42</v>
      </c>
    </row>
    <row r="25" spans="1:18" x14ac:dyDescent="0.3">
      <c r="A25" t="s">
        <v>907</v>
      </c>
      <c r="B25" t="s">
        <v>6231</v>
      </c>
      <c r="C25" t="s">
        <v>6232</v>
      </c>
      <c r="D25" t="s">
        <v>6233</v>
      </c>
      <c r="E25" t="s">
        <v>6217</v>
      </c>
      <c r="F25" t="s">
        <v>6230</v>
      </c>
      <c r="G25" t="s">
        <v>356</v>
      </c>
      <c r="H25" t="s">
        <v>908</v>
      </c>
      <c r="I25" s="119">
        <v>-44440</v>
      </c>
      <c r="J25" t="str">
        <f t="shared" si="0"/>
        <v>0463</v>
      </c>
      <c r="P25" t="s">
        <v>933</v>
      </c>
      <c r="Q25" t="s">
        <v>934</v>
      </c>
      <c r="R25">
        <v>170401027.81999999</v>
      </c>
    </row>
    <row r="26" spans="1:18" x14ac:dyDescent="0.3">
      <c r="A26" t="s">
        <v>913</v>
      </c>
      <c r="B26" t="s">
        <v>6214</v>
      </c>
      <c r="C26" t="s">
        <v>6227</v>
      </c>
      <c r="D26" t="s">
        <v>6228</v>
      </c>
      <c r="E26" t="s">
        <v>312</v>
      </c>
      <c r="F26" t="s">
        <v>6229</v>
      </c>
      <c r="G26" t="s">
        <v>356</v>
      </c>
      <c r="H26" t="s">
        <v>914</v>
      </c>
      <c r="I26" s="119">
        <v>-117999</v>
      </c>
      <c r="J26" t="str">
        <f t="shared" si="0"/>
        <v>1148</v>
      </c>
      <c r="P26" t="s">
        <v>935</v>
      </c>
      <c r="Q26" t="s">
        <v>936</v>
      </c>
      <c r="R26">
        <v>14596177.869999999</v>
      </c>
    </row>
    <row r="27" spans="1:18" x14ac:dyDescent="0.3">
      <c r="A27" t="s">
        <v>921</v>
      </c>
      <c r="B27" t="s">
        <v>6214</v>
      </c>
      <c r="C27" t="s">
        <v>6215</v>
      </c>
      <c r="D27" t="s">
        <v>6234</v>
      </c>
      <c r="E27" t="s">
        <v>6217</v>
      </c>
      <c r="F27" t="s">
        <v>6222</v>
      </c>
      <c r="G27" t="s">
        <v>356</v>
      </c>
      <c r="H27" t="s">
        <v>5177</v>
      </c>
      <c r="I27" s="119">
        <v>-822662.01</v>
      </c>
      <c r="J27" t="str">
        <f t="shared" si="0"/>
        <v>1190</v>
      </c>
      <c r="P27" t="s">
        <v>937</v>
      </c>
      <c r="Q27" t="s">
        <v>938</v>
      </c>
      <c r="R27">
        <v>1320505</v>
      </c>
    </row>
    <row r="28" spans="1:18" x14ac:dyDescent="0.3">
      <c r="A28" t="s">
        <v>923</v>
      </c>
      <c r="B28" t="s">
        <v>6214</v>
      </c>
      <c r="C28" t="s">
        <v>6219</v>
      </c>
      <c r="D28" t="s">
        <v>6220</v>
      </c>
      <c r="E28" t="s">
        <v>6217</v>
      </c>
      <c r="F28" t="s">
        <v>6218</v>
      </c>
      <c r="G28" t="s">
        <v>356</v>
      </c>
      <c r="H28" t="s">
        <v>924</v>
      </c>
      <c r="I28" s="119">
        <v>-1108080.17</v>
      </c>
      <c r="J28" t="str">
        <f t="shared" si="0"/>
        <v>1192</v>
      </c>
      <c r="P28" t="s">
        <v>738</v>
      </c>
      <c r="Q28" t="s">
        <v>739</v>
      </c>
      <c r="R28">
        <v>9965613.6799999997</v>
      </c>
    </row>
    <row r="29" spans="1:18" x14ac:dyDescent="0.3">
      <c r="A29" t="s">
        <v>927</v>
      </c>
      <c r="B29" t="s">
        <v>6214</v>
      </c>
      <c r="C29" t="s">
        <v>6215</v>
      </c>
      <c r="D29" t="s">
        <v>6234</v>
      </c>
      <c r="E29" t="s">
        <v>6217</v>
      </c>
      <c r="F29" t="s">
        <v>6222</v>
      </c>
      <c r="G29" t="s">
        <v>356</v>
      </c>
      <c r="H29" t="s">
        <v>928</v>
      </c>
      <c r="I29" s="119">
        <v>-220772.42</v>
      </c>
      <c r="J29" t="str">
        <f t="shared" si="0"/>
        <v>1249</v>
      </c>
      <c r="P29" t="s">
        <v>706</v>
      </c>
      <c r="Q29" t="s">
        <v>707</v>
      </c>
      <c r="R29">
        <v>1754679.29</v>
      </c>
    </row>
    <row r="30" spans="1:18" x14ac:dyDescent="0.3">
      <c r="A30" t="s">
        <v>933</v>
      </c>
      <c r="B30" t="s">
        <v>6214</v>
      </c>
      <c r="C30" t="s">
        <v>6215</v>
      </c>
      <c r="D30" t="s">
        <v>6221</v>
      </c>
      <c r="E30" t="s">
        <v>6217</v>
      </c>
      <c r="F30" t="s">
        <v>6230</v>
      </c>
      <c r="G30" t="s">
        <v>356</v>
      </c>
      <c r="H30" t="s">
        <v>934</v>
      </c>
      <c r="I30" s="119">
        <v>-170401027.81999999</v>
      </c>
      <c r="J30" t="str">
        <f t="shared" si="0"/>
        <v>1330</v>
      </c>
      <c r="P30" t="s">
        <v>943</v>
      </c>
      <c r="Q30" t="s">
        <v>944</v>
      </c>
      <c r="R30">
        <v>39645234.100000001</v>
      </c>
    </row>
    <row r="31" spans="1:18" x14ac:dyDescent="0.3">
      <c r="A31" t="s">
        <v>935</v>
      </c>
      <c r="B31" t="s">
        <v>6214</v>
      </c>
      <c r="C31" t="s">
        <v>6215</v>
      </c>
      <c r="D31" t="s">
        <v>6216</v>
      </c>
      <c r="E31" t="s">
        <v>6217</v>
      </c>
      <c r="F31" t="s">
        <v>6218</v>
      </c>
      <c r="G31" t="s">
        <v>356</v>
      </c>
      <c r="H31" t="s">
        <v>936</v>
      </c>
      <c r="I31" s="119">
        <v>-14596177.869999999</v>
      </c>
      <c r="J31" t="str">
        <f t="shared" si="0"/>
        <v>1355</v>
      </c>
      <c r="P31" t="s">
        <v>945</v>
      </c>
      <c r="Q31" t="s">
        <v>946</v>
      </c>
      <c r="R31">
        <v>0.52</v>
      </c>
    </row>
    <row r="32" spans="1:18" x14ac:dyDescent="0.3">
      <c r="A32" t="s">
        <v>937</v>
      </c>
      <c r="B32" t="s">
        <v>6214</v>
      </c>
      <c r="C32" t="s">
        <v>6215</v>
      </c>
      <c r="D32" t="s">
        <v>6235</v>
      </c>
      <c r="E32" t="s">
        <v>6217</v>
      </c>
      <c r="F32" t="s">
        <v>6218</v>
      </c>
      <c r="G32" t="s">
        <v>356</v>
      </c>
      <c r="H32" t="s">
        <v>938</v>
      </c>
      <c r="I32" s="119">
        <v>-1320505</v>
      </c>
      <c r="J32" t="str">
        <f t="shared" si="0"/>
        <v>1362</v>
      </c>
      <c r="P32" t="s">
        <v>947</v>
      </c>
      <c r="Q32" t="s">
        <v>948</v>
      </c>
      <c r="R32">
        <v>426717.91</v>
      </c>
    </row>
    <row r="33" spans="1:18" x14ac:dyDescent="0.3">
      <c r="A33" t="s">
        <v>738</v>
      </c>
      <c r="B33" t="s">
        <v>6214</v>
      </c>
      <c r="C33" t="s">
        <v>6215</v>
      </c>
      <c r="D33" t="s">
        <v>6234</v>
      </c>
      <c r="E33" t="s">
        <v>6217</v>
      </c>
      <c r="F33" t="s">
        <v>6222</v>
      </c>
      <c r="G33" t="s">
        <v>356</v>
      </c>
      <c r="H33" t="s">
        <v>739</v>
      </c>
      <c r="I33" s="119">
        <v>-9965613.6799999997</v>
      </c>
      <c r="J33" t="str">
        <f t="shared" si="0"/>
        <v>1385</v>
      </c>
      <c r="P33" t="s">
        <v>951</v>
      </c>
      <c r="Q33" t="s">
        <v>952</v>
      </c>
      <c r="R33">
        <v>11645791.130000001</v>
      </c>
    </row>
    <row r="34" spans="1:18" x14ac:dyDescent="0.3">
      <c r="A34">
        <v>1401</v>
      </c>
      <c r="B34" t="s">
        <v>6214</v>
      </c>
      <c r="C34" t="s">
        <v>6215</v>
      </c>
      <c r="D34" t="s">
        <v>6221</v>
      </c>
      <c r="E34" t="s">
        <v>6217</v>
      </c>
      <c r="F34" t="s">
        <v>6222</v>
      </c>
      <c r="G34" t="s">
        <v>356</v>
      </c>
      <c r="H34" t="s">
        <v>942</v>
      </c>
      <c r="I34" s="119">
        <v>-4245700.24</v>
      </c>
      <c r="J34" t="e">
        <f t="shared" ref="J34:J65" si="1">VLOOKUP(A34,P:P,1,FALSE)</f>
        <v>#N/A</v>
      </c>
      <c r="P34" t="s">
        <v>953</v>
      </c>
      <c r="Q34" t="s">
        <v>954</v>
      </c>
      <c r="R34">
        <v>1216686.56</v>
      </c>
    </row>
    <row r="35" spans="1:18" x14ac:dyDescent="0.3">
      <c r="A35" t="s">
        <v>706</v>
      </c>
      <c r="B35" t="s">
        <v>6214</v>
      </c>
      <c r="C35" t="s">
        <v>6215</v>
      </c>
      <c r="D35" t="s">
        <v>6234</v>
      </c>
      <c r="E35" t="s">
        <v>6217</v>
      </c>
      <c r="F35" t="s">
        <v>6222</v>
      </c>
      <c r="G35" t="s">
        <v>356</v>
      </c>
      <c r="H35" t="s">
        <v>707</v>
      </c>
      <c r="I35" s="119">
        <v>-1754679.29</v>
      </c>
      <c r="J35" t="str">
        <f t="shared" si="1"/>
        <v>1460</v>
      </c>
      <c r="P35" t="s">
        <v>955</v>
      </c>
      <c r="Q35" t="s">
        <v>956</v>
      </c>
      <c r="R35">
        <v>8336398.2599999998</v>
      </c>
    </row>
    <row r="36" spans="1:18" x14ac:dyDescent="0.3">
      <c r="A36" t="s">
        <v>943</v>
      </c>
      <c r="B36" t="s">
        <v>6214</v>
      </c>
      <c r="C36" t="s">
        <v>6215</v>
      </c>
      <c r="D36" t="s">
        <v>6216</v>
      </c>
      <c r="E36" t="s">
        <v>6217</v>
      </c>
      <c r="F36" t="s">
        <v>6218</v>
      </c>
      <c r="G36" t="s">
        <v>356</v>
      </c>
      <c r="H36" t="s">
        <v>944</v>
      </c>
      <c r="I36" s="119">
        <v>-39645234.100000001</v>
      </c>
      <c r="J36" t="str">
        <f t="shared" si="1"/>
        <v>1463</v>
      </c>
      <c r="P36" t="s">
        <v>957</v>
      </c>
      <c r="Q36" t="s">
        <v>958</v>
      </c>
      <c r="R36">
        <v>2185231.46</v>
      </c>
    </row>
    <row r="37" spans="1:18" x14ac:dyDescent="0.3">
      <c r="A37" t="s">
        <v>945</v>
      </c>
      <c r="B37" t="s">
        <v>6214</v>
      </c>
      <c r="C37" t="s">
        <v>6215</v>
      </c>
      <c r="D37" t="s">
        <v>6221</v>
      </c>
      <c r="E37" t="s">
        <v>6236</v>
      </c>
      <c r="F37" t="s">
        <v>6222</v>
      </c>
      <c r="G37" t="s">
        <v>356</v>
      </c>
      <c r="H37" t="s">
        <v>5834</v>
      </c>
      <c r="I37" s="119">
        <v>-0.52</v>
      </c>
      <c r="J37" t="str">
        <f t="shared" si="1"/>
        <v>1468</v>
      </c>
      <c r="P37" t="s">
        <v>961</v>
      </c>
      <c r="Q37" t="s">
        <v>962</v>
      </c>
      <c r="R37">
        <v>366810.67</v>
      </c>
    </row>
    <row r="38" spans="1:18" x14ac:dyDescent="0.3">
      <c r="A38" t="s">
        <v>947</v>
      </c>
      <c r="B38" t="s">
        <v>6231</v>
      </c>
      <c r="C38" t="s">
        <v>6237</v>
      </c>
      <c r="D38" t="s">
        <v>6238</v>
      </c>
      <c r="E38" t="s">
        <v>6217</v>
      </c>
      <c r="F38" t="s">
        <v>6218</v>
      </c>
      <c r="G38" t="s">
        <v>356</v>
      </c>
      <c r="H38" t="s">
        <v>948</v>
      </c>
      <c r="I38" s="119">
        <v>-426717.91</v>
      </c>
      <c r="J38" t="str">
        <f t="shared" si="1"/>
        <v>1476</v>
      </c>
      <c r="P38" t="s">
        <v>965</v>
      </c>
      <c r="Q38" t="s">
        <v>966</v>
      </c>
      <c r="R38">
        <v>130047</v>
      </c>
    </row>
    <row r="39" spans="1:18" x14ac:dyDescent="0.3">
      <c r="A39" t="s">
        <v>951</v>
      </c>
      <c r="B39" t="s">
        <v>6214</v>
      </c>
      <c r="C39" t="s">
        <v>6219</v>
      </c>
      <c r="D39" t="s">
        <v>6220</v>
      </c>
      <c r="E39" t="s">
        <v>6217</v>
      </c>
      <c r="F39" t="s">
        <v>6218</v>
      </c>
      <c r="G39" t="s">
        <v>356</v>
      </c>
      <c r="H39" t="s">
        <v>952</v>
      </c>
      <c r="I39" s="119">
        <v>-11645791.130000001</v>
      </c>
      <c r="J39" t="str">
        <f t="shared" si="1"/>
        <v>1550</v>
      </c>
      <c r="P39" t="s">
        <v>967</v>
      </c>
      <c r="Q39" t="s">
        <v>968</v>
      </c>
      <c r="R39">
        <v>11002.57</v>
      </c>
    </row>
    <row r="40" spans="1:18" x14ac:dyDescent="0.3">
      <c r="A40" t="s">
        <v>953</v>
      </c>
      <c r="B40" t="s">
        <v>6214</v>
      </c>
      <c r="C40" t="s">
        <v>6215</v>
      </c>
      <c r="D40" t="s">
        <v>6234</v>
      </c>
      <c r="E40" t="s">
        <v>6217</v>
      </c>
      <c r="F40" t="s">
        <v>6230</v>
      </c>
      <c r="G40" t="s">
        <v>356</v>
      </c>
      <c r="H40" t="s">
        <v>954</v>
      </c>
      <c r="I40" s="119">
        <v>-1216686.56</v>
      </c>
      <c r="J40" t="str">
        <f t="shared" si="1"/>
        <v>1554</v>
      </c>
      <c r="P40" t="s">
        <v>969</v>
      </c>
      <c r="Q40" t="s">
        <v>970</v>
      </c>
      <c r="R40">
        <v>693306.63</v>
      </c>
    </row>
    <row r="41" spans="1:18" x14ac:dyDescent="0.3">
      <c r="A41" t="s">
        <v>955</v>
      </c>
      <c r="B41" t="s">
        <v>6214</v>
      </c>
      <c r="C41" t="s">
        <v>6219</v>
      </c>
      <c r="D41" t="s">
        <v>6220</v>
      </c>
      <c r="E41" t="s">
        <v>6217</v>
      </c>
      <c r="F41" t="s">
        <v>6218</v>
      </c>
      <c r="G41" t="s">
        <v>356</v>
      </c>
      <c r="H41" t="s">
        <v>956</v>
      </c>
      <c r="I41" s="119">
        <v>-8336398.2599999998</v>
      </c>
      <c r="J41" t="str">
        <f t="shared" si="1"/>
        <v>1618</v>
      </c>
      <c r="P41" t="s">
        <v>971</v>
      </c>
      <c r="Q41" t="s">
        <v>972</v>
      </c>
      <c r="R41">
        <v>294302.13</v>
      </c>
    </row>
    <row r="42" spans="1:18" x14ac:dyDescent="0.3">
      <c r="A42" t="s">
        <v>957</v>
      </c>
      <c r="B42" t="s">
        <v>6214</v>
      </c>
      <c r="C42" t="s">
        <v>6227</v>
      </c>
      <c r="D42" t="s">
        <v>6228</v>
      </c>
      <c r="E42" t="s">
        <v>312</v>
      </c>
      <c r="F42" t="s">
        <v>6229</v>
      </c>
      <c r="G42" t="s">
        <v>356</v>
      </c>
      <c r="H42" t="s">
        <v>958</v>
      </c>
      <c r="I42" s="119">
        <v>-2185231.46</v>
      </c>
      <c r="J42" t="str">
        <f t="shared" si="1"/>
        <v>1669</v>
      </c>
      <c r="P42" t="s">
        <v>973</v>
      </c>
      <c r="Q42" t="s">
        <v>974</v>
      </c>
      <c r="R42">
        <v>9794130.7400000002</v>
      </c>
    </row>
    <row r="43" spans="1:18" x14ac:dyDescent="0.3">
      <c r="A43" t="s">
        <v>961</v>
      </c>
      <c r="B43" t="s">
        <v>6214</v>
      </c>
      <c r="C43" t="s">
        <v>6219</v>
      </c>
      <c r="D43" t="s">
        <v>6220</v>
      </c>
      <c r="E43" t="s">
        <v>6217</v>
      </c>
      <c r="F43" t="s">
        <v>6218</v>
      </c>
      <c r="G43" t="s">
        <v>356</v>
      </c>
      <c r="H43" t="s">
        <v>962</v>
      </c>
      <c r="I43" s="119">
        <v>-366810.67</v>
      </c>
      <c r="J43" t="str">
        <f t="shared" si="1"/>
        <v>1693</v>
      </c>
      <c r="P43" t="s">
        <v>996</v>
      </c>
      <c r="Q43" t="s">
        <v>997</v>
      </c>
      <c r="R43">
        <v>68227.520000000004</v>
      </c>
    </row>
    <row r="44" spans="1:18" x14ac:dyDescent="0.3">
      <c r="A44" t="s">
        <v>965</v>
      </c>
      <c r="B44" t="s">
        <v>6214</v>
      </c>
      <c r="C44" t="s">
        <v>6219</v>
      </c>
      <c r="D44" t="s">
        <v>6220</v>
      </c>
      <c r="E44" t="s">
        <v>6217</v>
      </c>
      <c r="F44" t="s">
        <v>6230</v>
      </c>
      <c r="G44" t="s">
        <v>356</v>
      </c>
      <c r="H44" t="s">
        <v>966</v>
      </c>
      <c r="I44" s="119">
        <v>-130047</v>
      </c>
      <c r="J44" t="str">
        <f t="shared" si="1"/>
        <v>1731</v>
      </c>
      <c r="P44" t="s">
        <v>998</v>
      </c>
      <c r="Q44" t="s">
        <v>999</v>
      </c>
      <c r="R44">
        <v>15081.05</v>
      </c>
    </row>
    <row r="45" spans="1:18" x14ac:dyDescent="0.3">
      <c r="A45" t="s">
        <v>967</v>
      </c>
      <c r="B45" t="s">
        <v>6214</v>
      </c>
      <c r="C45" t="s">
        <v>6219</v>
      </c>
      <c r="D45" t="s">
        <v>6220</v>
      </c>
      <c r="E45" t="s">
        <v>6217</v>
      </c>
      <c r="F45" t="s">
        <v>6218</v>
      </c>
      <c r="G45" t="s">
        <v>356</v>
      </c>
      <c r="H45" t="s">
        <v>968</v>
      </c>
      <c r="I45" s="119">
        <v>-11002.57</v>
      </c>
      <c r="J45" t="str">
        <f t="shared" si="1"/>
        <v>1756</v>
      </c>
      <c r="P45" t="s">
        <v>1000</v>
      </c>
      <c r="Q45" t="s">
        <v>1001</v>
      </c>
      <c r="R45">
        <v>96388.56</v>
      </c>
    </row>
    <row r="46" spans="1:18" x14ac:dyDescent="0.3">
      <c r="A46" t="s">
        <v>969</v>
      </c>
      <c r="B46" t="s">
        <v>6214</v>
      </c>
      <c r="C46" t="s">
        <v>6219</v>
      </c>
      <c r="D46" t="s">
        <v>6220</v>
      </c>
      <c r="E46" t="s">
        <v>6217</v>
      </c>
      <c r="F46" t="s">
        <v>6218</v>
      </c>
      <c r="G46" t="s">
        <v>356</v>
      </c>
      <c r="H46" t="s">
        <v>970</v>
      </c>
      <c r="I46" s="119">
        <v>-693306.63</v>
      </c>
      <c r="J46" t="str">
        <f t="shared" si="1"/>
        <v>1770</v>
      </c>
      <c r="P46" t="s">
        <v>1010</v>
      </c>
      <c r="Q46" t="s">
        <v>1011</v>
      </c>
      <c r="R46">
        <v>16443787.52</v>
      </c>
    </row>
    <row r="47" spans="1:18" x14ac:dyDescent="0.3">
      <c r="A47" t="s">
        <v>971</v>
      </c>
      <c r="B47" t="s">
        <v>6214</v>
      </c>
      <c r="C47" t="s">
        <v>6215</v>
      </c>
      <c r="D47" t="s">
        <v>6234</v>
      </c>
      <c r="E47" t="s">
        <v>6217</v>
      </c>
      <c r="F47" t="s">
        <v>6222</v>
      </c>
      <c r="G47" t="s">
        <v>356</v>
      </c>
      <c r="H47" t="s">
        <v>3541</v>
      </c>
      <c r="I47" s="119">
        <v>-294302.13</v>
      </c>
      <c r="J47" t="str">
        <f t="shared" si="1"/>
        <v>1771</v>
      </c>
      <c r="P47" t="s">
        <v>1012</v>
      </c>
      <c r="Q47" t="s">
        <v>1013</v>
      </c>
      <c r="R47">
        <v>12128001.92</v>
      </c>
    </row>
    <row r="48" spans="1:18" x14ac:dyDescent="0.3">
      <c r="A48" t="s">
        <v>973</v>
      </c>
      <c r="B48" t="s">
        <v>6214</v>
      </c>
      <c r="C48" t="s">
        <v>6219</v>
      </c>
      <c r="D48" t="s">
        <v>6220</v>
      </c>
      <c r="E48" t="s">
        <v>6217</v>
      </c>
      <c r="F48" t="s">
        <v>6218</v>
      </c>
      <c r="G48" t="s">
        <v>356</v>
      </c>
      <c r="H48" t="s">
        <v>974</v>
      </c>
      <c r="I48" s="119">
        <v>-9794130.7400000002</v>
      </c>
      <c r="J48" t="str">
        <f t="shared" si="1"/>
        <v>1772</v>
      </c>
      <c r="P48" t="s">
        <v>1014</v>
      </c>
      <c r="Q48" t="s">
        <v>1015</v>
      </c>
      <c r="R48">
        <v>3039890.58</v>
      </c>
    </row>
    <row r="49" spans="1:18" x14ac:dyDescent="0.3">
      <c r="A49" t="s">
        <v>1081</v>
      </c>
      <c r="B49" t="s">
        <v>6214</v>
      </c>
      <c r="C49" t="s">
        <v>6215</v>
      </c>
      <c r="D49" t="s">
        <v>6216</v>
      </c>
      <c r="E49" t="s">
        <v>6217</v>
      </c>
      <c r="G49" t="s">
        <v>356</v>
      </c>
      <c r="H49" t="s">
        <v>1082</v>
      </c>
      <c r="I49" s="119">
        <v>-25199472.449999999</v>
      </c>
      <c r="J49" t="str">
        <f t="shared" si="1"/>
        <v>1860</v>
      </c>
      <c r="P49" t="s">
        <v>1016</v>
      </c>
      <c r="Q49" t="s">
        <v>1017</v>
      </c>
      <c r="R49">
        <v>169924.92</v>
      </c>
    </row>
    <row r="50" spans="1:18" x14ac:dyDescent="0.3">
      <c r="A50" t="s">
        <v>996</v>
      </c>
      <c r="B50" t="s">
        <v>6214</v>
      </c>
      <c r="C50" t="s">
        <v>6215</v>
      </c>
      <c r="D50" t="s">
        <v>6216</v>
      </c>
      <c r="E50" t="s">
        <v>6217</v>
      </c>
      <c r="F50" t="s">
        <v>6218</v>
      </c>
      <c r="G50" t="s">
        <v>356</v>
      </c>
      <c r="H50" t="s">
        <v>997</v>
      </c>
      <c r="I50" s="119">
        <v>-68227.520000000004</v>
      </c>
      <c r="J50" t="str">
        <f t="shared" si="1"/>
        <v>1979</v>
      </c>
      <c r="P50" t="s">
        <v>1018</v>
      </c>
      <c r="Q50" t="s">
        <v>1019</v>
      </c>
      <c r="R50">
        <v>2261778.77</v>
      </c>
    </row>
    <row r="51" spans="1:18" x14ac:dyDescent="0.3">
      <c r="A51" t="s">
        <v>998</v>
      </c>
      <c r="B51" t="s">
        <v>6214</v>
      </c>
      <c r="C51" t="s">
        <v>6215</v>
      </c>
      <c r="D51" t="s">
        <v>6216</v>
      </c>
      <c r="E51" t="s">
        <v>6217</v>
      </c>
      <c r="F51" t="s">
        <v>6218</v>
      </c>
      <c r="G51" t="s">
        <v>356</v>
      </c>
      <c r="H51" t="s">
        <v>999</v>
      </c>
      <c r="I51" s="119">
        <v>-15081.05</v>
      </c>
      <c r="J51" t="str">
        <f t="shared" si="1"/>
        <v>1980</v>
      </c>
      <c r="P51" t="s">
        <v>1020</v>
      </c>
      <c r="Q51" t="s">
        <v>1021</v>
      </c>
      <c r="R51">
        <v>4228579.74</v>
      </c>
    </row>
    <row r="52" spans="1:18" x14ac:dyDescent="0.3">
      <c r="A52" t="s">
        <v>1000</v>
      </c>
      <c r="B52" t="s">
        <v>6214</v>
      </c>
      <c r="C52" t="s">
        <v>6215</v>
      </c>
      <c r="D52" t="s">
        <v>6221</v>
      </c>
      <c r="E52" t="s">
        <v>6217</v>
      </c>
      <c r="F52" t="s">
        <v>6222</v>
      </c>
      <c r="G52" t="s">
        <v>356</v>
      </c>
      <c r="H52" t="s">
        <v>1001</v>
      </c>
      <c r="I52" s="119">
        <v>-96388.56</v>
      </c>
      <c r="J52" t="str">
        <f t="shared" si="1"/>
        <v>1983</v>
      </c>
      <c r="P52" t="s">
        <v>1026</v>
      </c>
      <c r="Q52" t="s">
        <v>1027</v>
      </c>
      <c r="R52">
        <v>16120</v>
      </c>
    </row>
    <row r="53" spans="1:18" x14ac:dyDescent="0.3">
      <c r="A53" t="s">
        <v>670</v>
      </c>
      <c r="B53" t="s">
        <v>6231</v>
      </c>
      <c r="C53" t="s">
        <v>6232</v>
      </c>
      <c r="D53" t="s">
        <v>6233</v>
      </c>
      <c r="E53" t="s">
        <v>6217</v>
      </c>
      <c r="F53" t="s">
        <v>6239</v>
      </c>
      <c r="G53" t="s">
        <v>356</v>
      </c>
      <c r="H53" t="s">
        <v>1066</v>
      </c>
      <c r="I53" s="119">
        <v>-392483.12</v>
      </c>
      <c r="J53" t="e">
        <f t="shared" si="1"/>
        <v>#N/A</v>
      </c>
      <c r="P53" t="s">
        <v>1028</v>
      </c>
      <c r="Q53" t="s">
        <v>1029</v>
      </c>
      <c r="R53">
        <v>2365346.85</v>
      </c>
    </row>
    <row r="54" spans="1:18" x14ac:dyDescent="0.3">
      <c r="A54" t="s">
        <v>1010</v>
      </c>
      <c r="B54" t="s">
        <v>6214</v>
      </c>
      <c r="C54" t="s">
        <v>6227</v>
      </c>
      <c r="D54" t="s">
        <v>6228</v>
      </c>
      <c r="E54" t="s">
        <v>312</v>
      </c>
      <c r="F54" t="s">
        <v>6229</v>
      </c>
      <c r="G54" t="s">
        <v>356</v>
      </c>
      <c r="H54" t="s">
        <v>3176</v>
      </c>
      <c r="I54" s="119">
        <v>-16443787.52</v>
      </c>
      <c r="J54" t="str">
        <f t="shared" si="1"/>
        <v>2143</v>
      </c>
      <c r="P54" t="s">
        <v>1030</v>
      </c>
      <c r="Q54" t="s">
        <v>1031</v>
      </c>
      <c r="R54">
        <v>6254151.1100000003</v>
      </c>
    </row>
    <row r="55" spans="1:18" x14ac:dyDescent="0.3">
      <c r="A55" t="s">
        <v>1012</v>
      </c>
      <c r="B55" t="s">
        <v>6214</v>
      </c>
      <c r="C55" t="s">
        <v>6215</v>
      </c>
      <c r="D55" t="s">
        <v>6216</v>
      </c>
      <c r="E55" t="s">
        <v>6217</v>
      </c>
      <c r="F55" t="s">
        <v>6218</v>
      </c>
      <c r="G55" t="s">
        <v>356</v>
      </c>
      <c r="H55" t="s">
        <v>1013</v>
      </c>
      <c r="I55" s="119">
        <v>-12128001.92</v>
      </c>
      <c r="J55" t="str">
        <f t="shared" si="1"/>
        <v>2148</v>
      </c>
      <c r="P55" t="s">
        <v>1032</v>
      </c>
      <c r="Q55" t="s">
        <v>1033</v>
      </c>
      <c r="R55">
        <v>248343.8</v>
      </c>
    </row>
    <row r="56" spans="1:18" x14ac:dyDescent="0.3">
      <c r="A56" t="s">
        <v>1014</v>
      </c>
      <c r="B56" t="s">
        <v>6214</v>
      </c>
      <c r="C56" t="s">
        <v>6215</v>
      </c>
      <c r="D56" t="s">
        <v>6221</v>
      </c>
      <c r="E56" t="s">
        <v>6217</v>
      </c>
      <c r="F56" t="s">
        <v>6222</v>
      </c>
      <c r="G56" t="s">
        <v>356</v>
      </c>
      <c r="H56" t="s">
        <v>1015</v>
      </c>
      <c r="I56" s="119">
        <v>-3039890.58</v>
      </c>
      <c r="J56" t="str">
        <f t="shared" si="1"/>
        <v>2155</v>
      </c>
      <c r="P56" t="s">
        <v>1034</v>
      </c>
      <c r="Q56" t="s">
        <v>1035</v>
      </c>
      <c r="R56">
        <v>1048688.6000000001</v>
      </c>
    </row>
    <row r="57" spans="1:18" x14ac:dyDescent="0.3">
      <c r="A57" t="s">
        <v>1016</v>
      </c>
      <c r="B57" t="s">
        <v>6214</v>
      </c>
      <c r="C57" t="s">
        <v>6215</v>
      </c>
      <c r="D57" t="s">
        <v>6216</v>
      </c>
      <c r="E57" t="s">
        <v>6217</v>
      </c>
      <c r="F57" t="s">
        <v>6218</v>
      </c>
      <c r="G57" t="s">
        <v>356</v>
      </c>
      <c r="H57" t="s">
        <v>1725</v>
      </c>
      <c r="I57" s="119">
        <v>-169924.92</v>
      </c>
      <c r="J57" t="str">
        <f t="shared" si="1"/>
        <v>2158</v>
      </c>
      <c r="P57" t="s">
        <v>716</v>
      </c>
      <c r="Q57" t="s">
        <v>717</v>
      </c>
      <c r="R57">
        <v>1096210.95</v>
      </c>
    </row>
    <row r="58" spans="1:18" x14ac:dyDescent="0.3">
      <c r="A58" t="s">
        <v>1018</v>
      </c>
      <c r="B58" t="s">
        <v>6214</v>
      </c>
      <c r="C58" t="s">
        <v>6219</v>
      </c>
      <c r="D58" t="s">
        <v>6220</v>
      </c>
      <c r="E58" t="s">
        <v>6217</v>
      </c>
      <c r="F58" t="s">
        <v>6218</v>
      </c>
      <c r="G58" t="s">
        <v>356</v>
      </c>
      <c r="H58" t="s">
        <v>1019</v>
      </c>
      <c r="I58" s="119">
        <v>-2261778.77</v>
      </c>
      <c r="J58" t="str">
        <f t="shared" si="1"/>
        <v>2164</v>
      </c>
      <c r="P58" t="s">
        <v>1036</v>
      </c>
      <c r="Q58" t="s">
        <v>1037</v>
      </c>
      <c r="R58">
        <v>9222713.9299999997</v>
      </c>
    </row>
    <row r="59" spans="1:18" x14ac:dyDescent="0.3">
      <c r="A59" t="s">
        <v>1020</v>
      </c>
      <c r="B59" t="s">
        <v>6214</v>
      </c>
      <c r="C59" t="s">
        <v>6215</v>
      </c>
      <c r="D59" t="s">
        <v>6221</v>
      </c>
      <c r="E59" t="s">
        <v>6217</v>
      </c>
      <c r="F59" t="s">
        <v>6222</v>
      </c>
      <c r="G59" t="s">
        <v>356</v>
      </c>
      <c r="H59" t="s">
        <v>1021</v>
      </c>
      <c r="I59" s="119">
        <v>-4228579.74</v>
      </c>
      <c r="J59" t="str">
        <f t="shared" si="1"/>
        <v>2218</v>
      </c>
      <c r="P59" t="s">
        <v>1052</v>
      </c>
      <c r="Q59" t="s">
        <v>1053</v>
      </c>
      <c r="R59">
        <v>18719553.300000001</v>
      </c>
    </row>
    <row r="60" spans="1:18" x14ac:dyDescent="0.3">
      <c r="A60" t="s">
        <v>1026</v>
      </c>
      <c r="B60" t="s">
        <v>6214</v>
      </c>
      <c r="C60" t="s">
        <v>6215</v>
      </c>
      <c r="D60" t="s">
        <v>6240</v>
      </c>
      <c r="E60" t="s">
        <v>6217</v>
      </c>
      <c r="F60" t="s">
        <v>6222</v>
      </c>
      <c r="G60" t="s">
        <v>356</v>
      </c>
      <c r="H60" t="s">
        <v>1027</v>
      </c>
      <c r="I60" s="119">
        <v>-16120</v>
      </c>
      <c r="J60" t="str">
        <f t="shared" si="1"/>
        <v>2253</v>
      </c>
      <c r="P60" t="s">
        <v>1054</v>
      </c>
      <c r="Q60" t="s">
        <v>1055</v>
      </c>
      <c r="R60">
        <v>3016225</v>
      </c>
    </row>
    <row r="61" spans="1:18" x14ac:dyDescent="0.3">
      <c r="A61" t="s">
        <v>1028</v>
      </c>
      <c r="B61" t="s">
        <v>6214</v>
      </c>
      <c r="C61" t="s">
        <v>6219</v>
      </c>
      <c r="D61" t="s">
        <v>6220</v>
      </c>
      <c r="E61" t="s">
        <v>6217</v>
      </c>
      <c r="F61" t="s">
        <v>6218</v>
      </c>
      <c r="G61" t="s">
        <v>356</v>
      </c>
      <c r="H61" t="s">
        <v>1029</v>
      </c>
      <c r="I61" s="119">
        <v>-2365346.85</v>
      </c>
      <c r="J61" t="str">
        <f t="shared" si="1"/>
        <v>2266</v>
      </c>
      <c r="P61" t="s">
        <v>598</v>
      </c>
      <c r="Q61" t="s">
        <v>599</v>
      </c>
      <c r="R61">
        <v>0</v>
      </c>
    </row>
    <row r="62" spans="1:18" x14ac:dyDescent="0.3">
      <c r="A62" t="s">
        <v>1030</v>
      </c>
      <c r="B62" t="s">
        <v>6214</v>
      </c>
      <c r="C62" t="s">
        <v>6219</v>
      </c>
      <c r="D62" t="s">
        <v>6220</v>
      </c>
      <c r="E62" t="s">
        <v>6217</v>
      </c>
      <c r="F62" t="s">
        <v>6218</v>
      </c>
      <c r="G62" t="s">
        <v>356</v>
      </c>
      <c r="H62" t="s">
        <v>1031</v>
      </c>
      <c r="I62" s="119">
        <v>-6254151.1100000003</v>
      </c>
      <c r="J62" t="str">
        <f t="shared" si="1"/>
        <v>2323</v>
      </c>
      <c r="P62" t="s">
        <v>1056</v>
      </c>
      <c r="Q62" t="s">
        <v>1057</v>
      </c>
      <c r="R62">
        <v>0</v>
      </c>
    </row>
    <row r="63" spans="1:18" x14ac:dyDescent="0.3">
      <c r="A63" t="s">
        <v>1032</v>
      </c>
      <c r="B63" t="s">
        <v>6214</v>
      </c>
      <c r="C63" t="s">
        <v>6219</v>
      </c>
      <c r="D63" t="s">
        <v>6220</v>
      </c>
      <c r="E63" t="s">
        <v>6217</v>
      </c>
      <c r="F63" t="s">
        <v>6218</v>
      </c>
      <c r="G63" t="s">
        <v>356</v>
      </c>
      <c r="H63" t="s">
        <v>1033</v>
      </c>
      <c r="I63" s="119">
        <v>-248343.8</v>
      </c>
      <c r="J63" t="str">
        <f t="shared" si="1"/>
        <v>2346</v>
      </c>
      <c r="P63" t="s">
        <v>1058</v>
      </c>
      <c r="Q63" t="s">
        <v>1059</v>
      </c>
      <c r="R63">
        <v>714109.83</v>
      </c>
    </row>
    <row r="64" spans="1:18" x14ac:dyDescent="0.3">
      <c r="A64" t="s">
        <v>1034</v>
      </c>
      <c r="B64" t="s">
        <v>6214</v>
      </c>
      <c r="C64" t="s">
        <v>6227</v>
      </c>
      <c r="D64" t="s">
        <v>6228</v>
      </c>
      <c r="E64" t="s">
        <v>312</v>
      </c>
      <c r="F64" t="s">
        <v>6229</v>
      </c>
      <c r="G64" t="s">
        <v>356</v>
      </c>
      <c r="H64" t="s">
        <v>1035</v>
      </c>
      <c r="I64" s="119">
        <v>-1048688.6000000001</v>
      </c>
      <c r="J64" t="str">
        <f t="shared" si="1"/>
        <v>2351</v>
      </c>
      <c r="P64" t="s">
        <v>698</v>
      </c>
      <c r="Q64" t="s">
        <v>699</v>
      </c>
      <c r="R64">
        <v>203815.79</v>
      </c>
    </row>
    <row r="65" spans="1:18" x14ac:dyDescent="0.3">
      <c r="A65" t="s">
        <v>716</v>
      </c>
      <c r="B65" t="s">
        <v>6214</v>
      </c>
      <c r="C65" t="s">
        <v>6227</v>
      </c>
      <c r="D65" t="s">
        <v>6228</v>
      </c>
      <c r="E65" t="s">
        <v>312</v>
      </c>
      <c r="F65" t="s">
        <v>6229</v>
      </c>
      <c r="G65" t="s">
        <v>356</v>
      </c>
      <c r="H65" t="s">
        <v>717</v>
      </c>
      <c r="I65" s="119">
        <v>-1096210.95</v>
      </c>
      <c r="J65" t="str">
        <f t="shared" si="1"/>
        <v>2355</v>
      </c>
      <c r="P65" t="s">
        <v>652</v>
      </c>
      <c r="Q65" t="s">
        <v>653</v>
      </c>
      <c r="R65">
        <v>0</v>
      </c>
    </row>
    <row r="66" spans="1:18" x14ac:dyDescent="0.3">
      <c r="A66" t="s">
        <v>1036</v>
      </c>
      <c r="B66" t="s">
        <v>6214</v>
      </c>
      <c r="C66" t="s">
        <v>6215</v>
      </c>
      <c r="D66" t="s">
        <v>6221</v>
      </c>
      <c r="E66" t="s">
        <v>6217</v>
      </c>
      <c r="F66" t="s">
        <v>6222</v>
      </c>
      <c r="G66" t="s">
        <v>356</v>
      </c>
      <c r="H66" t="s">
        <v>1037</v>
      </c>
      <c r="I66" s="119">
        <v>-9222713.9299999997</v>
      </c>
      <c r="J66" t="str">
        <f t="shared" ref="J66:J74" si="2">VLOOKUP(A66,P:P,1,FALSE)</f>
        <v>2404</v>
      </c>
      <c r="P66" t="s">
        <v>1062</v>
      </c>
      <c r="Q66" t="s">
        <v>1063</v>
      </c>
      <c r="R66">
        <v>2227437.02</v>
      </c>
    </row>
    <row r="67" spans="1:18" x14ac:dyDescent="0.3">
      <c r="A67" t="s">
        <v>1052</v>
      </c>
      <c r="B67" t="s">
        <v>6214</v>
      </c>
      <c r="C67" t="s">
        <v>6215</v>
      </c>
      <c r="D67" t="s">
        <v>6221</v>
      </c>
      <c r="E67" t="s">
        <v>6217</v>
      </c>
      <c r="F67" t="s">
        <v>6218</v>
      </c>
      <c r="G67" t="s">
        <v>356</v>
      </c>
      <c r="H67" t="s">
        <v>1053</v>
      </c>
      <c r="I67" s="119">
        <v>-18719553.300000001</v>
      </c>
      <c r="J67" t="str">
        <f t="shared" si="2"/>
        <v>2435</v>
      </c>
      <c r="P67" t="s">
        <v>1067</v>
      </c>
      <c r="Q67" t="s">
        <v>1068</v>
      </c>
      <c r="R67">
        <v>0</v>
      </c>
    </row>
    <row r="68" spans="1:18" x14ac:dyDescent="0.3">
      <c r="A68" t="s">
        <v>1067</v>
      </c>
      <c r="B68" t="s">
        <v>6231</v>
      </c>
      <c r="C68" t="s">
        <v>6241</v>
      </c>
      <c r="D68" t="s">
        <v>6242</v>
      </c>
      <c r="E68" t="s">
        <v>6217</v>
      </c>
      <c r="F68" t="s">
        <v>6243</v>
      </c>
      <c r="G68" t="s">
        <v>356</v>
      </c>
      <c r="H68" t="s">
        <v>1068</v>
      </c>
      <c r="I68" s="119">
        <v>0</v>
      </c>
      <c r="J68" t="str">
        <f t="shared" si="2"/>
        <v>2465</v>
      </c>
      <c r="P68" t="s">
        <v>1069</v>
      </c>
      <c r="Q68" t="s">
        <v>1070</v>
      </c>
      <c r="R68">
        <v>2000</v>
      </c>
    </row>
    <row r="69" spans="1:18" x14ac:dyDescent="0.3">
      <c r="A69" t="s">
        <v>1054</v>
      </c>
      <c r="B69" t="s">
        <v>6214</v>
      </c>
      <c r="C69" t="s">
        <v>6219</v>
      </c>
      <c r="D69" t="s">
        <v>6220</v>
      </c>
      <c r="E69" t="s">
        <v>6217</v>
      </c>
      <c r="F69" t="s">
        <v>6218</v>
      </c>
      <c r="G69" t="s">
        <v>356</v>
      </c>
      <c r="H69" t="s">
        <v>1055</v>
      </c>
      <c r="I69" s="119">
        <v>-3016225</v>
      </c>
      <c r="J69" t="str">
        <f t="shared" si="2"/>
        <v>2563</v>
      </c>
      <c r="P69" t="s">
        <v>1071</v>
      </c>
      <c r="Q69" t="s">
        <v>1072</v>
      </c>
      <c r="R69">
        <v>327013246.91000003</v>
      </c>
    </row>
    <row r="70" spans="1:18" x14ac:dyDescent="0.3">
      <c r="A70" t="s">
        <v>698</v>
      </c>
      <c r="B70" t="s">
        <v>6214</v>
      </c>
      <c r="C70" t="s">
        <v>6215</v>
      </c>
      <c r="D70" t="s">
        <v>6216</v>
      </c>
      <c r="E70" t="s">
        <v>6217</v>
      </c>
      <c r="F70" t="s">
        <v>6218</v>
      </c>
      <c r="G70" t="s">
        <v>356</v>
      </c>
      <c r="H70" t="s">
        <v>699</v>
      </c>
      <c r="I70" s="119">
        <v>-203815.79</v>
      </c>
      <c r="J70" t="str">
        <f t="shared" si="2"/>
        <v>2567</v>
      </c>
      <c r="P70" t="s">
        <v>1073</v>
      </c>
      <c r="Q70" t="s">
        <v>1074</v>
      </c>
      <c r="R70">
        <v>3864297.07</v>
      </c>
    </row>
    <row r="71" spans="1:18" x14ac:dyDescent="0.3">
      <c r="A71" t="s">
        <v>1058</v>
      </c>
      <c r="E71" t="s">
        <v>312</v>
      </c>
      <c r="G71" t="s">
        <v>356</v>
      </c>
      <c r="H71" t="s">
        <v>1059</v>
      </c>
      <c r="I71" s="119">
        <v>-714109.83</v>
      </c>
      <c r="J71" t="str">
        <f t="shared" si="2"/>
        <v>2673</v>
      </c>
      <c r="P71" t="s">
        <v>1075</v>
      </c>
      <c r="Q71" t="s">
        <v>1076</v>
      </c>
      <c r="R71">
        <v>2710425.92</v>
      </c>
    </row>
    <row r="72" spans="1:18" x14ac:dyDescent="0.3">
      <c r="A72" t="s">
        <v>1056</v>
      </c>
      <c r="E72" t="s">
        <v>6244</v>
      </c>
      <c r="G72" t="s">
        <v>356</v>
      </c>
      <c r="H72" t="s">
        <v>1057</v>
      </c>
      <c r="I72" s="119">
        <v>0</v>
      </c>
      <c r="J72" t="str">
        <f t="shared" si="2"/>
        <v>2676</v>
      </c>
      <c r="P72" t="s">
        <v>1077</v>
      </c>
      <c r="Q72" t="s">
        <v>1078</v>
      </c>
      <c r="R72">
        <v>14904916.66</v>
      </c>
    </row>
    <row r="73" spans="1:18" x14ac:dyDescent="0.3">
      <c r="A73" t="s">
        <v>1062</v>
      </c>
      <c r="E73" t="s">
        <v>6217</v>
      </c>
      <c r="F73" t="s">
        <v>6218</v>
      </c>
      <c r="G73" t="s">
        <v>356</v>
      </c>
      <c r="H73" t="s">
        <v>1063</v>
      </c>
      <c r="I73" s="119">
        <v>-2227437.02</v>
      </c>
      <c r="J73" t="str">
        <f t="shared" si="2"/>
        <v>2677</v>
      </c>
      <c r="P73" t="s">
        <v>1079</v>
      </c>
      <c r="Q73" t="s">
        <v>1080</v>
      </c>
      <c r="R73">
        <v>34795994.920000002</v>
      </c>
    </row>
    <row r="74" spans="1:18" x14ac:dyDescent="0.3">
      <c r="A74" t="s">
        <v>1083</v>
      </c>
      <c r="G74" t="s">
        <v>356</v>
      </c>
      <c r="H74" t="s">
        <v>1084</v>
      </c>
      <c r="I74" s="119">
        <v>-657650</v>
      </c>
      <c r="J74" t="str">
        <f t="shared" si="2"/>
        <v>2726</v>
      </c>
      <c r="P74" t="s">
        <v>1081</v>
      </c>
      <c r="Q74" t="s">
        <v>1082</v>
      </c>
      <c r="R74">
        <v>25199472.449999999</v>
      </c>
    </row>
    <row r="75" spans="1:18" x14ac:dyDescent="0.3">
      <c r="P75" t="s">
        <v>1083</v>
      </c>
      <c r="Q75" t="s">
        <v>1084</v>
      </c>
      <c r="R75">
        <v>657650</v>
      </c>
    </row>
  </sheetData>
  <autoFilter ref="J1:J75" xr:uid="{00000000-0009-0000-0000-00000B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4" baseType="lpstr">
      <vt:lpstr>NBD-MF-01-SOFP</vt:lpstr>
      <vt:lpstr>NBD-MF-11-IS</vt:lpstr>
      <vt:lpstr>NBD-MF-10-GA</vt:lpstr>
      <vt:lpstr>Upload</vt:lpstr>
      <vt:lpstr>Investments</vt:lpstr>
      <vt:lpstr>Other Assets</vt:lpstr>
      <vt:lpstr>Borrowings</vt:lpstr>
      <vt:lpstr>Portfolio</vt:lpstr>
      <vt:lpstr>Other Liabilities</vt:lpstr>
      <vt:lpstr>System TB</vt:lpstr>
      <vt:lpstr>T</vt:lpstr>
      <vt:lpstr>Sheet1</vt:lpstr>
      <vt:lpstr>'NBD-MF-01-SOFP'!Print_Area</vt:lpstr>
      <vt:lpstr>'NBD-MF-10-GA'!Print_Area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Indika Dahanayake</dc:creator>
  <cp:lastModifiedBy>CBSLBOTUSER</cp:lastModifiedBy>
  <dcterms:created xsi:type="dcterms:W3CDTF">2020-11-12T05:20:59Z</dcterms:created>
  <dcterms:modified xsi:type="dcterms:W3CDTF">2025-11-17T04:13:31Z</dcterms:modified>
</cp:coreProperties>
</file>